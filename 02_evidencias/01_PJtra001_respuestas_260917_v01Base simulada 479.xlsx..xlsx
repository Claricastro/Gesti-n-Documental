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ORGE\Desktop\INSUMOS PARA ENTREGA 19 OCTUBRE\"/>
    </mc:Choice>
  </mc:AlternateContent>
  <xr:revisionPtr revIDLastSave="0" documentId="13_ncr:1_{5ABAE68F-AB66-4B84-AAC9-577FFBBADE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LAS" sheetId="2" r:id="rId1"/>
    <sheet name="RECORRIDOS" sheetId="4" r:id="rId2"/>
    <sheet name="RESUMEN TERRITORIAL" sheetId="7" r:id="rId3"/>
    <sheet name="BASE SIMULADA" sheetId="5" r:id="rId4"/>
    <sheet name="CONTROLES" sheetId="6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  <c r="F22" i="7"/>
  <c r="E22" i="7"/>
  <c r="F21" i="7"/>
  <c r="B10" i="6"/>
  <c r="B9" i="6"/>
  <c r="B8" i="6"/>
  <c r="B6" i="6"/>
  <c r="B5" i="6"/>
  <c r="B4" i="6"/>
  <c r="B3" i="6"/>
  <c r="B2" i="6"/>
  <c r="L3" i="5"/>
  <c r="L4" i="5"/>
  <c r="L5" i="5"/>
  <c r="N5" i="5" s="1"/>
  <c r="L6" i="5"/>
  <c r="N6" i="5" s="1"/>
  <c r="L7" i="5"/>
  <c r="L8" i="5"/>
  <c r="N8" i="5" s="1"/>
  <c r="L9" i="5"/>
  <c r="L10" i="5"/>
  <c r="L11" i="5"/>
  <c r="N11" i="5" s="1"/>
  <c r="L12" i="5"/>
  <c r="L13" i="5"/>
  <c r="L14" i="5"/>
  <c r="N14" i="5" s="1"/>
  <c r="L15" i="5"/>
  <c r="L16" i="5"/>
  <c r="N16" i="5" s="1"/>
  <c r="L17" i="5"/>
  <c r="N17" i="5" s="1"/>
  <c r="L18" i="5"/>
  <c r="L19" i="5"/>
  <c r="N19" i="5" s="1"/>
  <c r="L20" i="5"/>
  <c r="L21" i="5"/>
  <c r="L22" i="5"/>
  <c r="N22" i="5" s="1"/>
  <c r="L23" i="5"/>
  <c r="L24" i="5"/>
  <c r="L25" i="5"/>
  <c r="N25" i="5" s="1"/>
  <c r="L26" i="5"/>
  <c r="L27" i="5"/>
  <c r="N27" i="5" s="1"/>
  <c r="L28" i="5"/>
  <c r="N28" i="5" s="1"/>
  <c r="L29" i="5"/>
  <c r="L30" i="5"/>
  <c r="N30" i="5" s="1"/>
  <c r="L31" i="5"/>
  <c r="N31" i="5" s="1"/>
  <c r="L32" i="5"/>
  <c r="L33" i="5"/>
  <c r="N33" i="5" s="1"/>
  <c r="L34" i="5"/>
  <c r="L35" i="5"/>
  <c r="L36" i="5"/>
  <c r="N36" i="5" s="1"/>
  <c r="L37" i="5"/>
  <c r="L38" i="5"/>
  <c r="N38" i="5" s="1"/>
  <c r="L39" i="5"/>
  <c r="N39" i="5" s="1"/>
  <c r="L40" i="5"/>
  <c r="L41" i="5"/>
  <c r="N41" i="5" s="1"/>
  <c r="L42" i="5"/>
  <c r="N42" i="5" s="1"/>
  <c r="L43" i="5"/>
  <c r="L44" i="5"/>
  <c r="N44" i="5" s="1"/>
  <c r="L45" i="5"/>
  <c r="L46" i="5"/>
  <c r="L47" i="5"/>
  <c r="N47" i="5" s="1"/>
  <c r="L48" i="5"/>
  <c r="L49" i="5"/>
  <c r="L50" i="5"/>
  <c r="N50" i="5" s="1"/>
  <c r="L51" i="5"/>
  <c r="L52" i="5"/>
  <c r="N52" i="5" s="1"/>
  <c r="L53" i="5"/>
  <c r="N53" i="5" s="1"/>
  <c r="L54" i="5"/>
  <c r="L55" i="5"/>
  <c r="N55" i="5" s="1"/>
  <c r="L56" i="5"/>
  <c r="L57" i="5"/>
  <c r="L58" i="5"/>
  <c r="N58" i="5" s="1"/>
  <c r="L59" i="5"/>
  <c r="L60" i="5"/>
  <c r="L61" i="5"/>
  <c r="N61" i="5" s="1"/>
  <c r="L62" i="5"/>
  <c r="L63" i="5"/>
  <c r="N63" i="5" s="1"/>
  <c r="L64" i="5"/>
  <c r="N64" i="5" s="1"/>
  <c r="L65" i="5"/>
  <c r="L66" i="5"/>
  <c r="N66" i="5" s="1"/>
  <c r="L67" i="5"/>
  <c r="N67" i="5" s="1"/>
  <c r="L68" i="5"/>
  <c r="L69" i="5"/>
  <c r="N69" i="5" s="1"/>
  <c r="L70" i="5"/>
  <c r="L71" i="5"/>
  <c r="L72" i="5"/>
  <c r="N72" i="5" s="1"/>
  <c r="L73" i="5"/>
  <c r="L74" i="5"/>
  <c r="N74" i="5" s="1"/>
  <c r="L75" i="5"/>
  <c r="N75" i="5" s="1"/>
  <c r="L76" i="5"/>
  <c r="L77" i="5"/>
  <c r="N77" i="5" s="1"/>
  <c r="L78" i="5"/>
  <c r="N78" i="5" s="1"/>
  <c r="L79" i="5"/>
  <c r="L80" i="5"/>
  <c r="N80" i="5" s="1"/>
  <c r="L81" i="5"/>
  <c r="L82" i="5"/>
  <c r="L83" i="5"/>
  <c r="N83" i="5" s="1"/>
  <c r="L84" i="5"/>
  <c r="L85" i="5"/>
  <c r="L86" i="5"/>
  <c r="N86" i="5" s="1"/>
  <c r="L87" i="5"/>
  <c r="L88" i="5"/>
  <c r="N88" i="5" s="1"/>
  <c r="L89" i="5"/>
  <c r="N89" i="5" s="1"/>
  <c r="L90" i="5"/>
  <c r="L91" i="5"/>
  <c r="N91" i="5" s="1"/>
  <c r="L92" i="5"/>
  <c r="L93" i="5"/>
  <c r="L94" i="5"/>
  <c r="N94" i="5" s="1"/>
  <c r="L95" i="5"/>
  <c r="L96" i="5"/>
  <c r="L97" i="5"/>
  <c r="N97" i="5" s="1"/>
  <c r="L98" i="5"/>
  <c r="L99" i="5"/>
  <c r="N99" i="5" s="1"/>
  <c r="L100" i="5"/>
  <c r="N100" i="5" s="1"/>
  <c r="L101" i="5"/>
  <c r="L102" i="5"/>
  <c r="N102" i="5" s="1"/>
  <c r="L103" i="5"/>
  <c r="N103" i="5" s="1"/>
  <c r="L104" i="5"/>
  <c r="L105" i="5"/>
  <c r="N105" i="5" s="1"/>
  <c r="L106" i="5"/>
  <c r="L107" i="5"/>
  <c r="L108" i="5"/>
  <c r="N108" i="5" s="1"/>
  <c r="L109" i="5"/>
  <c r="L110" i="5"/>
  <c r="N110" i="5" s="1"/>
  <c r="L111" i="5"/>
  <c r="N111" i="5" s="1"/>
  <c r="L112" i="5"/>
  <c r="L113" i="5"/>
  <c r="N113" i="5" s="1"/>
  <c r="L114" i="5"/>
  <c r="N114" i="5" s="1"/>
  <c r="L115" i="5"/>
  <c r="L116" i="5"/>
  <c r="N116" i="5" s="1"/>
  <c r="L117" i="5"/>
  <c r="L118" i="5"/>
  <c r="L119" i="5"/>
  <c r="N119" i="5" s="1"/>
  <c r="L120" i="5"/>
  <c r="L121" i="5"/>
  <c r="L122" i="5"/>
  <c r="N122" i="5" s="1"/>
  <c r="L123" i="5"/>
  <c r="L124" i="5"/>
  <c r="N124" i="5" s="1"/>
  <c r="L125" i="5"/>
  <c r="N125" i="5" s="1"/>
  <c r="L126" i="5"/>
  <c r="L127" i="5"/>
  <c r="N127" i="5" s="1"/>
  <c r="L128" i="5"/>
  <c r="L129" i="5"/>
  <c r="L130" i="5"/>
  <c r="N130" i="5" s="1"/>
  <c r="L131" i="5"/>
  <c r="L132" i="5"/>
  <c r="L133" i="5"/>
  <c r="N133" i="5" s="1"/>
  <c r="L134" i="5"/>
  <c r="L135" i="5"/>
  <c r="N135" i="5" s="1"/>
  <c r="L136" i="5"/>
  <c r="N136" i="5" s="1"/>
  <c r="L137" i="5"/>
  <c r="L138" i="5"/>
  <c r="N138" i="5" s="1"/>
  <c r="L139" i="5"/>
  <c r="L140" i="5"/>
  <c r="L141" i="5"/>
  <c r="N141" i="5" s="1"/>
  <c r="L142" i="5"/>
  <c r="L143" i="5"/>
  <c r="L144" i="5"/>
  <c r="N144" i="5" s="1"/>
  <c r="L145" i="5"/>
  <c r="L146" i="5"/>
  <c r="N146" i="5" s="1"/>
  <c r="L147" i="5"/>
  <c r="N147" i="5" s="1"/>
  <c r="L148" i="5"/>
  <c r="L149" i="5"/>
  <c r="N149" i="5" s="1"/>
  <c r="L150" i="5"/>
  <c r="N150" i="5" s="1"/>
  <c r="L151" i="5"/>
  <c r="L152" i="5"/>
  <c r="N152" i="5" s="1"/>
  <c r="L153" i="5"/>
  <c r="L154" i="5"/>
  <c r="L155" i="5"/>
  <c r="N155" i="5" s="1"/>
  <c r="L156" i="5"/>
  <c r="L157" i="5"/>
  <c r="L158" i="5"/>
  <c r="N158" i="5" s="1"/>
  <c r="L159" i="5"/>
  <c r="L160" i="5"/>
  <c r="N160" i="5" s="1"/>
  <c r="L161" i="5"/>
  <c r="N161" i="5" s="1"/>
  <c r="L162" i="5"/>
  <c r="L163" i="5"/>
  <c r="N163" i="5" s="1"/>
  <c r="L164" i="5"/>
  <c r="L165" i="5"/>
  <c r="L166" i="5"/>
  <c r="N166" i="5" s="1"/>
  <c r="L167" i="5"/>
  <c r="L168" i="5"/>
  <c r="L169" i="5"/>
  <c r="N169" i="5" s="1"/>
  <c r="L170" i="5"/>
  <c r="L171" i="5"/>
  <c r="N171" i="5" s="1"/>
  <c r="L172" i="5"/>
  <c r="N172" i="5" s="1"/>
  <c r="L173" i="5"/>
  <c r="L174" i="5"/>
  <c r="N174" i="5" s="1"/>
  <c r="L175" i="5"/>
  <c r="L176" i="5"/>
  <c r="L177" i="5"/>
  <c r="N177" i="5" s="1"/>
  <c r="L178" i="5"/>
  <c r="L179" i="5"/>
  <c r="L180" i="5"/>
  <c r="N180" i="5" s="1"/>
  <c r="L181" i="5"/>
  <c r="L182" i="5"/>
  <c r="N182" i="5" s="1"/>
  <c r="L183" i="5"/>
  <c r="N183" i="5" s="1"/>
  <c r="L184" i="5"/>
  <c r="L185" i="5"/>
  <c r="N185" i="5" s="1"/>
  <c r="L186" i="5"/>
  <c r="N186" i="5" s="1"/>
  <c r="L187" i="5"/>
  <c r="L188" i="5"/>
  <c r="N188" i="5" s="1"/>
  <c r="L189" i="5"/>
  <c r="L190" i="5"/>
  <c r="L191" i="5"/>
  <c r="N191" i="5" s="1"/>
  <c r="L192" i="5"/>
  <c r="L193" i="5"/>
  <c r="L194" i="5"/>
  <c r="N194" i="5" s="1"/>
  <c r="L195" i="5"/>
  <c r="L196" i="5"/>
  <c r="N196" i="5" s="1"/>
  <c r="L197" i="5"/>
  <c r="N197" i="5" s="1"/>
  <c r="L198" i="5"/>
  <c r="L199" i="5"/>
  <c r="N199" i="5" s="1"/>
  <c r="L200" i="5"/>
  <c r="L201" i="5"/>
  <c r="L202" i="5"/>
  <c r="N202" i="5" s="1"/>
  <c r="L203" i="5"/>
  <c r="L204" i="5"/>
  <c r="L205" i="5"/>
  <c r="N205" i="5" s="1"/>
  <c r="L206" i="5"/>
  <c r="L207" i="5"/>
  <c r="N207" i="5" s="1"/>
  <c r="L208" i="5"/>
  <c r="N208" i="5" s="1"/>
  <c r="L209" i="5"/>
  <c r="L210" i="5"/>
  <c r="N210" i="5" s="1"/>
  <c r="L211" i="5"/>
  <c r="L212" i="5"/>
  <c r="L213" i="5"/>
  <c r="N213" i="5" s="1"/>
  <c r="L214" i="5"/>
  <c r="L215" i="5"/>
  <c r="L216" i="5"/>
  <c r="N216" i="5" s="1"/>
  <c r="L217" i="5"/>
  <c r="L218" i="5"/>
  <c r="N218" i="5" s="1"/>
  <c r="L219" i="5"/>
  <c r="N219" i="5" s="1"/>
  <c r="L220" i="5"/>
  <c r="L221" i="5"/>
  <c r="N221" i="5" s="1"/>
  <c r="L222" i="5"/>
  <c r="N222" i="5" s="1"/>
  <c r="L223" i="5"/>
  <c r="L224" i="5"/>
  <c r="N224" i="5" s="1"/>
  <c r="L225" i="5"/>
  <c r="L226" i="5"/>
  <c r="L227" i="5"/>
  <c r="N227" i="5" s="1"/>
  <c r="L228" i="5"/>
  <c r="L229" i="5"/>
  <c r="L230" i="5"/>
  <c r="N230" i="5" s="1"/>
  <c r="L231" i="5"/>
  <c r="L232" i="5"/>
  <c r="N232" i="5" s="1"/>
  <c r="L233" i="5"/>
  <c r="N233" i="5" s="1"/>
  <c r="L234" i="5"/>
  <c r="L235" i="5"/>
  <c r="N235" i="5" s="1"/>
  <c r="L236" i="5"/>
  <c r="L237" i="5"/>
  <c r="L238" i="5"/>
  <c r="N238" i="5" s="1"/>
  <c r="L239" i="5"/>
  <c r="L240" i="5"/>
  <c r="L241" i="5"/>
  <c r="N241" i="5" s="1"/>
  <c r="L242" i="5"/>
  <c r="L243" i="5"/>
  <c r="N243" i="5" s="1"/>
  <c r="L244" i="5"/>
  <c r="N244" i="5" s="1"/>
  <c r="L245" i="5"/>
  <c r="L246" i="5"/>
  <c r="N246" i="5" s="1"/>
  <c r="L247" i="5"/>
  <c r="L248" i="5"/>
  <c r="L249" i="5"/>
  <c r="N249" i="5" s="1"/>
  <c r="L250" i="5"/>
  <c r="L251" i="5"/>
  <c r="L252" i="5"/>
  <c r="N252" i="5" s="1"/>
  <c r="L253" i="5"/>
  <c r="L254" i="5"/>
  <c r="N254" i="5" s="1"/>
  <c r="L255" i="5"/>
  <c r="N255" i="5" s="1"/>
  <c r="L256" i="5"/>
  <c r="L257" i="5"/>
  <c r="N257" i="5" s="1"/>
  <c r="L258" i="5"/>
  <c r="N258" i="5" s="1"/>
  <c r="L259" i="5"/>
  <c r="L260" i="5"/>
  <c r="N260" i="5" s="1"/>
  <c r="L261" i="5"/>
  <c r="L262" i="5"/>
  <c r="L263" i="5"/>
  <c r="N263" i="5" s="1"/>
  <c r="L264" i="5"/>
  <c r="L265" i="5"/>
  <c r="L266" i="5"/>
  <c r="N266" i="5" s="1"/>
  <c r="L267" i="5"/>
  <c r="L268" i="5"/>
  <c r="N268" i="5" s="1"/>
  <c r="L269" i="5"/>
  <c r="N269" i="5" s="1"/>
  <c r="L270" i="5"/>
  <c r="L271" i="5"/>
  <c r="N271" i="5" s="1"/>
  <c r="L272" i="5"/>
  <c r="L273" i="5"/>
  <c r="L274" i="5"/>
  <c r="N274" i="5" s="1"/>
  <c r="L275" i="5"/>
  <c r="L276" i="5"/>
  <c r="L277" i="5"/>
  <c r="N277" i="5" s="1"/>
  <c r="L278" i="5"/>
  <c r="L279" i="5"/>
  <c r="N279" i="5" s="1"/>
  <c r="L280" i="5"/>
  <c r="N280" i="5" s="1"/>
  <c r="L281" i="5"/>
  <c r="L282" i="5"/>
  <c r="N282" i="5" s="1"/>
  <c r="L283" i="5"/>
  <c r="L284" i="5"/>
  <c r="L285" i="5"/>
  <c r="N285" i="5" s="1"/>
  <c r="L286" i="5"/>
  <c r="L287" i="5"/>
  <c r="L288" i="5"/>
  <c r="N288" i="5" s="1"/>
  <c r="L289" i="5"/>
  <c r="L290" i="5"/>
  <c r="N290" i="5" s="1"/>
  <c r="L291" i="5"/>
  <c r="N291" i="5" s="1"/>
  <c r="L292" i="5"/>
  <c r="L293" i="5"/>
  <c r="N293" i="5" s="1"/>
  <c r="L294" i="5"/>
  <c r="N294" i="5" s="1"/>
  <c r="L295" i="5"/>
  <c r="L296" i="5"/>
  <c r="N296" i="5" s="1"/>
  <c r="L297" i="5"/>
  <c r="L298" i="5"/>
  <c r="L299" i="5"/>
  <c r="N299" i="5" s="1"/>
  <c r="L300" i="5"/>
  <c r="L301" i="5"/>
  <c r="L302" i="5"/>
  <c r="N302" i="5" s="1"/>
  <c r="L303" i="5"/>
  <c r="L304" i="5"/>
  <c r="N304" i="5" s="1"/>
  <c r="L305" i="5"/>
  <c r="N305" i="5" s="1"/>
  <c r="L306" i="5"/>
  <c r="L307" i="5"/>
  <c r="N307" i="5" s="1"/>
  <c r="L308" i="5"/>
  <c r="L309" i="5"/>
  <c r="L310" i="5"/>
  <c r="N310" i="5" s="1"/>
  <c r="L311" i="5"/>
  <c r="L312" i="5"/>
  <c r="L313" i="5"/>
  <c r="N313" i="5" s="1"/>
  <c r="L314" i="5"/>
  <c r="L315" i="5"/>
  <c r="N315" i="5" s="1"/>
  <c r="L316" i="5"/>
  <c r="N316" i="5" s="1"/>
  <c r="L317" i="5"/>
  <c r="L318" i="5"/>
  <c r="N318" i="5" s="1"/>
  <c r="L319" i="5"/>
  <c r="L320" i="5"/>
  <c r="L321" i="5"/>
  <c r="N321" i="5" s="1"/>
  <c r="L322" i="5"/>
  <c r="L323" i="5"/>
  <c r="L324" i="5"/>
  <c r="N324" i="5" s="1"/>
  <c r="L325" i="5"/>
  <c r="L326" i="5"/>
  <c r="N326" i="5" s="1"/>
  <c r="L327" i="5"/>
  <c r="N327" i="5" s="1"/>
  <c r="L328" i="5"/>
  <c r="L329" i="5"/>
  <c r="N329" i="5" s="1"/>
  <c r="L330" i="5"/>
  <c r="N330" i="5" s="1"/>
  <c r="L331" i="5"/>
  <c r="L332" i="5"/>
  <c r="N332" i="5" s="1"/>
  <c r="L333" i="5"/>
  <c r="L334" i="5"/>
  <c r="L335" i="5"/>
  <c r="N335" i="5" s="1"/>
  <c r="L336" i="5"/>
  <c r="L337" i="5"/>
  <c r="L338" i="5"/>
  <c r="N338" i="5" s="1"/>
  <c r="L339" i="5"/>
  <c r="L340" i="5"/>
  <c r="N340" i="5" s="1"/>
  <c r="L341" i="5"/>
  <c r="N341" i="5" s="1"/>
  <c r="L342" i="5"/>
  <c r="L343" i="5"/>
  <c r="N343" i="5" s="1"/>
  <c r="L344" i="5"/>
  <c r="L345" i="5"/>
  <c r="L346" i="5"/>
  <c r="N346" i="5" s="1"/>
  <c r="L347" i="5"/>
  <c r="L348" i="5"/>
  <c r="L349" i="5"/>
  <c r="N349" i="5" s="1"/>
  <c r="L350" i="5"/>
  <c r="L351" i="5"/>
  <c r="N351" i="5" s="1"/>
  <c r="L352" i="5"/>
  <c r="N352" i="5" s="1"/>
  <c r="L353" i="5"/>
  <c r="L354" i="5"/>
  <c r="N354" i="5" s="1"/>
  <c r="L355" i="5"/>
  <c r="L356" i="5"/>
  <c r="L357" i="5"/>
  <c r="N357" i="5" s="1"/>
  <c r="L358" i="5"/>
  <c r="L359" i="5"/>
  <c r="L360" i="5"/>
  <c r="N360" i="5" s="1"/>
  <c r="L361" i="5"/>
  <c r="L362" i="5"/>
  <c r="N362" i="5" s="1"/>
  <c r="L363" i="5"/>
  <c r="N363" i="5" s="1"/>
  <c r="L364" i="5"/>
  <c r="L365" i="5"/>
  <c r="N365" i="5" s="1"/>
  <c r="L366" i="5"/>
  <c r="N366" i="5" s="1"/>
  <c r="L367" i="5"/>
  <c r="L368" i="5"/>
  <c r="N368" i="5" s="1"/>
  <c r="L369" i="5"/>
  <c r="L370" i="5"/>
  <c r="L371" i="5"/>
  <c r="N371" i="5" s="1"/>
  <c r="L372" i="5"/>
  <c r="L373" i="5"/>
  <c r="L374" i="5"/>
  <c r="N374" i="5" s="1"/>
  <c r="L375" i="5"/>
  <c r="L376" i="5"/>
  <c r="N376" i="5" s="1"/>
  <c r="L377" i="5"/>
  <c r="N377" i="5" s="1"/>
  <c r="L378" i="5"/>
  <c r="L379" i="5"/>
  <c r="N379" i="5" s="1"/>
  <c r="L380" i="5"/>
  <c r="L381" i="5"/>
  <c r="L382" i="5"/>
  <c r="N382" i="5" s="1"/>
  <c r="L383" i="5"/>
  <c r="L384" i="5"/>
  <c r="L385" i="5"/>
  <c r="N385" i="5" s="1"/>
  <c r="L386" i="5"/>
  <c r="L387" i="5"/>
  <c r="N387" i="5" s="1"/>
  <c r="L388" i="5"/>
  <c r="N388" i="5" s="1"/>
  <c r="L389" i="5"/>
  <c r="L390" i="5"/>
  <c r="N390" i="5" s="1"/>
  <c r="L391" i="5"/>
  <c r="L392" i="5"/>
  <c r="L393" i="5"/>
  <c r="N393" i="5" s="1"/>
  <c r="L394" i="5"/>
  <c r="L395" i="5"/>
  <c r="L396" i="5"/>
  <c r="N396" i="5" s="1"/>
  <c r="L397" i="5"/>
  <c r="L398" i="5"/>
  <c r="N398" i="5" s="1"/>
  <c r="L399" i="5"/>
  <c r="N399" i="5" s="1"/>
  <c r="L400" i="5"/>
  <c r="L401" i="5"/>
  <c r="N401" i="5" s="1"/>
  <c r="L402" i="5"/>
  <c r="N402" i="5" s="1"/>
  <c r="L403" i="5"/>
  <c r="L404" i="5"/>
  <c r="N404" i="5" s="1"/>
  <c r="L405" i="5"/>
  <c r="L406" i="5"/>
  <c r="L407" i="5"/>
  <c r="N407" i="5" s="1"/>
  <c r="L408" i="5"/>
  <c r="L409" i="5"/>
  <c r="L410" i="5"/>
  <c r="N410" i="5" s="1"/>
  <c r="L411" i="5"/>
  <c r="L412" i="5"/>
  <c r="N412" i="5" s="1"/>
  <c r="L413" i="5"/>
  <c r="N413" i="5" s="1"/>
  <c r="L414" i="5"/>
  <c r="L415" i="5"/>
  <c r="N415" i="5" s="1"/>
  <c r="L416" i="5"/>
  <c r="L417" i="5"/>
  <c r="L418" i="5"/>
  <c r="N418" i="5" s="1"/>
  <c r="L419" i="5"/>
  <c r="L420" i="5"/>
  <c r="L421" i="5"/>
  <c r="N421" i="5" s="1"/>
  <c r="L422" i="5"/>
  <c r="L423" i="5"/>
  <c r="N423" i="5" s="1"/>
  <c r="L424" i="5"/>
  <c r="N424" i="5" s="1"/>
  <c r="L425" i="5"/>
  <c r="L426" i="5"/>
  <c r="N426" i="5" s="1"/>
  <c r="L427" i="5"/>
  <c r="L428" i="5"/>
  <c r="L429" i="5"/>
  <c r="N429" i="5" s="1"/>
  <c r="L430" i="5"/>
  <c r="L431" i="5"/>
  <c r="L432" i="5"/>
  <c r="N432" i="5" s="1"/>
  <c r="L433" i="5"/>
  <c r="L434" i="5"/>
  <c r="N434" i="5" s="1"/>
  <c r="L435" i="5"/>
  <c r="N435" i="5" s="1"/>
  <c r="L436" i="5"/>
  <c r="L437" i="5"/>
  <c r="N437" i="5" s="1"/>
  <c r="L438" i="5"/>
  <c r="N438" i="5" s="1"/>
  <c r="L439" i="5"/>
  <c r="L440" i="5"/>
  <c r="N440" i="5" s="1"/>
  <c r="L441" i="5"/>
  <c r="L442" i="5"/>
  <c r="L443" i="5"/>
  <c r="L444" i="5"/>
  <c r="L445" i="5"/>
  <c r="L446" i="5"/>
  <c r="N446" i="5" s="1"/>
  <c r="L447" i="5"/>
  <c r="L448" i="5"/>
  <c r="N448" i="5" s="1"/>
  <c r="L449" i="5"/>
  <c r="N449" i="5" s="1"/>
  <c r="L450" i="5"/>
  <c r="L451" i="5"/>
  <c r="N451" i="5" s="1"/>
  <c r="L452" i="5"/>
  <c r="L453" i="5"/>
  <c r="L454" i="5"/>
  <c r="N454" i="5" s="1"/>
  <c r="L455" i="5"/>
  <c r="L456" i="5"/>
  <c r="L457" i="5"/>
  <c r="N457" i="5" s="1"/>
  <c r="L458" i="5"/>
  <c r="L459" i="5"/>
  <c r="N459" i="5" s="1"/>
  <c r="L460" i="5"/>
  <c r="N460" i="5" s="1"/>
  <c r="L461" i="5"/>
  <c r="L462" i="5"/>
  <c r="N462" i="5" s="1"/>
  <c r="L463" i="5"/>
  <c r="L464" i="5"/>
  <c r="L465" i="5"/>
  <c r="N465" i="5" s="1"/>
  <c r="L466" i="5"/>
  <c r="L467" i="5"/>
  <c r="L468" i="5"/>
  <c r="N468" i="5" s="1"/>
  <c r="L469" i="5"/>
  <c r="L470" i="5"/>
  <c r="N470" i="5" s="1"/>
  <c r="L471" i="5"/>
  <c r="N471" i="5" s="1"/>
  <c r="L472" i="5"/>
  <c r="L473" i="5"/>
  <c r="N473" i="5" s="1"/>
  <c r="L474" i="5"/>
  <c r="N474" i="5" s="1"/>
  <c r="L475" i="5"/>
  <c r="L476" i="5"/>
  <c r="N476" i="5" s="1"/>
  <c r="L477" i="5"/>
  <c r="L478" i="5"/>
  <c r="L479" i="5"/>
  <c r="N479" i="5" s="1"/>
  <c r="L480" i="5"/>
  <c r="L2" i="5"/>
  <c r="N2" i="5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2" i="5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K2" i="5"/>
  <c r="AK3" i="5"/>
  <c r="AK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3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89" i="5"/>
  <c r="AK190" i="5"/>
  <c r="AK191" i="5"/>
  <c r="AK192" i="5"/>
  <c r="AK193" i="5"/>
  <c r="AK194" i="5"/>
  <c r="AK195" i="5"/>
  <c r="AK196" i="5"/>
  <c r="AK197" i="5"/>
  <c r="AK198" i="5"/>
  <c r="AK199" i="5"/>
  <c r="AK200" i="5"/>
  <c r="AK201" i="5"/>
  <c r="AK202" i="5"/>
  <c r="AK203" i="5"/>
  <c r="AK204" i="5"/>
  <c r="AK205" i="5"/>
  <c r="AK206" i="5"/>
  <c r="AK207" i="5"/>
  <c r="AK208" i="5"/>
  <c r="AK209" i="5"/>
  <c r="AK210" i="5"/>
  <c r="AK211" i="5"/>
  <c r="AK212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225" i="5"/>
  <c r="AK226" i="5"/>
  <c r="AK227" i="5"/>
  <c r="AK228" i="5"/>
  <c r="AK229" i="5"/>
  <c r="AK230" i="5"/>
  <c r="AK231" i="5"/>
  <c r="AK232" i="5"/>
  <c r="AK233" i="5"/>
  <c r="AK234" i="5"/>
  <c r="AK235" i="5"/>
  <c r="AK236" i="5"/>
  <c r="AK237" i="5"/>
  <c r="AK238" i="5"/>
  <c r="AK239" i="5"/>
  <c r="AK240" i="5"/>
  <c r="AK241" i="5"/>
  <c r="AK242" i="5"/>
  <c r="AK243" i="5"/>
  <c r="AK244" i="5"/>
  <c r="AK245" i="5"/>
  <c r="AK246" i="5"/>
  <c r="AK247" i="5"/>
  <c r="AK248" i="5"/>
  <c r="AK249" i="5"/>
  <c r="AK250" i="5"/>
  <c r="AK251" i="5"/>
  <c r="AK252" i="5"/>
  <c r="AK253" i="5"/>
  <c r="AK254" i="5"/>
  <c r="AK255" i="5"/>
  <c r="AK256" i="5"/>
  <c r="AK257" i="5"/>
  <c r="AK258" i="5"/>
  <c r="AK259" i="5"/>
  <c r="AK260" i="5"/>
  <c r="AK261" i="5"/>
  <c r="AK262" i="5"/>
  <c r="AK263" i="5"/>
  <c r="AK264" i="5"/>
  <c r="AK265" i="5"/>
  <c r="AK266" i="5"/>
  <c r="AK267" i="5"/>
  <c r="AK268" i="5"/>
  <c r="AK269" i="5"/>
  <c r="AK270" i="5"/>
  <c r="AK271" i="5"/>
  <c r="AK272" i="5"/>
  <c r="AK273" i="5"/>
  <c r="AK274" i="5"/>
  <c r="AK275" i="5"/>
  <c r="AK276" i="5"/>
  <c r="AK277" i="5"/>
  <c r="AK278" i="5"/>
  <c r="AK279" i="5"/>
  <c r="AK280" i="5"/>
  <c r="AK281" i="5"/>
  <c r="AK282" i="5"/>
  <c r="AK283" i="5"/>
  <c r="AK284" i="5"/>
  <c r="AK285" i="5"/>
  <c r="AK286" i="5"/>
  <c r="AK287" i="5"/>
  <c r="AK288" i="5"/>
  <c r="AK289" i="5"/>
  <c r="AK290" i="5"/>
  <c r="AK291" i="5"/>
  <c r="AK292" i="5"/>
  <c r="AK293" i="5"/>
  <c r="AK294" i="5"/>
  <c r="AK295" i="5"/>
  <c r="AK296" i="5"/>
  <c r="AK297" i="5"/>
  <c r="AK298" i="5"/>
  <c r="AK299" i="5"/>
  <c r="AK300" i="5"/>
  <c r="AK301" i="5"/>
  <c r="AK302" i="5"/>
  <c r="AK303" i="5"/>
  <c r="AK304" i="5"/>
  <c r="AK305" i="5"/>
  <c r="AK306" i="5"/>
  <c r="AK307" i="5"/>
  <c r="AK308" i="5"/>
  <c r="AK309" i="5"/>
  <c r="AK310" i="5"/>
  <c r="AK311" i="5"/>
  <c r="AK312" i="5"/>
  <c r="AK313" i="5"/>
  <c r="AK314" i="5"/>
  <c r="AK315" i="5"/>
  <c r="AK316" i="5"/>
  <c r="AK317" i="5"/>
  <c r="AK318" i="5"/>
  <c r="AK319" i="5"/>
  <c r="AK320" i="5"/>
  <c r="AK321" i="5"/>
  <c r="AK322" i="5"/>
  <c r="AK323" i="5"/>
  <c r="AK324" i="5"/>
  <c r="AK325" i="5"/>
  <c r="AK326" i="5"/>
  <c r="AK327" i="5"/>
  <c r="AK328" i="5"/>
  <c r="AK329" i="5"/>
  <c r="AK330" i="5"/>
  <c r="AK331" i="5"/>
  <c r="AK332" i="5"/>
  <c r="AK333" i="5"/>
  <c r="AK334" i="5"/>
  <c r="AK335" i="5"/>
  <c r="AK336" i="5"/>
  <c r="AK337" i="5"/>
  <c r="AK338" i="5"/>
  <c r="AK339" i="5"/>
  <c r="AK340" i="5"/>
  <c r="AK341" i="5"/>
  <c r="AK342" i="5"/>
  <c r="AK343" i="5"/>
  <c r="AK344" i="5"/>
  <c r="AK345" i="5"/>
  <c r="AK346" i="5"/>
  <c r="AK347" i="5"/>
  <c r="AK348" i="5"/>
  <c r="AK349" i="5"/>
  <c r="AK350" i="5"/>
  <c r="AK351" i="5"/>
  <c r="AK352" i="5"/>
  <c r="AK353" i="5"/>
  <c r="AK354" i="5"/>
  <c r="AK355" i="5"/>
  <c r="AK356" i="5"/>
  <c r="AK357" i="5"/>
  <c r="AK358" i="5"/>
  <c r="AK359" i="5"/>
  <c r="AK360" i="5"/>
  <c r="AK361" i="5"/>
  <c r="AK362" i="5"/>
  <c r="AK363" i="5"/>
  <c r="AK364" i="5"/>
  <c r="AK365" i="5"/>
  <c r="AK366" i="5"/>
  <c r="AK367" i="5"/>
  <c r="AK368" i="5"/>
  <c r="AK369" i="5"/>
  <c r="AK370" i="5"/>
  <c r="AK371" i="5"/>
  <c r="AK372" i="5"/>
  <c r="AK373" i="5"/>
  <c r="AK374" i="5"/>
  <c r="AK375" i="5"/>
  <c r="AK376" i="5"/>
  <c r="AK377" i="5"/>
  <c r="AK378" i="5"/>
  <c r="AK379" i="5"/>
  <c r="AK380" i="5"/>
  <c r="AK381" i="5"/>
  <c r="AK382" i="5"/>
  <c r="AK383" i="5"/>
  <c r="AK384" i="5"/>
  <c r="AK385" i="5"/>
  <c r="AK386" i="5"/>
  <c r="AK387" i="5"/>
  <c r="AK388" i="5"/>
  <c r="AK389" i="5"/>
  <c r="AK390" i="5"/>
  <c r="AK391" i="5"/>
  <c r="AK392" i="5"/>
  <c r="AK393" i="5"/>
  <c r="AK394" i="5"/>
  <c r="AK395" i="5"/>
  <c r="AK396" i="5"/>
  <c r="AK397" i="5"/>
  <c r="AK398" i="5"/>
  <c r="AK399" i="5"/>
  <c r="AK400" i="5"/>
  <c r="AK401" i="5"/>
  <c r="AK402" i="5"/>
  <c r="AK403" i="5"/>
  <c r="AK404" i="5"/>
  <c r="AK405" i="5"/>
  <c r="AK406" i="5"/>
  <c r="AK407" i="5"/>
  <c r="AK408" i="5"/>
  <c r="AK409" i="5"/>
  <c r="AK410" i="5"/>
  <c r="AK411" i="5"/>
  <c r="AK412" i="5"/>
  <c r="AK413" i="5"/>
  <c r="AK414" i="5"/>
  <c r="AK415" i="5"/>
  <c r="AK416" i="5"/>
  <c r="AK417" i="5"/>
  <c r="AK418" i="5"/>
  <c r="AK419" i="5"/>
  <c r="AK420" i="5"/>
  <c r="AK421" i="5"/>
  <c r="AK422" i="5"/>
  <c r="AK423" i="5"/>
  <c r="AK424" i="5"/>
  <c r="AK425" i="5"/>
  <c r="AK426" i="5"/>
  <c r="AK427" i="5"/>
  <c r="AK428" i="5"/>
  <c r="AK429" i="5"/>
  <c r="AK430" i="5"/>
  <c r="AK431" i="5"/>
  <c r="AK432" i="5"/>
  <c r="AK433" i="5"/>
  <c r="AK434" i="5"/>
  <c r="AK435" i="5"/>
  <c r="AK436" i="5"/>
  <c r="AK437" i="5"/>
  <c r="AK438" i="5"/>
  <c r="AK439" i="5"/>
  <c r="AK440" i="5"/>
  <c r="AK441" i="5"/>
  <c r="AK442" i="5"/>
  <c r="AK443" i="5"/>
  <c r="AK444" i="5"/>
  <c r="AK445" i="5"/>
  <c r="AK446" i="5"/>
  <c r="AK447" i="5"/>
  <c r="AK448" i="5"/>
  <c r="AK449" i="5"/>
  <c r="AK450" i="5"/>
  <c r="AK451" i="5"/>
  <c r="AK452" i="5"/>
  <c r="AK453" i="5"/>
  <c r="AK454" i="5"/>
  <c r="AK455" i="5"/>
  <c r="AK456" i="5"/>
  <c r="AK457" i="5"/>
  <c r="AK458" i="5"/>
  <c r="AK459" i="5"/>
  <c r="AK460" i="5"/>
  <c r="AK461" i="5"/>
  <c r="AK462" i="5"/>
  <c r="AK463" i="5"/>
  <c r="AK464" i="5"/>
  <c r="AK465" i="5"/>
  <c r="AK466" i="5"/>
  <c r="AK467" i="5"/>
  <c r="AK468" i="5"/>
  <c r="AK469" i="5"/>
  <c r="AK470" i="5"/>
  <c r="AK471" i="5"/>
  <c r="AK472" i="5"/>
  <c r="AK473" i="5"/>
  <c r="AK474" i="5"/>
  <c r="AK475" i="5"/>
  <c r="AK476" i="5"/>
  <c r="AK477" i="5"/>
  <c r="AK478" i="5"/>
  <c r="AK479" i="5"/>
  <c r="AK480" i="5"/>
  <c r="AJ2" i="5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J345" i="5"/>
  <c r="AJ346" i="5"/>
  <c r="AJ347" i="5"/>
  <c r="AJ348" i="5"/>
  <c r="AJ349" i="5"/>
  <c r="AJ350" i="5"/>
  <c r="AJ351" i="5"/>
  <c r="AJ352" i="5"/>
  <c r="AJ353" i="5"/>
  <c r="AJ354" i="5"/>
  <c r="AJ355" i="5"/>
  <c r="AJ356" i="5"/>
  <c r="AJ357" i="5"/>
  <c r="AJ358" i="5"/>
  <c r="AJ359" i="5"/>
  <c r="AJ360" i="5"/>
  <c r="AJ361" i="5"/>
  <c r="AJ362" i="5"/>
  <c r="AJ363" i="5"/>
  <c r="AJ364" i="5"/>
  <c r="AJ365" i="5"/>
  <c r="AJ366" i="5"/>
  <c r="AJ367" i="5"/>
  <c r="AJ368" i="5"/>
  <c r="AJ369" i="5"/>
  <c r="AJ370" i="5"/>
  <c r="AJ371" i="5"/>
  <c r="AJ372" i="5"/>
  <c r="AJ373" i="5"/>
  <c r="AJ374" i="5"/>
  <c r="AJ375" i="5"/>
  <c r="AJ376" i="5"/>
  <c r="AJ377" i="5"/>
  <c r="AJ378" i="5"/>
  <c r="AJ379" i="5"/>
  <c r="AJ380" i="5"/>
  <c r="AJ381" i="5"/>
  <c r="AJ382" i="5"/>
  <c r="AJ383" i="5"/>
  <c r="AJ384" i="5"/>
  <c r="AJ385" i="5"/>
  <c r="AJ386" i="5"/>
  <c r="AJ387" i="5"/>
  <c r="AJ388" i="5"/>
  <c r="AJ389" i="5"/>
  <c r="AJ390" i="5"/>
  <c r="AJ391" i="5"/>
  <c r="AJ392" i="5"/>
  <c r="AJ393" i="5"/>
  <c r="AJ394" i="5"/>
  <c r="AJ395" i="5"/>
  <c r="AJ396" i="5"/>
  <c r="AJ397" i="5"/>
  <c r="AJ398" i="5"/>
  <c r="AJ399" i="5"/>
  <c r="AJ400" i="5"/>
  <c r="AJ401" i="5"/>
  <c r="AJ402" i="5"/>
  <c r="AJ403" i="5"/>
  <c r="AJ404" i="5"/>
  <c r="AJ405" i="5"/>
  <c r="AJ406" i="5"/>
  <c r="AJ407" i="5"/>
  <c r="AJ408" i="5"/>
  <c r="AJ409" i="5"/>
  <c r="AJ410" i="5"/>
  <c r="AJ411" i="5"/>
  <c r="AJ412" i="5"/>
  <c r="AJ413" i="5"/>
  <c r="AJ414" i="5"/>
  <c r="AJ415" i="5"/>
  <c r="AJ416" i="5"/>
  <c r="AJ417" i="5"/>
  <c r="AJ418" i="5"/>
  <c r="AJ419" i="5"/>
  <c r="AJ420" i="5"/>
  <c r="AJ421" i="5"/>
  <c r="AJ422" i="5"/>
  <c r="AJ423" i="5"/>
  <c r="AJ424" i="5"/>
  <c r="AJ425" i="5"/>
  <c r="AJ426" i="5"/>
  <c r="AJ427" i="5"/>
  <c r="AJ428" i="5"/>
  <c r="AJ429" i="5"/>
  <c r="AJ430" i="5"/>
  <c r="AJ431" i="5"/>
  <c r="AJ432" i="5"/>
  <c r="AJ433" i="5"/>
  <c r="AJ434" i="5"/>
  <c r="AJ435" i="5"/>
  <c r="AJ436" i="5"/>
  <c r="AJ437" i="5"/>
  <c r="AJ438" i="5"/>
  <c r="AJ439" i="5"/>
  <c r="AJ440" i="5"/>
  <c r="AJ441" i="5"/>
  <c r="AJ442" i="5"/>
  <c r="AJ443" i="5"/>
  <c r="AJ444" i="5"/>
  <c r="AJ445" i="5"/>
  <c r="AJ446" i="5"/>
  <c r="AJ447" i="5"/>
  <c r="AJ448" i="5"/>
  <c r="AJ449" i="5"/>
  <c r="AJ450" i="5"/>
  <c r="AJ451" i="5"/>
  <c r="AJ452" i="5"/>
  <c r="AJ453" i="5"/>
  <c r="AJ454" i="5"/>
  <c r="AJ455" i="5"/>
  <c r="AJ456" i="5"/>
  <c r="AJ457" i="5"/>
  <c r="AJ458" i="5"/>
  <c r="AJ459" i="5"/>
  <c r="AJ460" i="5"/>
  <c r="AJ461" i="5"/>
  <c r="AJ462" i="5"/>
  <c r="AJ463" i="5"/>
  <c r="AJ464" i="5"/>
  <c r="AJ465" i="5"/>
  <c r="AJ466" i="5"/>
  <c r="AJ467" i="5"/>
  <c r="AJ468" i="5"/>
  <c r="AJ469" i="5"/>
  <c r="AJ470" i="5"/>
  <c r="AJ471" i="5"/>
  <c r="AJ472" i="5"/>
  <c r="AJ473" i="5"/>
  <c r="AJ474" i="5"/>
  <c r="AJ475" i="5"/>
  <c r="AJ476" i="5"/>
  <c r="AJ477" i="5"/>
  <c r="AJ478" i="5"/>
  <c r="AJ479" i="5"/>
  <c r="AJ480" i="5"/>
  <c r="AI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H2" i="5"/>
  <c r="AH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H322" i="5"/>
  <c r="AH323" i="5"/>
  <c r="AH324" i="5"/>
  <c r="AH325" i="5"/>
  <c r="AH326" i="5"/>
  <c r="AH327" i="5"/>
  <c r="AH328" i="5"/>
  <c r="AH329" i="5"/>
  <c r="AH330" i="5"/>
  <c r="AH331" i="5"/>
  <c r="AH332" i="5"/>
  <c r="AH333" i="5"/>
  <c r="AH334" i="5"/>
  <c r="AH335" i="5"/>
  <c r="AH336" i="5"/>
  <c r="AH337" i="5"/>
  <c r="AH338" i="5"/>
  <c r="AH339" i="5"/>
  <c r="AH340" i="5"/>
  <c r="AH341" i="5"/>
  <c r="AH342" i="5"/>
  <c r="AH343" i="5"/>
  <c r="AH344" i="5"/>
  <c r="AH345" i="5"/>
  <c r="AH346" i="5"/>
  <c r="AH347" i="5"/>
  <c r="AH348" i="5"/>
  <c r="AH349" i="5"/>
  <c r="AH350" i="5"/>
  <c r="AH351" i="5"/>
  <c r="AH352" i="5"/>
  <c r="AH353" i="5"/>
  <c r="AH354" i="5"/>
  <c r="AH355" i="5"/>
  <c r="AH356" i="5"/>
  <c r="AH357" i="5"/>
  <c r="AH358" i="5"/>
  <c r="AH359" i="5"/>
  <c r="AH360" i="5"/>
  <c r="AH361" i="5"/>
  <c r="AH362" i="5"/>
  <c r="AH363" i="5"/>
  <c r="AH364" i="5"/>
  <c r="AH365" i="5"/>
  <c r="AH366" i="5"/>
  <c r="AH367" i="5"/>
  <c r="AH368" i="5"/>
  <c r="AH369" i="5"/>
  <c r="AH370" i="5"/>
  <c r="AH371" i="5"/>
  <c r="AH372" i="5"/>
  <c r="AH373" i="5"/>
  <c r="AH374" i="5"/>
  <c r="AH375" i="5"/>
  <c r="AH376" i="5"/>
  <c r="AH377" i="5"/>
  <c r="AH378" i="5"/>
  <c r="AH379" i="5"/>
  <c r="AH380" i="5"/>
  <c r="AH381" i="5"/>
  <c r="AH382" i="5"/>
  <c r="AH383" i="5"/>
  <c r="AH384" i="5"/>
  <c r="AH385" i="5"/>
  <c r="AH386" i="5"/>
  <c r="AH387" i="5"/>
  <c r="AH388" i="5"/>
  <c r="AH389" i="5"/>
  <c r="AH390" i="5"/>
  <c r="AH391" i="5"/>
  <c r="AH392" i="5"/>
  <c r="AH393" i="5"/>
  <c r="AH394" i="5"/>
  <c r="AH395" i="5"/>
  <c r="AH396" i="5"/>
  <c r="AH397" i="5"/>
  <c r="AH398" i="5"/>
  <c r="AH399" i="5"/>
  <c r="AH400" i="5"/>
  <c r="AH401" i="5"/>
  <c r="AH402" i="5"/>
  <c r="AH403" i="5"/>
  <c r="AH404" i="5"/>
  <c r="AH405" i="5"/>
  <c r="AH406" i="5"/>
  <c r="AH407" i="5"/>
  <c r="AH408" i="5"/>
  <c r="AH409" i="5"/>
  <c r="AH410" i="5"/>
  <c r="AH411" i="5"/>
  <c r="AH412" i="5"/>
  <c r="AH413" i="5"/>
  <c r="AH414" i="5"/>
  <c r="AH415" i="5"/>
  <c r="AH416" i="5"/>
  <c r="AH417" i="5"/>
  <c r="AH418" i="5"/>
  <c r="AH419" i="5"/>
  <c r="AH420" i="5"/>
  <c r="AH421" i="5"/>
  <c r="AH422" i="5"/>
  <c r="AH423" i="5"/>
  <c r="AH424" i="5"/>
  <c r="AH425" i="5"/>
  <c r="AH426" i="5"/>
  <c r="AH427" i="5"/>
  <c r="AH428" i="5"/>
  <c r="AH429" i="5"/>
  <c r="AH430" i="5"/>
  <c r="AH431" i="5"/>
  <c r="AH432" i="5"/>
  <c r="AH433" i="5"/>
  <c r="AH434" i="5"/>
  <c r="AH435" i="5"/>
  <c r="AH436" i="5"/>
  <c r="AH437" i="5"/>
  <c r="AH438" i="5"/>
  <c r="AH439" i="5"/>
  <c r="AH440" i="5"/>
  <c r="AH441" i="5"/>
  <c r="AH442" i="5"/>
  <c r="AH443" i="5"/>
  <c r="AH444" i="5"/>
  <c r="AH445" i="5"/>
  <c r="AH446" i="5"/>
  <c r="AH447" i="5"/>
  <c r="AH448" i="5"/>
  <c r="AH449" i="5"/>
  <c r="AH450" i="5"/>
  <c r="AH451" i="5"/>
  <c r="AH452" i="5"/>
  <c r="AH453" i="5"/>
  <c r="AH454" i="5"/>
  <c r="AH455" i="5"/>
  <c r="AH456" i="5"/>
  <c r="AH457" i="5"/>
  <c r="AH458" i="5"/>
  <c r="AH459" i="5"/>
  <c r="AH460" i="5"/>
  <c r="AH461" i="5"/>
  <c r="AH462" i="5"/>
  <c r="AH463" i="5"/>
  <c r="AH464" i="5"/>
  <c r="AH465" i="5"/>
  <c r="AH466" i="5"/>
  <c r="AH467" i="5"/>
  <c r="AH468" i="5"/>
  <c r="AH469" i="5"/>
  <c r="AH470" i="5"/>
  <c r="AH471" i="5"/>
  <c r="AH472" i="5"/>
  <c r="AH473" i="5"/>
  <c r="AH474" i="5"/>
  <c r="AH475" i="5"/>
  <c r="AH476" i="5"/>
  <c r="AH477" i="5"/>
  <c r="AH478" i="5"/>
  <c r="AH479" i="5"/>
  <c r="AH480" i="5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F2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F351" i="5"/>
  <c r="AF352" i="5"/>
  <c r="AF353" i="5"/>
  <c r="AF354" i="5"/>
  <c r="AF355" i="5"/>
  <c r="AF356" i="5"/>
  <c r="AF357" i="5"/>
  <c r="AF358" i="5"/>
  <c r="AF359" i="5"/>
  <c r="AF360" i="5"/>
  <c r="AF361" i="5"/>
  <c r="AF362" i="5"/>
  <c r="AF363" i="5"/>
  <c r="AF364" i="5"/>
  <c r="AF365" i="5"/>
  <c r="AF366" i="5"/>
  <c r="AF367" i="5"/>
  <c r="AF368" i="5"/>
  <c r="AF369" i="5"/>
  <c r="AF370" i="5"/>
  <c r="AF371" i="5"/>
  <c r="AF372" i="5"/>
  <c r="AF373" i="5"/>
  <c r="AF374" i="5"/>
  <c r="AF375" i="5"/>
  <c r="AF376" i="5"/>
  <c r="AF377" i="5"/>
  <c r="AF378" i="5"/>
  <c r="AF379" i="5"/>
  <c r="AF380" i="5"/>
  <c r="AF381" i="5"/>
  <c r="AF382" i="5"/>
  <c r="AF383" i="5"/>
  <c r="AF384" i="5"/>
  <c r="AF385" i="5"/>
  <c r="AF386" i="5"/>
  <c r="AF387" i="5"/>
  <c r="AF388" i="5"/>
  <c r="AF389" i="5"/>
  <c r="AF390" i="5"/>
  <c r="AF391" i="5"/>
  <c r="AF392" i="5"/>
  <c r="AF393" i="5"/>
  <c r="AF394" i="5"/>
  <c r="AF395" i="5"/>
  <c r="AF396" i="5"/>
  <c r="AF397" i="5"/>
  <c r="AF398" i="5"/>
  <c r="AF399" i="5"/>
  <c r="AF400" i="5"/>
  <c r="AF401" i="5"/>
  <c r="AF402" i="5"/>
  <c r="AF403" i="5"/>
  <c r="AF404" i="5"/>
  <c r="AF405" i="5"/>
  <c r="AF406" i="5"/>
  <c r="AF407" i="5"/>
  <c r="AF408" i="5"/>
  <c r="AF409" i="5"/>
  <c r="AF410" i="5"/>
  <c r="AF411" i="5"/>
  <c r="AF412" i="5"/>
  <c r="AF413" i="5"/>
  <c r="AF414" i="5"/>
  <c r="AF415" i="5"/>
  <c r="AF416" i="5"/>
  <c r="AF417" i="5"/>
  <c r="AF418" i="5"/>
  <c r="AF419" i="5"/>
  <c r="AF420" i="5"/>
  <c r="AF421" i="5"/>
  <c r="AF422" i="5"/>
  <c r="AF423" i="5"/>
  <c r="AF424" i="5"/>
  <c r="AF425" i="5"/>
  <c r="AF426" i="5"/>
  <c r="AF427" i="5"/>
  <c r="AF428" i="5"/>
  <c r="AF429" i="5"/>
  <c r="AF430" i="5"/>
  <c r="AF431" i="5"/>
  <c r="AF432" i="5"/>
  <c r="AF433" i="5"/>
  <c r="AF434" i="5"/>
  <c r="AF435" i="5"/>
  <c r="AF436" i="5"/>
  <c r="AF437" i="5"/>
  <c r="AF438" i="5"/>
  <c r="AF439" i="5"/>
  <c r="AF440" i="5"/>
  <c r="AF441" i="5"/>
  <c r="AF442" i="5"/>
  <c r="AF443" i="5"/>
  <c r="AF444" i="5"/>
  <c r="AF445" i="5"/>
  <c r="AF446" i="5"/>
  <c r="AF447" i="5"/>
  <c r="AF448" i="5"/>
  <c r="AF449" i="5"/>
  <c r="AF450" i="5"/>
  <c r="AF451" i="5"/>
  <c r="AF452" i="5"/>
  <c r="AF453" i="5"/>
  <c r="AF454" i="5"/>
  <c r="AF455" i="5"/>
  <c r="AF456" i="5"/>
  <c r="AF457" i="5"/>
  <c r="AF458" i="5"/>
  <c r="AF459" i="5"/>
  <c r="AF460" i="5"/>
  <c r="AF461" i="5"/>
  <c r="AF462" i="5"/>
  <c r="AF463" i="5"/>
  <c r="AF464" i="5"/>
  <c r="AF465" i="5"/>
  <c r="AF466" i="5"/>
  <c r="AF467" i="5"/>
  <c r="AF468" i="5"/>
  <c r="AF469" i="5"/>
  <c r="AF470" i="5"/>
  <c r="AF471" i="5"/>
  <c r="AF472" i="5"/>
  <c r="AF473" i="5"/>
  <c r="AF474" i="5"/>
  <c r="AF475" i="5"/>
  <c r="AF476" i="5"/>
  <c r="AF477" i="5"/>
  <c r="AF478" i="5"/>
  <c r="AF479" i="5"/>
  <c r="AF480" i="5"/>
  <c r="AE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E331" i="5"/>
  <c r="AE332" i="5"/>
  <c r="AE333" i="5"/>
  <c r="AE334" i="5"/>
  <c r="AE335" i="5"/>
  <c r="AE336" i="5"/>
  <c r="AE337" i="5"/>
  <c r="AE338" i="5"/>
  <c r="AE339" i="5"/>
  <c r="AE340" i="5"/>
  <c r="AE341" i="5"/>
  <c r="AE342" i="5"/>
  <c r="AE343" i="5"/>
  <c r="AE344" i="5"/>
  <c r="AE345" i="5"/>
  <c r="AE346" i="5"/>
  <c r="AE347" i="5"/>
  <c r="AE348" i="5"/>
  <c r="AE349" i="5"/>
  <c r="AE350" i="5"/>
  <c r="AE351" i="5"/>
  <c r="AE352" i="5"/>
  <c r="AE353" i="5"/>
  <c r="AE354" i="5"/>
  <c r="AE355" i="5"/>
  <c r="AE356" i="5"/>
  <c r="AE357" i="5"/>
  <c r="AE358" i="5"/>
  <c r="AE359" i="5"/>
  <c r="AE360" i="5"/>
  <c r="AE361" i="5"/>
  <c r="AE362" i="5"/>
  <c r="AE363" i="5"/>
  <c r="AE364" i="5"/>
  <c r="AE365" i="5"/>
  <c r="AE366" i="5"/>
  <c r="AE367" i="5"/>
  <c r="AE368" i="5"/>
  <c r="AE369" i="5"/>
  <c r="AE370" i="5"/>
  <c r="AE371" i="5"/>
  <c r="AE372" i="5"/>
  <c r="AE373" i="5"/>
  <c r="AE374" i="5"/>
  <c r="AE375" i="5"/>
  <c r="AE376" i="5"/>
  <c r="AE377" i="5"/>
  <c r="AE378" i="5"/>
  <c r="AE379" i="5"/>
  <c r="AE380" i="5"/>
  <c r="AE381" i="5"/>
  <c r="AE382" i="5"/>
  <c r="AE383" i="5"/>
  <c r="AE384" i="5"/>
  <c r="AE385" i="5"/>
  <c r="AE386" i="5"/>
  <c r="AE387" i="5"/>
  <c r="AE388" i="5"/>
  <c r="AE389" i="5"/>
  <c r="AE390" i="5"/>
  <c r="AE391" i="5"/>
  <c r="AE392" i="5"/>
  <c r="AE393" i="5"/>
  <c r="AE394" i="5"/>
  <c r="AE395" i="5"/>
  <c r="AE396" i="5"/>
  <c r="AE397" i="5"/>
  <c r="AE398" i="5"/>
  <c r="AE399" i="5"/>
  <c r="AE400" i="5"/>
  <c r="AE401" i="5"/>
  <c r="AE402" i="5"/>
  <c r="AE403" i="5"/>
  <c r="AE404" i="5"/>
  <c r="AE405" i="5"/>
  <c r="AE406" i="5"/>
  <c r="AE407" i="5"/>
  <c r="AE408" i="5"/>
  <c r="AE409" i="5"/>
  <c r="AE410" i="5"/>
  <c r="AE411" i="5"/>
  <c r="AE412" i="5"/>
  <c r="AE413" i="5"/>
  <c r="AE414" i="5"/>
  <c r="AE415" i="5"/>
  <c r="AE416" i="5"/>
  <c r="AE417" i="5"/>
  <c r="AE418" i="5"/>
  <c r="AE419" i="5"/>
  <c r="AE420" i="5"/>
  <c r="AE421" i="5"/>
  <c r="AE422" i="5"/>
  <c r="AE423" i="5"/>
  <c r="AE424" i="5"/>
  <c r="AE425" i="5"/>
  <c r="AE426" i="5"/>
  <c r="AE427" i="5"/>
  <c r="AE428" i="5"/>
  <c r="AE429" i="5"/>
  <c r="AE430" i="5"/>
  <c r="AE431" i="5"/>
  <c r="AE432" i="5"/>
  <c r="AE433" i="5"/>
  <c r="AE434" i="5"/>
  <c r="AE435" i="5"/>
  <c r="AE436" i="5"/>
  <c r="AE437" i="5"/>
  <c r="AE438" i="5"/>
  <c r="AE439" i="5"/>
  <c r="AE440" i="5"/>
  <c r="AE441" i="5"/>
  <c r="AE442" i="5"/>
  <c r="AE443" i="5"/>
  <c r="AE444" i="5"/>
  <c r="AE445" i="5"/>
  <c r="AE446" i="5"/>
  <c r="AE447" i="5"/>
  <c r="AE448" i="5"/>
  <c r="AE449" i="5"/>
  <c r="AE450" i="5"/>
  <c r="AE451" i="5"/>
  <c r="AE452" i="5"/>
  <c r="AE453" i="5"/>
  <c r="AE454" i="5"/>
  <c r="AE455" i="5"/>
  <c r="AE456" i="5"/>
  <c r="AE457" i="5"/>
  <c r="AE458" i="5"/>
  <c r="AE459" i="5"/>
  <c r="AE460" i="5"/>
  <c r="AE461" i="5"/>
  <c r="AE462" i="5"/>
  <c r="AE463" i="5"/>
  <c r="AE464" i="5"/>
  <c r="AE465" i="5"/>
  <c r="AE466" i="5"/>
  <c r="AE467" i="5"/>
  <c r="AE468" i="5"/>
  <c r="AE469" i="5"/>
  <c r="AE470" i="5"/>
  <c r="AE471" i="5"/>
  <c r="AE472" i="5"/>
  <c r="AE473" i="5"/>
  <c r="AE474" i="5"/>
  <c r="AE475" i="5"/>
  <c r="AE476" i="5"/>
  <c r="AE477" i="5"/>
  <c r="AE478" i="5"/>
  <c r="AE479" i="5"/>
  <c r="AE480" i="5"/>
  <c r="AD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N3" i="5"/>
  <c r="N4" i="5"/>
  <c r="N7" i="5"/>
  <c r="N9" i="5"/>
  <c r="N10" i="5"/>
  <c r="N12" i="5"/>
  <c r="N13" i="5"/>
  <c r="N15" i="5"/>
  <c r="N18" i="5"/>
  <c r="N20" i="5"/>
  <c r="N21" i="5"/>
  <c r="N23" i="5"/>
  <c r="N24" i="5"/>
  <c r="N26" i="5"/>
  <c r="N29" i="5"/>
  <c r="N32" i="5"/>
  <c r="N34" i="5"/>
  <c r="N35" i="5"/>
  <c r="N37" i="5"/>
  <c r="N40" i="5"/>
  <c r="N43" i="5"/>
  <c r="N45" i="5"/>
  <c r="N46" i="5"/>
  <c r="N48" i="5"/>
  <c r="N49" i="5"/>
  <c r="N51" i="5"/>
  <c r="N54" i="5"/>
  <c r="N56" i="5"/>
  <c r="N57" i="5"/>
  <c r="N59" i="5"/>
  <c r="N60" i="5"/>
  <c r="N62" i="5"/>
  <c r="N65" i="5"/>
  <c r="N68" i="5"/>
  <c r="N70" i="5"/>
  <c r="N71" i="5"/>
  <c r="N73" i="5"/>
  <c r="N76" i="5"/>
  <c r="N79" i="5"/>
  <c r="N81" i="5"/>
  <c r="N82" i="5"/>
  <c r="N84" i="5"/>
  <c r="N85" i="5"/>
  <c r="N87" i="5"/>
  <c r="N90" i="5"/>
  <c r="N92" i="5"/>
  <c r="N93" i="5"/>
  <c r="N95" i="5"/>
  <c r="N96" i="5"/>
  <c r="N98" i="5"/>
  <c r="N101" i="5"/>
  <c r="N104" i="5"/>
  <c r="N106" i="5"/>
  <c r="N107" i="5"/>
  <c r="N109" i="5"/>
  <c r="N112" i="5"/>
  <c r="N115" i="5"/>
  <c r="N117" i="5"/>
  <c r="N118" i="5"/>
  <c r="N120" i="5"/>
  <c r="N121" i="5"/>
  <c r="N123" i="5"/>
  <c r="N126" i="5"/>
  <c r="N128" i="5"/>
  <c r="N129" i="5"/>
  <c r="N131" i="5"/>
  <c r="N132" i="5"/>
  <c r="N134" i="5"/>
  <c r="N137" i="5"/>
  <c r="N139" i="5"/>
  <c r="N140" i="5"/>
  <c r="N142" i="5"/>
  <c r="N143" i="5"/>
  <c r="N145" i="5"/>
  <c r="N148" i="5"/>
  <c r="N151" i="5"/>
  <c r="N153" i="5"/>
  <c r="N154" i="5"/>
  <c r="N156" i="5"/>
  <c r="N157" i="5"/>
  <c r="N159" i="5"/>
  <c r="N162" i="5"/>
  <c r="N164" i="5"/>
  <c r="N165" i="5"/>
  <c r="N167" i="5"/>
  <c r="N168" i="5"/>
  <c r="N170" i="5"/>
  <c r="N173" i="5"/>
  <c r="N175" i="5"/>
  <c r="N176" i="5"/>
  <c r="N178" i="5"/>
  <c r="N179" i="5"/>
  <c r="N181" i="5"/>
  <c r="N184" i="5"/>
  <c r="N187" i="5"/>
  <c r="N189" i="5"/>
  <c r="N190" i="5"/>
  <c r="N192" i="5"/>
  <c r="N193" i="5"/>
  <c r="N195" i="5"/>
  <c r="N198" i="5"/>
  <c r="N200" i="5"/>
  <c r="N201" i="5"/>
  <c r="N203" i="5"/>
  <c r="N204" i="5"/>
  <c r="N206" i="5"/>
  <c r="N209" i="5"/>
  <c r="N211" i="5"/>
  <c r="N212" i="5"/>
  <c r="N214" i="5"/>
  <c r="N215" i="5"/>
  <c r="N217" i="5"/>
  <c r="N220" i="5"/>
  <c r="N223" i="5"/>
  <c r="N225" i="5"/>
  <c r="N226" i="5"/>
  <c r="N228" i="5"/>
  <c r="N229" i="5"/>
  <c r="N231" i="5"/>
  <c r="N234" i="5"/>
  <c r="N236" i="5"/>
  <c r="N237" i="5"/>
  <c r="N239" i="5"/>
  <c r="N240" i="5"/>
  <c r="N242" i="5"/>
  <c r="N245" i="5"/>
  <c r="N247" i="5"/>
  <c r="N248" i="5"/>
  <c r="N250" i="5"/>
  <c r="N251" i="5"/>
  <c r="N253" i="5"/>
  <c r="N256" i="5"/>
  <c r="N259" i="5"/>
  <c r="N261" i="5"/>
  <c r="N262" i="5"/>
  <c r="N264" i="5"/>
  <c r="N265" i="5"/>
  <c r="N267" i="5"/>
  <c r="N270" i="5"/>
  <c r="N272" i="5"/>
  <c r="N273" i="5"/>
  <c r="N275" i="5"/>
  <c r="N276" i="5"/>
  <c r="N278" i="5"/>
  <c r="N281" i="5"/>
  <c r="N283" i="5"/>
  <c r="N284" i="5"/>
  <c r="N286" i="5"/>
  <c r="N287" i="5"/>
  <c r="N289" i="5"/>
  <c r="N292" i="5"/>
  <c r="N295" i="5"/>
  <c r="N297" i="5"/>
  <c r="N298" i="5"/>
  <c r="N300" i="5"/>
  <c r="N301" i="5"/>
  <c r="N303" i="5"/>
  <c r="N306" i="5"/>
  <c r="N308" i="5"/>
  <c r="N309" i="5"/>
  <c r="N311" i="5"/>
  <c r="N312" i="5"/>
  <c r="N314" i="5"/>
  <c r="N317" i="5"/>
  <c r="N319" i="5"/>
  <c r="N320" i="5"/>
  <c r="N322" i="5"/>
  <c r="N323" i="5"/>
  <c r="N325" i="5"/>
  <c r="N328" i="5"/>
  <c r="N331" i="5"/>
  <c r="N333" i="5"/>
  <c r="N334" i="5"/>
  <c r="N336" i="5"/>
  <c r="N337" i="5"/>
  <c r="N339" i="5"/>
  <c r="N342" i="5"/>
  <c r="N344" i="5"/>
  <c r="N345" i="5"/>
  <c r="N347" i="5"/>
  <c r="N348" i="5"/>
  <c r="N350" i="5"/>
  <c r="N353" i="5"/>
  <c r="N355" i="5"/>
  <c r="N356" i="5"/>
  <c r="N358" i="5"/>
  <c r="N359" i="5"/>
  <c r="N361" i="5"/>
  <c r="N364" i="5"/>
  <c r="N367" i="5"/>
  <c r="N369" i="5"/>
  <c r="N370" i="5"/>
  <c r="N372" i="5"/>
  <c r="N373" i="5"/>
  <c r="N375" i="5"/>
  <c r="N378" i="5"/>
  <c r="N380" i="5"/>
  <c r="N381" i="5"/>
  <c r="N383" i="5"/>
  <c r="N384" i="5"/>
  <c r="N386" i="5"/>
  <c r="N389" i="5"/>
  <c r="N391" i="5"/>
  <c r="N392" i="5"/>
  <c r="N394" i="5"/>
  <c r="N395" i="5"/>
  <c r="N397" i="5"/>
  <c r="N400" i="5"/>
  <c r="N403" i="5"/>
  <c r="N405" i="5"/>
  <c r="N406" i="5"/>
  <c r="N408" i="5"/>
  <c r="N409" i="5"/>
  <c r="N411" i="5"/>
  <c r="N414" i="5"/>
  <c r="N416" i="5"/>
  <c r="N417" i="5"/>
  <c r="N419" i="5"/>
  <c r="N420" i="5"/>
  <c r="N422" i="5"/>
  <c r="N425" i="5"/>
  <c r="N427" i="5"/>
  <c r="N428" i="5"/>
  <c r="N430" i="5"/>
  <c r="N431" i="5"/>
  <c r="N433" i="5"/>
  <c r="N436" i="5"/>
  <c r="N439" i="5"/>
  <c r="N441" i="5"/>
  <c r="N442" i="5"/>
  <c r="N443" i="5"/>
  <c r="N444" i="5"/>
  <c r="N445" i="5"/>
  <c r="N447" i="5"/>
  <c r="N450" i="5"/>
  <c r="N452" i="5"/>
  <c r="N453" i="5"/>
  <c r="N455" i="5"/>
  <c r="N456" i="5"/>
  <c r="N458" i="5"/>
  <c r="N461" i="5"/>
  <c r="N463" i="5"/>
  <c r="N464" i="5"/>
  <c r="N466" i="5"/>
  <c r="N467" i="5"/>
  <c r="N469" i="5"/>
  <c r="N472" i="5"/>
  <c r="N475" i="5"/>
  <c r="N477" i="5"/>
  <c r="N478" i="5"/>
  <c r="N480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B492" i="5" a="1"/>
  <c r="B493" i="5" a="1"/>
  <c r="B494" i="5" a="1"/>
  <c r="B495" i="5" a="1"/>
  <c r="B496" i="5" a="1"/>
  <c r="B491" i="5" a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B484" i="5" a="1"/>
  <c r="B488" i="5" a="1"/>
  <c r="B485" i="5" a="1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A480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3" i="5"/>
  <c r="A4" i="5"/>
  <c r="A5" i="5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<sst xmlns="http://schemas.openxmlformats.org/spreadsheetml/2006/main" count="1843" uniqueCount="441">
  <si>
    <t>¿Aceptas participar voluntariamente en este formulario y autorizas el uso de la información proporcionada para los fines académicos anteriormente descritos?</t>
  </si>
  <si>
    <t>¿Con que género te identificas?</t>
  </si>
  <si>
    <t>¿En que rango de edad te encuentras?</t>
  </si>
  <si>
    <t>¿Cuál es tu edad?</t>
  </si>
  <si>
    <t>¿En qué zona vives actualmente?</t>
  </si>
  <si>
    <t>¿Cuál es tu nivel educativo?</t>
  </si>
  <si>
    <t>¿Cuál de las siguientes opciones describe mejor tu situación actual?</t>
  </si>
  <si>
    <t>¿Cuál describe mejor tu tipo de contrato o trabajo actual?</t>
  </si>
  <si>
    <t>¿Cuánto tiempo llevas trabajando?</t>
  </si>
  <si>
    <t>¿Tú trabajo está relacionado con tu formación o habilidades?</t>
  </si>
  <si>
    <t>¿Qué tan satisfecho/a estás con tus condiciones laborales actuales?</t>
  </si>
  <si>
    <t>¿Qué aspecto te gustaría mejorar principalmente de tu situación laboral?</t>
  </si>
  <si>
    <t>¿Actualmente estás interesado/a en encontrar un empleo diferente?</t>
  </si>
  <si>
    <t>¿Cuánto tiempo llevas buscando empleo?</t>
  </si>
  <si>
    <t>¿Tienes actualmente una hoja de vida actualizada?</t>
  </si>
  <si>
    <t>¿Has tenido anteriormente un empleo o trabajo remunerado?</t>
  </si>
  <si>
    <t>¿Dónde buscas o buscarias principalmente oportunidades laborales?</t>
  </si>
  <si>
    <t>¿Cuál consideras que es tu principal dificultad para conseguir empleo?</t>
  </si>
  <si>
    <t>¿Has participado en una entrevista laboral durante los últimos 6 meses?</t>
  </si>
  <si>
    <t>¿Cuál describe mejor tu situación?</t>
  </si>
  <si>
    <t>Si tienes o estás iniciando un emprendimiento, ¿en qué etapa se encuentra?</t>
  </si>
  <si>
    <t>¿Cuál es la principal dificultad para iniciar o fortalecer tu emprendimiento?</t>
  </si>
  <si>
    <t>¿Qué tipo de apoyo consideras más importante?</t>
  </si>
  <si>
    <t>¿Has participado anteriormente en algún programa de apoyo al emprendimiento?</t>
  </si>
  <si>
    <t xml:space="preserve">Indica qué tan preparado/a te sientes para realizar las siguientes actividades relacionadas con el empleo..Elaborar o actualizar mi hoja de vida. </t>
  </si>
  <si>
    <t xml:space="preserve">Indica qué tan preparado/a te sientes para realizar las siguientes actividades relacionadas con el empleo..Buscar vacantes por internet. </t>
  </si>
  <si>
    <t xml:space="preserve">Indica qué tan preparado/a te sientes para realizar las siguientes actividades relacionadas con el empleo..Presentarme a una entrevista laboral. </t>
  </si>
  <si>
    <t xml:space="preserve">Indica qué tan preparado/a te sientes para realizar las siguientes actividades relacionadas con el empleo..Explicar mis habilidades y experiencia. </t>
  </si>
  <si>
    <t>Indica qué tan preparado/a te sientes para realizar las siguientes actividades relacionadas con el empleo..Utilizar herramientas digitales para trabajar.</t>
  </si>
  <si>
    <t>¿Qué competencias te gustaría fortalecer?</t>
  </si>
  <si>
    <t>¿Qué situaciones dificultan actualmente tu acceso a oportunidades laborales o de formación?</t>
  </si>
  <si>
    <t>¿Cuáles de los siguientes servicios conoces?</t>
  </si>
  <si>
    <t xml:space="preserve">¿Cómo prefieres participar en actividades de empleabilidad? </t>
  </si>
  <si>
    <t>¿Qué horario te resulta más conveniente?</t>
  </si>
  <si>
    <t>¿Por qué medio preferirías recibir información sobre oportunidades laborales?</t>
  </si>
  <si>
    <t>Empleado con contrato</t>
  </si>
  <si>
    <t>Bachiller</t>
  </si>
  <si>
    <t>Posgrado</t>
  </si>
  <si>
    <t>Empleado sin contrato formal</t>
  </si>
  <si>
    <t>Tecnólogo</t>
  </si>
  <si>
    <t>Trabajo de manera independiente</t>
  </si>
  <si>
    <t>Profesional</t>
  </si>
  <si>
    <t>Trabajo actualmente como empleado</t>
  </si>
  <si>
    <t>Trabajo independiente</t>
  </si>
  <si>
    <t>ASPECTO</t>
  </si>
  <si>
    <t>REGLA</t>
  </si>
  <si>
    <t>ORIGEN</t>
  </si>
  <si>
    <t>¿EN QUE RANGO DE EDAD TE ENCUENTRAS?</t>
  </si>
  <si>
    <t>TOTAL DE REGISTROS</t>
  </si>
  <si>
    <t>479 PERSONAS FICTICIAS</t>
  </si>
  <si>
    <t>SG-04</t>
  </si>
  <si>
    <t>EDAD PERMITIDA</t>
  </si>
  <si>
    <t>DE 18 A 28 AÑOS</t>
  </si>
  <si>
    <t>URBANA CONSOLIDADA</t>
  </si>
  <si>
    <t>256 REGISTROS</t>
  </si>
  <si>
    <t>URBANA PERIFERICA</t>
  </si>
  <si>
    <t>113 REGISTROS</t>
  </si>
  <si>
    <t>CENTROS POBLADOS Y RURAL</t>
  </si>
  <si>
    <t>110 REGISTROS</t>
  </si>
  <si>
    <t>PRUEBA DEL PROFESOR</t>
  </si>
  <si>
    <t xml:space="preserve">EXCLUIR LA FILA 3 DE LAHOJA DE RESPUESTAS INICIALES </t>
  </si>
  <si>
    <t>CONFIRMADO POR EL ESTUDIANTE</t>
  </si>
  <si>
    <t>RESPUESTAS INICIALES</t>
  </si>
  <si>
    <t>REFERENCI: NO INCLUIR ENTRE 479 FICTICIAS</t>
  </si>
  <si>
    <t>HD-01</t>
  </si>
  <si>
    <t>UBICACIÓN DE LA EDAD</t>
  </si>
  <si>
    <t>COLUMNA H DE LA HOJA DE RESPUESTAS INICIALES</t>
  </si>
  <si>
    <t>ECXEL DE LA ENCUESTA</t>
  </si>
  <si>
    <t>EDAD FUERA DEL RANGO</t>
  </si>
  <si>
    <t>FILA 5; 29 AÑOS; NO USAR COMO REFERENCIA DE LA POBLACION DE 18 A 28 AÑOS</t>
  </si>
  <si>
    <t>REVISION DEL EXCEL</t>
  </si>
  <si>
    <t>PARTICIPACION NO ACEPTADA</t>
  </si>
  <si>
    <t>FILA 4; NO ACEPTA PARTICIPAR; EXCLUIR DE LOS DATOS DE REFERENCIA</t>
  </si>
  <si>
    <t>REVISION DE LA COLUMNA F</t>
  </si>
  <si>
    <t>UBICACIÓN DE RESIDENCIA</t>
  </si>
  <si>
    <t>COLUMNA J DE LA HOJA DE RESPUESTAS INICIALES</t>
  </si>
  <si>
    <t>EXCEL DE LA ENCUESTA</t>
  </si>
  <si>
    <t>RESPUESTAS DE RESIDENCIA OBSERVADAS</t>
  </si>
  <si>
    <t>RURAL; URBANO PERIFERICO</t>
  </si>
  <si>
    <t>REVISION DE LAS RESPUESTAS INICIALES</t>
  </si>
  <si>
    <t>OPCIONES PERMITIDAS DE RESIDENCIA</t>
  </si>
  <si>
    <t>URBANO; URBANO PERIFERICO;CENTRO POBLADO; RURAL</t>
  </si>
  <si>
    <t>FORMULARIO APROBADO</t>
  </si>
  <si>
    <t>OPCIONES DE SITUACION LABORAL</t>
  </si>
  <si>
    <t>Trabajo actualmente como empleado; trabajo de manera independiente; actualmente no trabajo y estoy buscando empleo; actualmente no trabajo y estoy buscando mi primer empleo; estudio y quiero comenzar a trabajar; tengo un emprendimiento o quiero iniciar uno.</t>
  </si>
  <si>
    <t>FORMULARIO APROBADO;RESUMEN DE LAS SEIS OPCIONES</t>
  </si>
  <si>
    <t>TIPO DE RESPUESTA: SITUACION LABORAL</t>
  </si>
  <si>
    <t>SELECCIÓN ÚNICA: UNA SOLA OPCION POR PERSONA</t>
  </si>
  <si>
    <t>SALTOS SEGÚN SITUACION LABORAL</t>
  </si>
  <si>
    <t>PENDIENTES DE VERIFICAR; NO SE OBSERVAN INDICACIONES</t>
  </si>
  <si>
    <t>REVISION DEL FORMULARIO</t>
  </si>
  <si>
    <t>OPCIONES DE TRABAJO ACTUAL</t>
  </si>
  <si>
    <t xml:space="preserve">EMPLEADO CON CONTRATO; EMPLEADO SIN CONTRATO FORMAL; TRABAJO INDEPENDIENTE; TRABAJO OCASIONALMENTE; NEGOCIO FAMILIAR </t>
  </si>
  <si>
    <t>APLICACIÓN DE LA PREGUNTA DE CONTRATO</t>
  </si>
  <si>
    <t>PENDIENTE DE VERIFICAR; NO INCLUYE; NO TRABAJO; NO APLICA</t>
  </si>
  <si>
    <t>OBLIGATORIEDAD DE CONTRATO O TRABAJO ACTUAL</t>
  </si>
  <si>
    <t>OBLIGATORIA CUANDO SE MUESTRA; TIENE ASTERISCO(*)</t>
  </si>
  <si>
    <t>SALTO; NO TRABAJA Y BUSCA EMPLEO</t>
  </si>
  <si>
    <t>“Actualmente no trabajo y estoy buscando empleo” tiene destino “Siguiente”; no termina el formulario</t>
  </si>
  <si>
    <t>Verificado en foto de ramificación</t>
  </si>
  <si>
    <t>INCOHERENCIA DEL FORMULARIO</t>
  </si>
  <si>
    <t>“Busco mi primer empleo” tiene destino “Siguiente”; en Vista previa aparece contrato actual obligatorio sin “No aplica”</t>
  </si>
  <si>
    <t>COMPROBANDO EN VISTA PREVIA</t>
  </si>
  <si>
    <t>CORRECCION PENDIENTE</t>
  </si>
  <si>
    <t>CONSULTAR AL PROFESOR COMO TRATAR EL CONTRATO ONLIGATORIO PARA QUIENES BUSCAN SU PRIMER EMPLEO</t>
  </si>
  <si>
    <t>NO HAY AUTORIZACION PARA MODIFICAR EL FORMULARIO</t>
  </si>
  <si>
    <t>OPCIONES DE TIEMPO TRABAJANDO</t>
  </si>
  <si>
    <t>MENOS DE 3 MESES; DE 3 A 6 MESES; DE 7 A 12 MESES; MAS DE UN AÑO</t>
  </si>
  <si>
    <t>OBLIGATORIEDAD DE TIEMPO TRABAJANDO</t>
  </si>
  <si>
    <t>RELACION DEL TRABAJO CON FORMACION O HABILIDADES</t>
  </si>
  <si>
    <t>SI COMPLETAMENTE; PARCIALMENTE;NO; NO APLICA</t>
  </si>
  <si>
    <t>OBLIGATORIEDAD: RELACION CON FORMACION O HABILIDADES</t>
  </si>
  <si>
    <t>OBLIGATORIA CUANDO SE MUESTRA; PERMITE RESPONDER " NO APLICA"</t>
  </si>
  <si>
    <t>SATISFACCION CON CONDICIONES LABORALES</t>
  </si>
  <si>
    <t>1- Muy satisfecho/a; 2- Satisfecho/a; 3- Insatisfecho/a; 4- Muy insatisfecho/a. Selección única; obligatoria cuando se muestra.</t>
  </si>
  <si>
    <t>Verificado en foto de la pregunta 10 del formulario</t>
  </si>
  <si>
    <t>ASPECTO QUE DESEA MEJORAR DE SU SITUACION LABORAL</t>
  </si>
  <si>
    <t>SALARIO; ESTABILIDAD LABORAL; ACCESON A PRESTACIONES; OPORTUNIDADES DE CRECIMIENTO; TRABAJAR EN UN AREA RELACIONADA CON MI FORMACION; OTRO</t>
  </si>
  <si>
    <t>OBLIGATORIEDAD: ASPECTO LABORAL QUE DESEA MEJORAR</t>
  </si>
  <si>
    <t>TIPO DE RESPUESTA: ASPECTO LABORAL QUE DESEA MEJORAR</t>
  </si>
  <si>
    <t>SELECCIÓN ÚNICA; UNA SOLA OPCION POR PERSONA</t>
  </si>
  <si>
    <t>"VARIAS RESPUESTAS" DESACTIVADO EN EL FORMULARIO</t>
  </si>
  <si>
    <t>INTERES EN ENCONTRAR UN EMPLEO DIFERENTE</t>
  </si>
  <si>
    <t>OPCIONES; SI; NO; NO ESTOY SEGURO/A. OBLIGATORIA CUANDO SE MUESTRA</t>
  </si>
  <si>
    <t>TIPO DE RESPUESTA: INTERES EN OTRO EMPLEO</t>
  </si>
  <si>
    <t>SELECCIÓN ÚNICA: SI; NO O NO ESTOY SEGURO/A</t>
  </si>
  <si>
    <t>VARIAS RESPUESTAS DESACTIVADO</t>
  </si>
  <si>
    <t>TIEMPO BUSCANDO EMPLEO</t>
  </si>
  <si>
    <t>Menos de 1 mes; entre 1 y 3 meses; entre 4 y 6 meses; más de 6 meses; todavía no he iniciado una búsqueda activa</t>
  </si>
  <si>
    <t>Verificado de la pregunta 13</t>
  </si>
  <si>
    <t>OBLIGATORIEDAD: TIEMPO BUSCANDO EMPLEO</t>
  </si>
  <si>
    <t>OBLIGATORIA CUANDO SE MUESTRA;TIENE ASTERISCO(*)</t>
  </si>
  <si>
    <t>TIPO DE RESPUESTA: TIEMPO BUSCANDO EMPLEO</t>
  </si>
  <si>
    <t>SELECCIÓN ÚNICA;UNA SOLA OPCION POR PERSONA</t>
  </si>
  <si>
    <t xml:space="preserve">"VARIAS RESPU ESTAS" DESACTIVADO </t>
  </si>
  <si>
    <t>HOJA DE VIDA ACTUALIZADA</t>
  </si>
  <si>
    <t>SI; NO; TENGO UNA PERO NECESITO ACTUALIZARLA</t>
  </si>
  <si>
    <t>TIPO DE RESPUESTA: HOJA DE VIDA</t>
  </si>
  <si>
    <t xml:space="preserve">"VARIAS RESPUESTAS" DESACTIVADO </t>
  </si>
  <si>
    <t>OBLIGATORIEDAD: HOJA DE VIDA ACTUALIZADA</t>
  </si>
  <si>
    <t>OBLGATORIA CUANDO SE MUESTRA; TIENE ASTERISCO (*)</t>
  </si>
  <si>
    <t>EMPLEO O TRABAJO REMUNERADO ANTERIOR</t>
  </si>
  <si>
    <t>OPCIONES: SI; NO. SELECCIÓN ÚNICA; OBLIGATORIA CUANDO SE MUESTRA</t>
  </si>
  <si>
    <t>FORMULARIO APROBADO; ASTERISCO Y "VARIAS RESPUESTAS " DESACTIVADO</t>
  </si>
  <si>
    <t>DÓNDE BUSCA O BUSCARIA OPORTUNIDADES LABORALES</t>
  </si>
  <si>
    <t>PORTALES D EMPLEO; REDES SOCIALES; FAMILIARES O CONOCIDOS; EMPRESAS DIRECTAMENTE; FERIAS DE EMPLEO; INSTITUCIONES PÚBLICAS;INSTITUCION EDUCATIVA; NO SE DONDE BUSCAR OTRO</t>
  </si>
  <si>
    <t>TIPO Y OBLIGATORIEDAD: BUSQUEDA DE OPORTUNIDADES</t>
  </si>
  <si>
    <t>SELECCIÓN MULTIPLE; OBLIGATORIA CUANDO SE MUESTRA</t>
  </si>
  <si>
    <t>" VARIAS RESPUESTAS" Y "OBLIGATORIO" ACTIVDOS</t>
  </si>
  <si>
    <t>PRINCIPAL DIFICULTAD PARA CONSEGUIR EMPLEO</t>
  </si>
  <si>
    <t>FALTA DE EXPERIENCIA; FALTA DE FORMACION; DIFICULTADES CON LA HOJA DE VIDA;HORARIOS DISPONIBLES;TRANSPORTE; INTERNET</t>
  </si>
  <si>
    <t>FORMULATIO APROBADO</t>
  </si>
  <si>
    <t>TIPO Y OBLIGATORIEDAD: DIFICULTAD PARA CONSEGUIR EMPLEO</t>
  </si>
  <si>
    <t>SELECCIÓN ÚNICA; OBLIGATORIO CUANDO SE MUESTRA</t>
  </si>
  <si>
    <t>"VARIAS RESPUESTAS" DESACTIVADO; TIENE ASTERISCO</t>
  </si>
  <si>
    <t>ENTREVISTA LABORAL EN LOS ÚLTIMOS 6 MESES</t>
  </si>
  <si>
    <t>FORMULARIO APROBADO; "VARIAS RESPUESTAS"DESACTIVADO Y TIENE ASTERISCO(*)</t>
  </si>
  <si>
    <t>SITUACION DE EMPRENDIMIENTO</t>
  </si>
  <si>
    <t>TENGO UN EMPRENDIMIENTO; ESTOY INICIANDO UN EMPRENDIMIENTO; ME INTERESA EMPRENDER</t>
  </si>
  <si>
    <t>TIPO Y OBLIGATORIEDDA: SITUACION DE EMPRENDIMIENTO</t>
  </si>
  <si>
    <t>SELECCIÓN ÚNICA; OPCIONAL, PUEDE QUEDAR VACIA</t>
  </si>
  <si>
    <t>"VARIAS RESPUESTAS" Y "OBLIGATORIO" DEACTIVADOS</t>
  </si>
  <si>
    <t>Etapa del emprendimiento</t>
  </si>
  <si>
    <t>Idea; inicio; funcionamiento estable; aún no he iniciado</t>
  </si>
  <si>
    <t>Formulario aprobado</t>
  </si>
  <si>
    <t>Tipo y obligatoriedad: etapa del emprendimiento</t>
  </si>
  <si>
    <t>Selección única; opcional, puede quedar vacía</t>
  </si>
  <si>
    <t>“Varias respuestas” y “Obligatorio” desactivado</t>
  </si>
  <si>
    <t>Condición indicada: etapa del emprendimiento</t>
  </si>
  <si>
    <t>El título indica responder si tiene o está iniciando un emprendimiento; ramificación pendiente de verificar</t>
  </si>
  <si>
    <t>Principal dificultad para iniciar o fortalecer el emprendimiento</t>
  </si>
  <si>
    <t>Falta de financiación; falta de conocimientos administrativos; falta de conocimientos financieros; falta de tiempo; falta de herramientas</t>
  </si>
  <si>
    <t>Tipo y obligatoriedad: dificultad del emprendimiento</t>
  </si>
  <si>
    <t>“Varias respuestas” y “Obligatorio” desactivados; sin asterisco</t>
  </si>
  <si>
    <t>Tipo de apoyo considerado más importante</t>
  </si>
  <si>
    <t>Opciones reportadas del formulario</t>
  </si>
  <si>
    <t>Tipo y obligatoriedad: apoyo más importante</t>
  </si>
  <si>
    <t>“Varias respuestas” y “Obligatorio” desactivados</t>
  </si>
  <si>
    <t>Observación: pregunta sobre apoyo</t>
  </si>
  <si>
    <t>Pregunta por apoyos, pero sus opciones describen dificultades y repiten las de la pregunta anterior</t>
  </si>
  <si>
    <t>Confirmado al revisar el formulario</t>
  </si>
  <si>
    <t>Participación anterior en programas de apoyo al emprendimiento</t>
  </si>
  <si>
    <t>Sí; No; No conozco programas de ese tipo</t>
  </si>
  <si>
    <t>Tipo y obligatoriedad: programas de emprendimiento</t>
  </si>
  <si>
    <t>Preparación para actividades relacionadas con el empleo</t>
  </si>
  <si>
    <t>Cinco actividades; una respuesta por actividad</t>
  </si>
  <si>
    <t>Pregunta 24 del formulario</t>
  </si>
  <si>
    <t>Opciones de preparación</t>
  </si>
  <si>
    <t>No puedo hacerlo; puedo hacerlo con ayuda; puedo hacerlo con dificultad; puedo hacerlo sin ayuda</t>
  </si>
  <si>
    <t>Indica qué tan preparado/a te sientes para realizar las siguientes actividades relacionadas con el empleo.</t>
  </si>
  <si>
    <t>Obligatoriedad: preparación para actividades de empleo</t>
  </si>
  <si>
    <t>Obligatoria; elegir una respuesta para cada una de las cinco actividades</t>
  </si>
  <si>
    <t>Confirmado en el formulario</t>
  </si>
  <si>
    <t>Competencias que le gustaría fortalecer</t>
  </si>
  <si>
    <t>Crear una hoja de vida; preparación para entrevista; comunicación; liderazgo; emprendimiento; herramientas digitales; educación financiera</t>
  </si>
  <si>
    <t>Tipo y obligatoriedad: competencias por fortalecer</t>
  </si>
  <si>
    <t>Selección múltiple; opcional, puede quedar vacía</t>
  </si>
  <si>
    <t>“Varias respuestas” activado; “Obligatorio” desactivado</t>
  </si>
  <si>
    <t>Dificultades de acceso a oportunidades laborales o de formación</t>
  </si>
  <si>
    <t>Costos de transporte; distancia; horarios; falta de experiencia; falta de información; ninguna; otros</t>
  </si>
  <si>
    <t>Tipo de respuesta: dificultades de acceso</t>
  </si>
  <si>
    <t>Selección múltiple</t>
  </si>
  <si>
    <t>“Varias respuestas” activado</t>
  </si>
  <si>
    <t>Obligatoriedad: dificultades de acceso</t>
  </si>
  <si>
    <t>Opcional; puede quedar vacía</t>
  </si>
  <si>
    <t>“Obligatorio” desactivado</t>
  </si>
  <si>
    <t>Coherencia: opción “Ninguna”</t>
  </si>
  <si>
    <t>Para la simulación, no combinar “Ninguna” con otras dificultades</t>
  </si>
  <si>
    <t>Regla de coherencia propuesta</t>
  </si>
  <si>
    <t>Servicios que conoce</t>
  </si>
  <si>
    <t>Oficina de orientación laboral; ferias de empleo; programas de emprendimiento; no conozco ninguno</t>
  </si>
  <si>
    <t>Tipo y obligatoriedad: servicios conocidos</t>
  </si>
  <si>
    <t>Modalidad preferida para actividades de empleabilidad</t>
  </si>
  <si>
    <t>Presencial; virtual; presencial y virtual; me es indiferente</t>
  </si>
  <si>
    <t>Tipo y obligatoriedad: modalidad preferida</t>
  </si>
  <si>
    <t>Horario más conveniente</t>
  </si>
  <si>
    <t>Diurno; nocturno; mañana entre semana; fines de semana</t>
  </si>
  <si>
    <t>Tipo y obligatoriedad: horario conveniente</t>
  </si>
  <si>
    <t>Medio preferido para recibir información laboral</t>
  </si>
  <si>
    <t>WhatsApp; correo electrónico; redes sociales; celular; otro</t>
  </si>
  <si>
    <t>Tipo y obligatoriedad: medio de información</t>
  </si>
  <si>
    <t>Recorrido de quienes no trabajan y buscan empleo</t>
  </si>
  <si>
    <t>En Vista previa llega a “Jóvenes actualmente trabajando”; aparecen contrato y tiempo trabajando obligatorios</t>
  </si>
  <si>
    <t>Verificado en El formulario</t>
  </si>
  <si>
    <t>Sección de búsqueda de empleo</t>
  </si>
  <si>
    <t>“Búsqueda de empleo”; comienza en la pregunta 13</t>
  </si>
  <si>
    <t>Verificado en el formulario</t>
  </si>
  <si>
    <t>Indicación del profesor</t>
  </si>
  <si>
    <t xml:space="preserve">Se deben ajustar los datospa ra que sea congruente en la simulación </t>
  </si>
  <si>
    <t>Respuesta del profesor</t>
  </si>
  <si>
    <t>Personas que no trabajan y buscan empleo</t>
  </si>
  <si>
    <t>Para ambas opciones de búsqueda de empleo: dejar vacías las preguntas 7 a 12 sobre trabajo actual y responder la sección Búsqueda de empleo, desde la pregunta 13</t>
  </si>
  <si>
    <t>Regla de simulación basada en la indicación del profesor</t>
  </si>
  <si>
    <t>Inicio de la sección Emprendimiento</t>
  </si>
  <si>
    <t>Pregunta 19: ¿Cuál describe mejor tu situación?</t>
  </si>
  <si>
    <t>Verificado en  el formulario</t>
  </si>
  <si>
    <t>Inicio de Perfilamiento común</t>
  </si>
  <si>
    <t>Comienza en la pregunta 24; bloque común para todos los perfiles de la simulación</t>
  </si>
  <si>
    <t>Foto del formulario y regla de simulación</t>
  </si>
  <si>
    <t>Ramificación de interés en otro empleo</t>
  </si>
  <si>
    <t>Sí, No y No estoy seguro/a tienen destino “Siguiente”; continúa a Búsqueda de empleo</t>
  </si>
  <si>
    <t>Verificado en la pregunta 12</t>
  </si>
  <si>
    <t>Coherencia del tiempo buscando empleo</t>
  </si>
  <si>
    <t>Si no ha comenzado a buscar, usar “Todavía no he iniciado una búsqueda activa”; no inventar meses de búsqueda</t>
  </si>
  <si>
    <t>Regla de coherencia para la simulación</t>
  </si>
  <si>
    <t>Supuesto del perfil estudiante</t>
  </si>
  <si>
    <t>Para la simulación, “Estudio y quiero comenzar a trabajar” se interpreta como estudiante sin trabajo actual</t>
  </si>
  <si>
    <t>Supuesto de simulación; no es un dato comprobado</t>
  </si>
  <si>
    <t>Coherencia entre situación y etapa del emprendimiento</t>
  </si>
  <si>
    <t>“Tengo un emprendimiento” no debe combinarse con “Aún no he iniciado”. La etapa debe corresponder a la situación elegida</t>
  </si>
  <si>
    <t>Opciones de rango de edad</t>
  </si>
  <si>
    <t>De 18 a 20 años; de 20 a 22 años; de 22 a 24 años; de 24 a 26 años; de 26 a 28 años</t>
  </si>
  <si>
    <t>Verificado en foto de la pregunta 3</t>
  </si>
  <si>
    <t>Tipo y obligatoriedad: edad</t>
  </si>
  <si>
    <t>Selección única; obligatoria</t>
  </si>
  <si>
    <t>Configuración visible del formulario</t>
  </si>
  <si>
    <t>Fuentes complementarias localizadas</t>
  </si>
  <si>
    <t>Referencias DANE registradas en la hoja 12_Fuentes del Excel de la actividad anterior</t>
  </si>
  <si>
    <t>Revisión del archivo guardado</t>
  </si>
  <si>
    <t>Datos de edad pendientes</t>
  </si>
  <si>
    <t>El archivo no contiene una distribución de edades procesada para 18 a 28 años; no usar sus cifras de contexto como porcentajes de San Gabriel</t>
  </si>
  <si>
    <t>Hojas 00_Parametros y 04_Matriz_B</t>
  </si>
  <si>
    <t>Conjunto de datos complementario</t>
  </si>
  <si>
    <t>Anexo DANE de mercado laboral juvenil, mayo-julio de 2026; población de 15 a 28 años</t>
  </si>
  <si>
    <t>Archivo del anexo guardado en Insumos Originales</t>
  </si>
  <si>
    <t>Uso del anexo</t>
  </si>
  <si>
    <t>Referencia de contexto laboral; no copiar sus porcentajes como resultados de San Gabriel ni como distribución de edades</t>
  </si>
  <si>
    <t>Revisión de las tablas del anexo</t>
  </si>
  <si>
    <t>Distribución de edades para la simulación</t>
  </si>
  <si>
    <t>Reparto aproximadamente uniforme entre los cinco rangos, dentro de cada dominio territorial. Supuesto académico; no representa la distribución real de San Gabriel.</t>
  </si>
  <si>
    <t>Supuesto de simulación; no tomado del DANE</t>
  </si>
  <si>
    <t>Opciones de género</t>
  </si>
  <si>
    <t>Masculino; Femenino; Otro; No quiero responder</t>
  </si>
  <si>
    <t>Verificado en la pregunta 2 del formulario</t>
  </si>
  <si>
    <t>Tipo y obligatoriedad: género</t>
  </si>
  <si>
    <t>Una sola respuesta; obligatoria; “No quiero responder” es válido</t>
  </si>
  <si>
    <t>Configuración del formulario</t>
  </si>
  <si>
    <t>Supuesto de distribución de género</t>
  </si>
  <si>
    <t>Masculino: 230; Femenino: 230; Otro: 10; No quiero responder: 9. Reparto académico sin estimación poblacional.</t>
  </si>
  <si>
    <t>Supuesto propuesto para la simulación</t>
  </si>
  <si>
    <t>Reparto de centros poblados y rural</t>
  </si>
  <si>
    <t>55 Centro poblado y 55 Rural dentro de los 110 registros del dominio</t>
  </si>
  <si>
    <t>Supuesto académico; no representa una proporción real de San Gabriel</t>
  </si>
  <si>
    <t>Opciones de nivel educativo</t>
  </si>
  <si>
    <t>Bachiller; Técnico; Tecnólogo; Profesional; Posgrado</t>
  </si>
  <si>
    <t>Verificado en el formulario de la pregunta 5</t>
  </si>
  <si>
    <t>Tipo y obligatoriedad: nivel educativo</t>
  </si>
  <si>
    <t>Coherencia entre edad y nivel educativo</t>
  </si>
  <si>
    <t>En esta simulación, Profesional se asignará desde el rango de 22 a 24 años y Posgrado desde el rango de 24 a 26 años.</t>
  </si>
  <si>
    <t>Supuesto académico conservador; no es una restricción del formulario ni una regla universal.</t>
  </si>
  <si>
    <r>
      <t>Distribución simulada del nivel educativo</t>
    </r>
    <r>
      <rPr>
        <sz val="11"/>
        <color theme="1"/>
        <rFont val="Calibri"/>
        <family val="2"/>
        <scheme val="minor"/>
      </rPr>
      <t>.</t>
    </r>
  </si>
  <si>
    <t>Bachiller: 142; Técnico: 111; Tecnólogo: 110; Profesional: 100; Posgrado: 16. Asignación condicionada al rango de edad.</t>
  </si>
  <si>
    <t>Supuesto académico; no representa la distribución real de San Gabriel.</t>
  </si>
  <si>
    <t>Coherencia de edad exacta y rango</t>
  </si>
  <si>
    <t>Edad exacta entre 18 y 28 años y dentro del rango asignado. Para evitar límites compartidos, usar 18–19, 20–21, 22–23, 24–25 y 26–28, respectivamente</t>
  </si>
  <si>
    <t>Regla de asignación para la simulación</t>
  </si>
  <si>
    <t>Distribución de situación laboral</t>
  </si>
  <si>
    <t>Empleado: 150; independiente: 80; busca empleo: 90; primer empleo: 60; estudia y quiere trabajar: 60; emprendimiento: 39</t>
  </si>
  <si>
    <t>Supuesto académico propuesto; no corresponde a una estimación real de San Gabriel</t>
  </si>
  <si>
    <t>Asignación de contrato o trabajo actual</t>
  </si>
  <si>
    <t>Empleados: repartir entre “Empleado con contrato” y “Empleado sin contrato formal”. Independientes: “Trabajo independiente”. Quienes no trabajan: dejar vacío. Perfil de emprendimiento: pendiente de definir</t>
  </si>
  <si>
    <t>Regla propuesta de coherencia para la simulación</t>
  </si>
  <si>
    <t>Reparto de contratos entre empleados</t>
  </si>
  <si>
    <t>100 con contrato y 50 sin contrato formal, de los 150 empleados</t>
  </si>
  <si>
    <t>Supuesto académico; no corresponde a cifras reales de San Gabriel</t>
  </si>
  <si>
    <t>Tiempo trabajando</t>
  </si>
  <si>
    <t>Para empleados e independientes: asignar uno de los cuatro rangos permitidos. Otros perfiles: vacío por ahora; emprendimiento pendiente</t>
  </si>
  <si>
    <t>Distribución del tiempo trabajando</t>
  </si>
  <si>
    <t>Reparto aproximadamente uniforme entre los cuatro rangos, por separado para empleados e independientes</t>
  </si>
  <si>
    <t>Supuesto académico; no representa una distribución real</t>
  </si>
  <si>
    <t>Relación del trabajo con formación o habilidades</t>
  </si>
  <si>
    <t>Empleados e independientes: Sí, completamente; Parcialmente; No. Quienes no trabajan: vacío por salto simulado. Emprendimiento: pendiente</t>
  </si>
  <si>
    <t>Distribución de relación con formación</t>
  </si>
  <si>
    <t>Reparto aproximadamente uniforme entre las tres respuestas aplicables, dentro de cada perfil que trabaja</t>
  </si>
  <si>
    <t>Satisfacción con condiciones laborales</t>
  </si>
  <si>
    <t>Responder para empleados e independientes; otros perfiles vacíos por ahora. Emprendimiento pendiente</t>
  </si>
  <si>
    <t>Regla de simulación</t>
  </si>
  <si>
    <t>Distribución de satisfacción laboral</t>
  </si>
  <si>
    <t>Reparto aproximadamente uniforme entre las cuatro opciones, dentro de cada perfil que trabaja</t>
  </si>
  <si>
    <t>Aspecto laboral que desea mejorar</t>
  </si>
  <si>
    <t>Responder para empleados e independientes; los demás perfiles quedan vacíos por ahora. Emprendimiento pendiente</t>
  </si>
  <si>
    <t>Regla de coherencia de la simulación</t>
  </si>
  <si>
    <t>Distribución de aspectos por mejorar</t>
  </si>
  <si>
    <t>Reparto entre las seis opciones concretas, ajustado según la relación del trabajo con la formación. “Otro” no se utiliza. No se exige igualdad de cantidades.</t>
  </si>
  <si>
    <t>Supuesto académico; no representa preferencias reales</t>
  </si>
  <si>
    <t>Interés en encontrar un empleo diferente</t>
  </si>
  <si>
    <t>Responder para empleados e independientes; otros perfiles vacíos por ahora. Distribución vinculada a satisfacción, sin relación obligatoria</t>
  </si>
  <si>
    <t>Supuesto académico de simulación</t>
  </si>
  <si>
    <t>Tiempo buscando empleo</t>
  </si>
  <si>
    <t>Quienes buscan empleo o su primer empleo: uno de los cuatro tiempos de búsqueda activa. Estudiantes: pueden no haber iniciado. Empleados e independientes: distinguir interés de búsqueda activa. Emprendimiento pendiente</t>
  </si>
  <si>
    <t>Supuesto de coherencia para la simulación</t>
  </si>
  <si>
    <t>Personas que trabajan y buscan otro empleo</t>
  </si>
  <si>
    <t>Si responden “No” en O, asignar “Todavía no he iniciado una búsqueda activa”. Si responden “Sí” o “No estoy seguro/a”, permitir tanto búsqueda activa como no iniciada</t>
  </si>
  <si>
    <t>Supuesto académico; no es una relación comprobada</t>
  </si>
  <si>
    <t>Hoja de vida actualizada</t>
  </si>
  <si>
    <t>Para los cinco perfiles ya definidos: Sí; No; Tengo una pero necesito actualizarla. Perfil de emprendimiento pendiente</t>
  </si>
  <si>
    <t>Distribución de hoja de vida</t>
  </si>
  <si>
    <t>Reparto aproximadamente uniforme de las tres opciones dentro de cada perfil, sin asumir que buscar empleo garantiza tener hoja de vida</t>
  </si>
  <si>
    <t>Supuesto académico</t>
  </si>
  <si>
    <t>Experiencia remunerada anterior</t>
  </si>
  <si>
    <t>“Busco mi primer empleo”: No. Empleados e independientes: puede ser Sí o No, pues el trabajo actual puede ser el primero. Otros perfiles: según historia simulada. Emprendimiento pendiente</t>
  </si>
  <si>
    <t>Supuesto de experiencia previa</t>
  </si>
  <si>
    <t>Para empleados, independientes, estudiantes y quienes buscan empleo sin indicar “primer empleo”: reparto aproximadamente equilibrado entre Sí y No</t>
  </si>
  <si>
    <t>Supuesto académico; no es una distribución observada</t>
  </si>
  <si>
    <t>Medios de búsqueda de oportunidades laborales</t>
  </si>
  <si>
    <t>Permite varias opciones; guardar las selecciones separadas por punto y coma. No combinar “No sé dónde buscar” con medios concretos</t>
  </si>
  <si>
    <t>Distribución de medios de búsqueda</t>
  </si>
  <si>
    <t>Variar respuestas individuales y combinadas entre las opciones del formulario. “Otro” no se utilizará. Emprendimiento pendiente</t>
  </si>
  <si>
    <t>Principal dificultad para conseguir empleo</t>
  </si>
  <si>
    <t>Una sola opción: falta de experiencia; falta de formación; dificultades con la hoja de vida; horarios disponibles; transporte; internet. Emprendimiento pendiente</t>
  </si>
  <si>
    <t>Opciones del formulario</t>
  </si>
  <si>
    <t>Supuesto de distribución de dificultades</t>
  </si>
  <si>
    <t>Variar las seis opciones. No asignar dificultades con la hoja de vida a quienes respondieron que tienen una actualizada, como simplificación de esta simulación</t>
  </si>
  <si>
    <t>Supuesto académico; tener hoja de vida actualizada no garantiza su calidad</t>
  </si>
  <si>
    <t>Entrevistas laborales en los últimos 6 meses</t>
  </si>
  <si>
    <t>Opciones Sí y No. Buscar el primer empleo no impide haber participado en entrevistas. Emprendimiento pendiente</t>
  </si>
  <si>
    <t>Regla de coherencia</t>
  </si>
  <si>
    <t>Distribución de participación en entrevistas</t>
  </si>
  <si>
    <t>Reparto aproximadamente equilibrado entre Sí y No dentro de cada perfil definido, sin equiparar entrevista con contratación</t>
  </si>
  <si>
    <t>Situación de emprendimiento</t>
  </si>
  <si>
    <t>Entre los 39 registros del perfil: 13 tienen un emprendimiento, 13 están iniciándolo y 13 tienen interés en emprender</t>
  </si>
  <si>
    <t>Supuesto académico; no corresponde a cifras reales</t>
  </si>
  <si>
    <t>Emprendimiento en otros perfiles</t>
  </si>
  <si>
    <t>En esta versión, las preguntas 19 a 23 quedan vacías para los demás perfiles. Esto no demuestra que carezcan de interés en emprender</t>
  </si>
  <si>
    <t>Simplificación del escenario simulado</t>
  </si>
  <si>
    <t>Coherencia de la etapa del emprendimiento</t>
  </si>
  <si>
    <t>“Tengo un emprendimiento”: Funcionamiento estable. “Estoy iniciando un emprendimiento”: Inicio. “Me interesa emprender”: vacío, porque la condición de la pregunta no le corresponde</t>
  </si>
  <si>
    <t>Simplificación académica del escenario; no describe todos los casos posibles</t>
  </si>
  <si>
    <t>Dificultad del emprendimiento</t>
  </si>
  <si>
    <t>Responder para los 39 registros del perfil de emprendimiento, incluidos quienes tienen interés en iniciar uno; una sola opción por persona</t>
  </si>
  <si>
    <t>Regla del escenario simulado</t>
  </si>
  <si>
    <t>Distribución de dificultades del emprendimiento</t>
  </si>
  <si>
    <t>Reparto aproximadamente uniforme entre financiación, conocimientos administrativos, conocimientos financieros, tiempo y herramientas</t>
  </si>
  <si>
    <t>Interpretación de la pregunta sobre apoyo</t>
  </si>
  <si>
    <t>Conserva las opciones originales, aunque describen dificultades. En la simulación se elige la misma categoría de X como necesidad prioritaria; no equivale a identificar un servicio de apoyo</t>
  </si>
  <si>
    <t>Supuesto académico y limitación del instrumento</t>
  </si>
  <si>
    <t>Programas de apoyo al emprendimiento</t>
  </si>
  <si>
    <t>Responder para los 39 registros del perfil de emprendimiento: Sí; No; No conozco programas de ese tipo</t>
  </si>
  <si>
    <t>Opciones del formulario y alcance de la simulación</t>
  </si>
  <si>
    <t>Distribución de participación en programas</t>
  </si>
  <si>
    <t>13 registros por opción, mezclados entre las tres situaciones de emprendimiento</t>
  </si>
  <si>
    <t>Preparación para actividades de empleo</t>
  </si>
  <si>
    <t>Los 479 registros responden las cinco actividades. Reparto aproximadamente uniforme entre las cuatro valoraciones, variando la asignación por actividad</t>
  </si>
  <si>
    <t>Supuesto académico; no representa habilidades reales</t>
  </si>
  <si>
    <t>Competencias que desea fortalecer</t>
  </si>
  <si>
    <t>Para los 479 registros: variar opciones individuales y combinadas, separadas por punto y coma. En esta versión se completa aunque sea opcional</t>
  </si>
  <si>
    <t>Dificultades de acceso</t>
  </si>
  <si>
    <t>Variar opciones individuales y combinadas para los 479 registros. “Ninguna” aparece sola; “Otros” no se utiliza. Se completa aunque sea opcional</t>
  </si>
  <si>
    <t>Supuesto académico; sin diferencias territoriales impuestas</t>
  </si>
  <si>
    <t>Servicios conocidos</t>
  </si>
  <si>
    <t>Una sola respuesta por registro: oficina de orientación laboral; ferias de empleo; programas de emprendimiento; no conozco ninguno. Reparto aproximadamente uniforme; se completa aunque sea opcional</t>
  </si>
  <si>
    <t>Modalidad preferida</t>
  </si>
  <si>
    <t>Reparto aproximadamente uniforme entre Presencial, Virtual, Presencial y virtual, y Me es indiferente. Se completa para los 479 registros</t>
  </si>
  <si>
    <t>Horario preferido</t>
  </si>
  <si>
    <t>Reparto aproximadamente uniforme entre Diurno, Nocturno, Mañana entre semana y Fines de semana. Se completa para los 479 registros</t>
  </si>
  <si>
    <t>Medio preferido para recibir información</t>
  </si>
  <si>
    <t>Reparto aproximadamente uniforme entre WhatsApp, Correo electrónico, Redes sociales y Celular. “Otro” no se utiliza. Se completa para los 479 registros</t>
  </si>
  <si>
    <t>Alcance del perfil de emprendimiento</t>
  </si>
  <si>
    <t>Los 39 registros responden preguntas iniciales, emprendimiento y perfilamiento común. J a U quedan vacías por el recorrido simulado; no se interpreta como ausencia de trabajo o búsqueda</t>
  </si>
  <si>
    <t>Simplificación académica y limitación de la simulación</t>
  </si>
  <si>
    <t>Situación laboral</t>
  </si>
  <si>
    <t>Preguntas que responde</t>
  </si>
  <si>
    <r>
      <t>Preguntas que quedan vacías</t>
    </r>
    <r>
      <rPr>
        <sz val="11"/>
        <color theme="1"/>
        <rFont val="Calibri"/>
        <family val="2"/>
        <scheme val="minor"/>
      </rPr>
      <t xml:space="preserve"> </t>
    </r>
  </si>
  <si>
    <t>Actualmente no trabajo y estoy buscando empleo</t>
  </si>
  <si>
    <t>Preguntas iniciales 1 a 6; búsqueda de empleo 13 a 18; perfilamiento común desde la 24</t>
  </si>
  <si>
    <t>Trabajo actual 7 a 12. Emprendimiento 19 a 23 pendiente de definir según interés</t>
  </si>
  <si>
    <t>Busco mi primer empleo</t>
  </si>
  <si>
    <t>Preguntas 1 a 12; búsqueda de empleo 13 a 18 según su situación; perfilamiento común desde la 24</t>
  </si>
  <si>
    <t>Emprendimiento 19 a 23: pendiente de definir según interés</t>
  </si>
  <si>
    <t>Estudio y quiero comenzar a trabajar</t>
  </si>
  <si>
    <t>Preguntas 1 a 6; búsqueda de empleo 13 a 18; perfilamiento común desde la 24</t>
  </si>
  <si>
    <t>Trabajo actual 7 a 12 vacías; emprendimiento 19 a 23 según interés</t>
  </si>
  <si>
    <t>Tengo un emprendimiento o quiero iniciar uno</t>
  </si>
  <si>
    <t>Preguntas 1 a 6; emprendimiento 19 a 23; perfilamiento común desde la 24</t>
  </si>
  <si>
    <t>Preguntas 7 a 18 sin recoger en este recorrido; situación de empleo adicional desconocida</t>
  </si>
  <si>
    <t>DOMINIO  TERRITORIAL</t>
  </si>
  <si>
    <t>PORCENTAJE DE REGISTROS</t>
  </si>
  <si>
    <t>NUMERO D REGISTROS</t>
  </si>
  <si>
    <t>Urbana Consolidada</t>
  </si>
  <si>
    <t>URBANA PERIFÉRICA</t>
  </si>
  <si>
    <t>Total general</t>
  </si>
  <si>
    <t>Dominio territorial</t>
  </si>
  <si>
    <t>Numero de Registros</t>
  </si>
  <si>
    <t>Centros Poblados y rural</t>
  </si>
  <si>
    <t>Urbana Periferica</t>
  </si>
  <si>
    <r>
      <t>ID artificial</t>
    </r>
    <r>
      <rPr>
        <sz val="11"/>
        <color theme="1"/>
        <rFont val="Calibri"/>
        <family val="2"/>
        <scheme val="minor"/>
      </rPr>
      <t>.</t>
    </r>
  </si>
  <si>
    <r>
      <t>Dominio territorial</t>
    </r>
    <r>
      <rPr>
        <sz val="11"/>
        <color theme="1"/>
        <rFont val="Calibri"/>
        <family val="2"/>
        <scheme val="minor"/>
      </rPr>
      <t>.</t>
    </r>
  </si>
  <si>
    <t>SI, ACEPTO PARTICIPAR</t>
  </si>
  <si>
    <t>URBANA</t>
  </si>
  <si>
    <t>AH1</t>
  </si>
  <si>
    <t>URBANO PERIFERICO</t>
  </si>
  <si>
    <t>De 24 a 26 años</t>
  </si>
  <si>
    <t>Técnico</t>
  </si>
  <si>
    <r>
      <t>Comprobación</t>
    </r>
    <r>
      <rPr>
        <sz val="11"/>
        <color theme="1"/>
        <rFont val="Calibri"/>
        <family val="2"/>
        <scheme val="minor"/>
      </rPr>
      <t>.</t>
    </r>
  </si>
  <si>
    <r>
      <t>Resultado</t>
    </r>
    <r>
      <rPr>
        <sz val="11"/>
        <color theme="1"/>
        <rFont val="Calibri"/>
        <family val="2"/>
        <scheme val="minor"/>
      </rPr>
      <t>.</t>
    </r>
  </si>
  <si>
    <r>
      <t>Esperado</t>
    </r>
    <r>
      <rPr>
        <sz val="11"/>
        <color theme="1"/>
        <rFont val="Calibri"/>
        <family val="2"/>
        <scheme val="minor"/>
      </rPr>
      <t>.</t>
    </r>
  </si>
  <si>
    <r>
      <t>Total de registros</t>
    </r>
    <r>
      <rPr>
        <sz val="11"/>
        <color theme="1"/>
        <rFont val="Calibri"/>
        <family val="2"/>
        <scheme val="minor"/>
      </rPr>
      <t>.</t>
    </r>
  </si>
  <si>
    <r>
      <t>Urbana consolidada</t>
    </r>
    <r>
      <rPr>
        <sz val="11"/>
        <color theme="1"/>
        <rFont val="Calibri"/>
        <family val="2"/>
        <scheme val="minor"/>
      </rPr>
      <t>.</t>
    </r>
  </si>
  <si>
    <t>Urbana periférica</t>
  </si>
  <si>
    <t>Centros poblados y rural</t>
  </si>
  <si>
    <r>
      <t>Total por territorios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</si>
</sst>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u/>
      <sz val="11"/>
      <color rgb="FF000000"/>
      <name val="Segoe UI"/>
      <family val="2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0"/>
      <color theme="1"/>
      <name val="Arial Unicode MS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0" fontId="7" fillId="0" borderId="0" xfId="0" applyFont="1"/>
    <xf numFmtId="0" fontId="8" fillId="0" borderId="0" xfId="0" applyFont="1"/>
    <xf numFmtId="0" fontId="9" fillId="3" borderId="2" xfId="0" applyFont="1" applyFill="1" applyBorder="1"/>
    <xf numFmtId="0" fontId="5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1" fillId="0" borderId="0" xfId="0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Registros sinteticos por dominio territorial</a:t>
            </a:r>
            <a:r>
              <a:rPr lang="es-CO" baseline="0"/>
              <a:t> (n=479)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TERRITORIAL'!$F$20</c:f>
              <c:strCache>
                <c:ptCount val="1"/>
                <c:pt idx="0">
                  <c:v>Numero de Registros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TERRITORIAL'!$E$21:$E$23</c:f>
              <c:strCache>
                <c:ptCount val="3"/>
                <c:pt idx="0">
                  <c:v>Centros Poblados y rural</c:v>
                </c:pt>
                <c:pt idx="1">
                  <c:v>Urbana Consolidada</c:v>
                </c:pt>
                <c:pt idx="2">
                  <c:v>Urbana Periferica</c:v>
                </c:pt>
              </c:strCache>
            </c:strRef>
          </c:cat>
          <c:val>
            <c:numRef>
              <c:f>'RESUMEN TERRITORIAL'!$F$21:$F$23</c:f>
              <c:numCache>
                <c:formatCode>General</c:formatCode>
                <c:ptCount val="3"/>
                <c:pt idx="0">
                  <c:v>110</c:v>
                </c:pt>
                <c:pt idx="1">
                  <c:v>256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2-48F2-8812-A9F347821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03967"/>
        <c:axId val="80425743"/>
      </c:barChart>
      <c:catAx>
        <c:axId val="10820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25743"/>
        <c:crosses val="autoZero"/>
        <c:auto val="1"/>
        <c:lblAlgn val="ctr"/>
        <c:lblOffset val="100"/>
        <c:noMultiLvlLbl val="0"/>
      </c:catAx>
      <c:valAx>
        <c:axId val="8042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20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928687</xdr:colOff>
      <xdr:row>17</xdr:row>
      <xdr:rowOff>52387</xdr:rowOff>
    </xdr:from>
    <xdr:to>
      <xdr:col>3</xdr:col>
      <xdr:colOff>538162</xdr:colOff>
      <xdr:row>31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08D312-6BBF-6E07-7D16-D0479490A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A" refreshedDate="46306.174832986108" createdVersion="8" refreshedVersion="8" minRefreshableVersion="3" recordCount="479" xr:uid="{024803F5-4E1C-41B4-900D-DA3CCC0D76E0}">
  <cacheSource type="worksheet">
    <worksheetSource name="Tabla1"/>
  </cacheSource>
  <cacheFields count="37">
    <cacheField name="ID artificial." numFmtId="0">
      <sharedItems count="479">
        <s v="SG001"/>
        <s v="SG002"/>
        <s v="SG003"/>
        <s v="SG004"/>
        <s v="SG005"/>
        <s v="SG006"/>
        <s v="SG007"/>
        <s v="SG008"/>
        <s v="SG009"/>
        <s v="SG010"/>
        <s v="SG011"/>
        <s v="SG012"/>
        <s v="SG013"/>
        <s v="SG014"/>
        <s v="SG015"/>
        <s v="SG016"/>
        <s v="SG017"/>
        <s v="SG018"/>
        <s v="SG019"/>
        <s v="SG020"/>
        <s v="SG021"/>
        <s v="SG022"/>
        <s v="SG023"/>
        <s v="SG024"/>
        <s v="SG025"/>
        <s v="SG026"/>
        <s v="SG027"/>
        <s v="SG028"/>
        <s v="SG029"/>
        <s v="SG030"/>
        <s v="SG031"/>
        <s v="SG032"/>
        <s v="SG033"/>
        <s v="SG034"/>
        <s v="SG035"/>
        <s v="SG036"/>
        <s v="SG037"/>
        <s v="SG038"/>
        <s v="SG039"/>
        <s v="SG040"/>
        <s v="SG041"/>
        <s v="SG042"/>
        <s v="SG043"/>
        <s v="SG044"/>
        <s v="SG045"/>
        <s v="SG046"/>
        <s v="SG047"/>
        <s v="SG048"/>
        <s v="SG049"/>
        <s v="SG050"/>
        <s v="SG051"/>
        <s v="SG052"/>
        <s v="SG053"/>
        <s v="SG054"/>
        <s v="SG055"/>
        <s v="SG056"/>
        <s v="SG057"/>
        <s v="SG058"/>
        <s v="SG059"/>
        <s v="SG060"/>
        <s v="SG061"/>
        <s v="SG062"/>
        <s v="SG063"/>
        <s v="SG064"/>
        <s v="SG065"/>
        <s v="SG066"/>
        <s v="SG067"/>
        <s v="SG068"/>
        <s v="SG069"/>
        <s v="SG070"/>
        <s v="SG071"/>
        <s v="SG072"/>
        <s v="SG073"/>
        <s v="SG074"/>
        <s v="SG075"/>
        <s v="SG076"/>
        <s v="SG077"/>
        <s v="SG078"/>
        <s v="SG079"/>
        <s v="SG080"/>
        <s v="SG081"/>
        <s v="SG082"/>
        <s v="SG083"/>
        <s v="SG084"/>
        <s v="SG085"/>
        <s v="SG086"/>
        <s v="SG087"/>
        <s v="SG088"/>
        <s v="SG089"/>
        <s v="SG090"/>
        <s v="SG091"/>
        <s v="SG092"/>
        <s v="SG093"/>
        <s v="SG094"/>
        <s v="SG095"/>
        <s v="SG096"/>
        <s v="SG097"/>
        <s v="SG098"/>
        <s v="SG099"/>
        <s v="SG100"/>
        <s v="SG101"/>
        <s v="SG102"/>
        <s v="SG103"/>
        <s v="SG104"/>
        <s v="SG105"/>
        <s v="SG106"/>
        <s v="SG107"/>
        <s v="SG108"/>
        <s v="SG109"/>
        <s v="SG110"/>
        <s v="SG111"/>
        <s v="SG112"/>
        <s v="SG113"/>
        <s v="SG114"/>
        <s v="SG115"/>
        <s v="SG116"/>
        <s v="SG117"/>
        <s v="SG118"/>
        <s v="SG119"/>
        <s v="SG120"/>
        <s v="SG121"/>
        <s v="SG122"/>
        <s v="SG123"/>
        <s v="SG124"/>
        <s v="SG125"/>
        <s v="SG126"/>
        <s v="SG127"/>
        <s v="SG128"/>
        <s v="SG129"/>
        <s v="SG130"/>
        <s v="SG131"/>
        <s v="SG132"/>
        <s v="SG133"/>
        <s v="SG134"/>
        <s v="SG135"/>
        <s v="SG136"/>
        <s v="SG137"/>
        <s v="SG138"/>
        <s v="SG139"/>
        <s v="SG140"/>
        <s v="SG141"/>
        <s v="SG142"/>
        <s v="SG143"/>
        <s v="SG144"/>
        <s v="SG145"/>
        <s v="SG146"/>
        <s v="SG147"/>
        <s v="SG148"/>
        <s v="SG149"/>
        <s v="SG150"/>
        <s v="SG151"/>
        <s v="SG152"/>
        <s v="SG153"/>
        <s v="SG154"/>
        <s v="SG155"/>
        <s v="SG156"/>
        <s v="SG157"/>
        <s v="SG158"/>
        <s v="SG159"/>
        <s v="SG160"/>
        <s v="SG161"/>
        <s v="SG162"/>
        <s v="SG163"/>
        <s v="SG164"/>
        <s v="SG165"/>
        <s v="SG166"/>
        <s v="SG167"/>
        <s v="SG168"/>
        <s v="SG169"/>
        <s v="SG170"/>
        <s v="SG171"/>
        <s v="SG172"/>
        <s v="SG173"/>
        <s v="SG174"/>
        <s v="SG175"/>
        <s v="SG176"/>
        <s v="SG177"/>
        <s v="SG178"/>
        <s v="SG179"/>
        <s v="SG180"/>
        <s v="SG181"/>
        <s v="SG182"/>
        <s v="SG183"/>
        <s v="SG184"/>
        <s v="SG185"/>
        <s v="SG186"/>
        <s v="SG187"/>
        <s v="SG188"/>
        <s v="SG189"/>
        <s v="SG190"/>
        <s v="SG191"/>
        <s v="SG192"/>
        <s v="SG193"/>
        <s v="SG194"/>
        <s v="SG195"/>
        <s v="SG196"/>
        <s v="SG197"/>
        <s v="SG198"/>
        <s v="SG199"/>
        <s v="SG200"/>
        <s v="SG201"/>
        <s v="SG202"/>
        <s v="SG203"/>
        <s v="SG204"/>
        <s v="SG205"/>
        <s v="SG206"/>
        <s v="SG207"/>
        <s v="SG208"/>
        <s v="SG209"/>
        <s v="SG210"/>
        <s v="SG211"/>
        <s v="SG212"/>
        <s v="SG213"/>
        <s v="SG214"/>
        <s v="SG215"/>
        <s v="SG216"/>
        <s v="SG217"/>
        <s v="SG218"/>
        <s v="SG219"/>
        <s v="SG220"/>
        <s v="SG221"/>
        <s v="SG222"/>
        <s v="SG223"/>
        <s v="SG224"/>
        <s v="SG225"/>
        <s v="SG226"/>
        <s v="SG227"/>
        <s v="SG228"/>
        <s v="SG229"/>
        <s v="SG230"/>
        <s v="SG231"/>
        <s v="SG232"/>
        <s v="SG233"/>
        <s v="SG234"/>
        <s v="SG235"/>
        <s v="SG236"/>
        <s v="SG237"/>
        <s v="SG238"/>
        <s v="SG239"/>
        <s v="SG240"/>
        <s v="SG241"/>
        <s v="SG242"/>
        <s v="SG243"/>
        <s v="SG244"/>
        <s v="SG245"/>
        <s v="SG246"/>
        <s v="SG247"/>
        <s v="SG248"/>
        <s v="SG249"/>
        <s v="SG250"/>
        <s v="SG251"/>
        <s v="SG252"/>
        <s v="SG253"/>
        <s v="SG254"/>
        <s v="SG255"/>
        <s v="SG256"/>
        <s v="SG257"/>
        <s v="SG258"/>
        <s v="SG259"/>
        <s v="SG260"/>
        <s v="SG261"/>
        <s v="SG262"/>
        <s v="SG263"/>
        <s v="SG264"/>
        <s v="SG265"/>
        <s v="SG266"/>
        <s v="SG267"/>
        <s v="SG268"/>
        <s v="SG269"/>
        <s v="SG270"/>
        <s v="SG271"/>
        <s v="SG272"/>
        <s v="SG273"/>
        <s v="SG274"/>
        <s v="SG275"/>
        <s v="SG276"/>
        <s v="SG277"/>
        <s v="SG278"/>
        <s v="SG279"/>
        <s v="SG280"/>
        <s v="SG281"/>
        <s v="SG282"/>
        <s v="SG283"/>
        <s v="SG284"/>
        <s v="SG285"/>
        <s v="SG286"/>
        <s v="SG287"/>
        <s v="SG288"/>
        <s v="SG289"/>
        <s v="SG290"/>
        <s v="SG291"/>
        <s v="SG292"/>
        <s v="SG293"/>
        <s v="SG294"/>
        <s v="SG295"/>
        <s v="SG296"/>
        <s v="SG297"/>
        <s v="SG298"/>
        <s v="SG299"/>
        <s v="SG300"/>
        <s v="SG301"/>
        <s v="SG302"/>
        <s v="SG303"/>
        <s v="SG304"/>
        <s v="SG305"/>
        <s v="SG306"/>
        <s v="SG307"/>
        <s v="SG308"/>
        <s v="SG309"/>
        <s v="SG310"/>
        <s v="SG311"/>
        <s v="SG312"/>
        <s v="SG313"/>
        <s v="SG314"/>
        <s v="SG315"/>
        <s v="SG316"/>
        <s v="SG317"/>
        <s v="SG318"/>
        <s v="SG319"/>
        <s v="SG320"/>
        <s v="SG321"/>
        <s v="SG322"/>
        <s v="SG323"/>
        <s v="SG324"/>
        <s v="SG325"/>
        <s v="SG326"/>
        <s v="SG327"/>
        <s v="SG328"/>
        <s v="SG329"/>
        <s v="SG330"/>
        <s v="SG331"/>
        <s v="SG332"/>
        <s v="SG333"/>
        <s v="SG334"/>
        <s v="SG335"/>
        <s v="SG336"/>
        <s v="SG337"/>
        <s v="SG338"/>
        <s v="SG339"/>
        <s v="SG340"/>
        <s v="SG341"/>
        <s v="SG342"/>
        <s v="SG343"/>
        <s v="SG344"/>
        <s v="SG345"/>
        <s v="SG346"/>
        <s v="SG347"/>
        <s v="SG348"/>
        <s v="SG349"/>
        <s v="SG350"/>
        <s v="SG351"/>
        <s v="SG352"/>
        <s v="SG353"/>
        <s v="SG354"/>
        <s v="SG355"/>
        <s v="SG356"/>
        <s v="SG357"/>
        <s v="SG358"/>
        <s v="SG359"/>
        <s v="SG360"/>
        <s v="SG361"/>
        <s v="SG362"/>
        <s v="SG363"/>
        <s v="SG364"/>
        <s v="SG365"/>
        <s v="SG366"/>
        <s v="SG367"/>
        <s v="SG368"/>
        <s v="SG369"/>
        <s v="SG370"/>
        <s v="SG371"/>
        <s v="SG372"/>
        <s v="SG373"/>
        <s v="SG374"/>
        <s v="SG375"/>
        <s v="SG376"/>
        <s v="SG377"/>
        <s v="SG378"/>
        <s v="SG379"/>
        <s v="SG380"/>
        <s v="SG381"/>
        <s v="SG382"/>
        <s v="SG383"/>
        <s v="SG384"/>
        <s v="SG385"/>
        <s v="SG386"/>
        <s v="SG387"/>
        <s v="SG388"/>
        <s v="SG389"/>
        <s v="SG390"/>
        <s v="SG391"/>
        <s v="SG392"/>
        <s v="SG393"/>
        <s v="SG394"/>
        <s v="SG395"/>
        <s v="SG396"/>
        <s v="SG397"/>
        <s v="SG398"/>
        <s v="SG399"/>
        <s v="SG400"/>
        <s v="SG401"/>
        <s v="SG402"/>
        <s v="SG403"/>
        <s v="SG404"/>
        <s v="SG405"/>
        <s v="SG406"/>
        <s v="SG407"/>
        <s v="SG408"/>
        <s v="SG409"/>
        <s v="SG410"/>
        <s v="SG411"/>
        <s v="SG412"/>
        <s v="SG413"/>
        <s v="SG414"/>
        <s v="SG415"/>
        <s v="SG416"/>
        <s v="SG417"/>
        <s v="SG418"/>
        <s v="SG419"/>
        <s v="SG420"/>
        <s v="SG421"/>
        <s v="SG422"/>
        <s v="SG423"/>
        <s v="SG424"/>
        <s v="SG425"/>
        <s v="SG426"/>
        <s v="SG427"/>
        <s v="SG428"/>
        <s v="SG429"/>
        <s v="SG430"/>
        <s v="SG431"/>
        <s v="SG432"/>
        <s v="SG433"/>
        <s v="SG434"/>
        <s v="SG435"/>
        <s v="SG436"/>
        <s v="SG437"/>
        <s v="SG438"/>
        <s v="SG439"/>
        <s v="SG440"/>
        <s v="SG441"/>
        <s v="SG442"/>
        <s v="SG443"/>
        <s v="SG444"/>
        <s v="SG445"/>
        <s v="SG446"/>
        <s v="SG447"/>
        <s v="SG448"/>
        <s v="SG449"/>
        <s v="SG450"/>
        <s v="SG451"/>
        <s v="SG452"/>
        <s v="SG453"/>
        <s v="SG454"/>
        <s v="SG455"/>
        <s v="SG456"/>
        <s v="SG457"/>
        <s v="SG458"/>
        <s v="SG459"/>
        <s v="SG460"/>
        <s v="SG461"/>
        <s v="SG462"/>
        <s v="SG463"/>
        <s v="SG464"/>
        <s v="SG465"/>
        <s v="SG466"/>
        <s v="SG467"/>
        <s v="SG468"/>
        <s v="SG469"/>
        <s v="SG470"/>
        <s v="SG471"/>
        <s v="SG472"/>
        <s v="SG473"/>
        <s v="SG474"/>
        <s v="SG475"/>
        <s v="SG476"/>
        <s v="SG477"/>
        <s v="SG478"/>
        <s v="SG479"/>
      </sharedItems>
    </cacheField>
    <cacheField name="Dominio territorial." numFmtId="0">
      <sharedItems count="3">
        <s v="Urbana Consolidada"/>
        <s v="URBANA PERIFÉRICA"/>
        <s v="CENTROS POBLADOS Y RURAL"/>
      </sharedItems>
    </cacheField>
    <cacheField name="¿Aceptas participar voluntariamente en este formulario y autorizas el uso de la información proporcionada para los fines académicos anteriormente descritos?" numFmtId="0">
      <sharedItems/>
    </cacheField>
    <cacheField name="¿Con que género te identificas?" numFmtId="0">
      <sharedItems/>
    </cacheField>
    <cacheField name="¿En que rango de edad te encuentras?" numFmtId="0">
      <sharedItems/>
    </cacheField>
    <cacheField name="¿Cuál es tu edad?" numFmtId="0">
      <sharedItems containsSemiMixedTypes="0" containsString="0" containsNumber="1" containsInteger="1" minValue="18" maxValue="28"/>
    </cacheField>
    <cacheField name="¿En qué zona vives actualmente?" numFmtId="0">
      <sharedItems/>
    </cacheField>
    <cacheField name="¿Cuál es tu nivel educativo?" numFmtId="0">
      <sharedItems/>
    </cacheField>
    <cacheField name="¿Cuál de las siguientes opciones describe mejor tu situación actual?" numFmtId="0">
      <sharedItems/>
    </cacheField>
    <cacheField name="¿Cuál describe mejor tu tipo de contrato o trabajo actual?" numFmtId="0">
      <sharedItems/>
    </cacheField>
    <cacheField name="¿Cuánto tiempo llevas trabajando?" numFmtId="0">
      <sharedItems/>
    </cacheField>
    <cacheField name="¿Tú trabajo está relacionado con tu formación o habilidades?" numFmtId="0">
      <sharedItems/>
    </cacheField>
    <cacheField name="¿Qué tan satisfecho/a estás con tus condiciones laborales actuales?" numFmtId="0">
      <sharedItems/>
    </cacheField>
    <cacheField name="¿Qué aspecto te gustaría mejorar principalmente de tu situación laboral?" numFmtId="0">
      <sharedItems/>
    </cacheField>
    <cacheField name="¿Actualmente estás interesado/a en encontrar un empleo diferente?" numFmtId="0">
      <sharedItems/>
    </cacheField>
    <cacheField name="¿Cuánto tiempo llevas buscando empleo?" numFmtId="0">
      <sharedItems/>
    </cacheField>
    <cacheField name="¿Tienes actualmente una hoja de vida actualizada?" numFmtId="0">
      <sharedItems/>
    </cacheField>
    <cacheField name="¿Has tenido anteriormente un empleo o trabajo remunerado?" numFmtId="0">
      <sharedItems/>
    </cacheField>
    <cacheField name="¿Dónde buscas o buscarias principalmente oportunidades laborales?" numFmtId="0">
      <sharedItems/>
    </cacheField>
    <cacheField name="¿Cuál consideras que es tu principal dificultad para conseguir empleo?" numFmtId="0">
      <sharedItems/>
    </cacheField>
    <cacheField name="¿Has participado en una entrevista laboral durante los últimos 6 meses?" numFmtId="0">
      <sharedItems/>
    </cacheField>
    <cacheField name="¿Cuál describe mejor tu situación?" numFmtId="0">
      <sharedItems/>
    </cacheField>
    <cacheField name="Si tienes o estás iniciando un emprendimiento, ¿en qué etapa se encuentra?" numFmtId="0">
      <sharedItems/>
    </cacheField>
    <cacheField name="¿Cuál es la principal dificultad para iniciar o fortalecer tu emprendimiento?" numFmtId="0">
      <sharedItems/>
    </cacheField>
    <cacheField name="¿Qué tipo de apoyo consideras más importante?" numFmtId="0">
      <sharedItems/>
    </cacheField>
    <cacheField name="¿Has participado anteriormente en algún programa de apoyo al emprendimiento?" numFmtId="0">
      <sharedItems/>
    </cacheField>
    <cacheField name="Indica qué tan preparado/a te sientes para realizar las siguientes actividades relacionadas con el empleo..Elaborar o actualizar mi hoja de vida. " numFmtId="0">
      <sharedItems/>
    </cacheField>
    <cacheField name="Indica qué tan preparado/a te sientes para realizar las siguientes actividades relacionadas con el empleo..Buscar vacantes por internet. " numFmtId="0">
      <sharedItems/>
    </cacheField>
    <cacheField name="Indica qué tan preparado/a te sientes para realizar las siguientes actividades relacionadas con el empleo..Presentarme a una entrevista laboral. " numFmtId="0">
      <sharedItems/>
    </cacheField>
    <cacheField name="Indica qué tan preparado/a te sientes para realizar las siguientes actividades relacionadas con el empleo..Explicar mis habilidades y experiencia. " numFmtId="0">
      <sharedItems/>
    </cacheField>
    <cacheField name="Indica qué tan preparado/a te sientes para realizar las siguientes actividades relacionadas con el empleo..Utilizar herramientas digitales para trabajar." numFmtId="0">
      <sharedItems/>
    </cacheField>
    <cacheField name="¿Qué competencias te gustaría fortalecer?" numFmtId="0">
      <sharedItems/>
    </cacheField>
    <cacheField name="¿Qué situaciones dificultan actualmente tu acceso a oportunidades laborales o de formación?" numFmtId="0">
      <sharedItems/>
    </cacheField>
    <cacheField name="¿Cuáles de los siguientes servicios conoces?" numFmtId="0">
      <sharedItems/>
    </cacheField>
    <cacheField name="¿Cómo prefieres participar en actividades de empleabilidad? " numFmtId="0">
      <sharedItems/>
    </cacheField>
    <cacheField name="¿Qué horario te resulta más conveniente?" numFmtId="0">
      <sharedItems/>
    </cacheField>
    <cacheField name="¿Por qué medio preferirías recibir información sobre oportunidades laborales?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x v="0"/>
    <x v="0"/>
    <s v="SI, ACEPTO PARTICIPAR"/>
    <s v="Masculino"/>
    <s v="De 18 a 20 años"/>
    <n v="18"/>
    <s v="URBANA"/>
    <s v="Bachiller"/>
    <s v="Trabajo actualmente como empleado"/>
    <s v="Empleado con contrato"/>
    <s v="Menos de 3 meses"/>
    <s v="Sí, completamente"/>
    <s v="1- Muy satisfecho/a"/>
    <s v="Salario"/>
    <s v="Sí"/>
    <s v="Menos de 1 mes"/>
    <s v="Sí"/>
    <s v="Sí"/>
    <s v="Portales de empleo"/>
    <s v="Falta de experiencia"/>
    <s v="Sí"/>
    <s v=""/>
    <s v=""/>
    <s v=""/>
    <s v=""/>
    <s v=""/>
    <s v="No puedo hacerlo"/>
    <s v="No puedo hacerlo"/>
    <s v="No puedo hacerlo"/>
    <s v="Puedo hacerlo con ayuda"/>
    <s v="Puedo hacerlo con ayuda"/>
    <s v="Liderazgo"/>
    <s v="AH1"/>
    <s v="Oficina de orientación laboral"/>
    <s v="Presencial"/>
    <s v="Diurno"/>
    <s v="WhatsApp"/>
  </r>
  <r>
    <x v="1"/>
    <x v="0"/>
    <s v="SI, ACEPTO PARTICIPAR"/>
    <s v="Masculino"/>
    <s v="De 20 a 22 años"/>
    <n v="20"/>
    <s v="URBANA"/>
    <s v="Bachiller"/>
    <s v="Trabajo de manera independiente"/>
    <s v="Trabajo independiente"/>
    <s v="Menos de 3 meses"/>
    <s v="Sí, completamente"/>
    <s v="1- Muy satisfecho/a"/>
    <s v="Salario"/>
    <s v="Sí"/>
    <s v="Menos de 1 mes"/>
    <s v="Sí"/>
    <s v="Sí"/>
    <s v="Portales de empleo"/>
    <s v="Falta de experiencia"/>
    <s v="Sí"/>
    <s v=""/>
    <s v=""/>
    <s v=""/>
    <s v=""/>
    <s v=""/>
    <s v="Puedo hacerlo con ayuda"/>
    <s v="Puedo hacerlo con ayuda"/>
    <s v="Puedo hacerlo con dificultad"/>
    <s v="Puedo hacerlo con ayuda"/>
    <s v="Puedo hacerlo con dificultad"/>
    <s v="Emprendimiento"/>
    <s v="Costos de transporte"/>
    <s v="Programas de emprendimiento"/>
    <s v="Virtual"/>
    <s v="Mañana entre semana"/>
    <s v="Redes sociales"/>
  </r>
  <r>
    <x v="2"/>
    <x v="0"/>
    <s v="SI, ACEPTO PARTICIPAR"/>
    <s v="Femenino"/>
    <s v="De 22 a 24 años"/>
    <n v="22"/>
    <s v="URBANA"/>
    <s v="Bachiller"/>
    <s v="Busco mi primer empleo"/>
    <s v=""/>
    <s v=""/>
    <s v=""/>
    <s v=""/>
    <s v=""/>
    <s v=""/>
    <s v="Menos de 1 mes"/>
    <s v="Sí"/>
    <s v="No"/>
    <s v="Portales de empleo"/>
    <s v="Falta de experiencia"/>
    <s v="Sí"/>
    <s v=""/>
    <s v=""/>
    <s v=""/>
    <s v=""/>
    <s v=""/>
    <s v="Puedo hacerlo sin ayuda"/>
    <s v="Puedo hacerlo sin ayuda"/>
    <s v="Puedo hacerlo sin ayuda"/>
    <s v="Puedo hacerlo con dificultad"/>
    <s v="Puedo hacerlo con dificultad"/>
    <s v="Herramientas digitales"/>
    <s v="Costos de transporte"/>
    <s v="No conozco ninguno"/>
    <s v="Presencial y virtual"/>
    <s v="Fines de semana"/>
    <s v="Celular"/>
  </r>
  <r>
    <x v="3"/>
    <x v="0"/>
    <s v="SI, ACEPTO PARTICIPAR"/>
    <s v="Femenino"/>
    <s v="De 24 a 26 años"/>
    <n v="24"/>
    <s v="URBANA"/>
    <s v="Bachiller"/>
    <s v="Trabajo actualmente como empleado"/>
    <s v="Empleado con contrato"/>
    <s v="De 3 a 6 meses"/>
    <s v="Parcialmente"/>
    <s v="1- Muy satisfecho/a"/>
    <s v="Salario"/>
    <s v="No"/>
    <s v="Todavía no he iniciado una búsqueda activa"/>
    <s v="Sí"/>
    <s v="No"/>
    <s v="Portales de empleo"/>
    <s v="Falta de experiencia"/>
    <s v="Sí"/>
    <s v=""/>
    <s v=""/>
    <s v=""/>
    <s v=""/>
    <s v=""/>
    <s v="No puedo hacerlo"/>
    <s v="No puedo hacerlo"/>
    <s v="No puedo hacerlo"/>
    <s v="Puedo hacerlo sin ayuda"/>
    <s v="Puedo hacerlo sin ayuda"/>
    <s v="Educación financiera"/>
    <s v="Horarios;Falta de información"/>
    <s v="Ferias de empleo"/>
    <s v="Me es indiferente"/>
    <s v="Diurno"/>
    <s v="Correo electrónico"/>
  </r>
  <r>
    <x v="4"/>
    <x v="0"/>
    <s v="SI, ACEPTO PARTICIPAR"/>
    <s v="Masculino"/>
    <s v="De 26 a 28 años"/>
    <n v="26"/>
    <s v="URBANA"/>
    <s v="Bachiller"/>
    <s v="Trabajo de manera independiente"/>
    <s v="Trabajo independiente"/>
    <s v="De 3 a 6 meses"/>
    <s v="Parcialmente"/>
    <s v="1- Muy satisfecho/a"/>
    <s v="Salario"/>
    <s v="No"/>
    <s v="Todavía no he iniciado una búsqueda activa"/>
    <s v="Sí"/>
    <s v="No"/>
    <s v="Portales de empleo"/>
    <s v="Falta de experiencia"/>
    <s v="Sí"/>
    <s v=""/>
    <s v=""/>
    <s v=""/>
    <s v=""/>
    <s v=""/>
    <s v="Puedo hacerlo con dificultad"/>
    <s v="Puedo hacerlo con dificultad"/>
    <s v="Puedo hacerlo con ayuda"/>
    <s v="No puedo hacerlo"/>
    <s v="Puedo hacerlo sin ayuda"/>
    <s v="Crear una hoja de vida;Preparación para entrevista"/>
    <s v="Horarios;Falta de información"/>
    <s v="No conozco ninguno"/>
    <s v="Presencial"/>
    <s v="Mañana entre semana"/>
    <s v="Redes sociales"/>
  </r>
  <r>
    <x v="5"/>
    <x v="0"/>
    <s v="SI, ACEPTO PARTICIPAR"/>
    <s v="Masculino"/>
    <s v="De 18 a 20 años"/>
    <n v="19"/>
    <s v="URBANA"/>
    <s v="Bachiller"/>
    <s v="Estudio y quiero comenzar a trabajar"/>
    <s v=""/>
    <s v=""/>
    <s v=""/>
    <s v=""/>
    <s v=""/>
    <s v=""/>
    <s v="Menos de 1 mes"/>
    <s v="Sí"/>
    <s v="Sí"/>
    <s v="Portales de empleo"/>
    <s v="Falta de experiencia"/>
    <s v="Sí"/>
    <s v=""/>
    <s v=""/>
    <s v=""/>
    <s v=""/>
    <s v=""/>
    <s v="Puedo hacerlo sin ayuda"/>
    <s v="Puedo hacerlo sin ayuda"/>
    <s v="Puedo hacerlo sin ayuda"/>
    <s v="No puedo hacerlo"/>
    <s v="No puedo hacerlo"/>
    <s v="Comunicación;Liderazgo"/>
    <s v="Horarios;Falta de información"/>
    <s v="Oficina de orientación laboral"/>
    <s v="Virtual"/>
    <s v="Fines de semana"/>
    <s v="WhatsApp"/>
  </r>
  <r>
    <x v="6"/>
    <x v="0"/>
    <s v="SI, ACEPTO PARTICIPAR"/>
    <s v="Femenino"/>
    <s v="De 20 a 22 años"/>
    <n v="21"/>
    <s v="URBANA"/>
    <s v="Técnico"/>
    <s v="Trabajo actualmente como empleado"/>
    <s v="Empleado con contrato"/>
    <s v="De 7 a 12 meses"/>
    <s v="No"/>
    <s v="1- Muy satisfecho/a"/>
    <s v="Salario"/>
    <s v="No"/>
    <s v="Todavía no he iniciado una búsqueda activa"/>
    <s v="Sí"/>
    <s v="Sí"/>
    <s v="Portales de empleo"/>
    <s v="Falta de experiencia"/>
    <s v="Sí"/>
    <s v=""/>
    <s v=""/>
    <s v=""/>
    <s v=""/>
    <s v=""/>
    <s v="Puedo hacerlo con ayuda"/>
    <s v="Puedo hacerlo con ayuda"/>
    <s v="No puedo hacerlo"/>
    <s v="Puedo hacerlo con ayuda"/>
    <s v="Puedo hacerlo con ayuda"/>
    <s v="Herramientas digitales;Educación financiera"/>
    <s v="Ninguna"/>
    <s v="Programas de emprendimiento"/>
    <s v="Presencial y virtual"/>
    <s v="Diurno"/>
    <s v="Correo electrónico"/>
  </r>
  <r>
    <x v="7"/>
    <x v="0"/>
    <s v="SI, ACEPTO PARTICIPAR"/>
    <s v="Masculino"/>
    <s v="De 22 a 24 años"/>
    <n v="23"/>
    <s v="URBANA"/>
    <s v="Técnico"/>
    <s v="Actualmente no trabajo y estoy buscando empleo"/>
    <s v=""/>
    <s v=""/>
    <s v=""/>
    <s v=""/>
    <s v=""/>
    <s v=""/>
    <s v="Menos de 1 mes"/>
    <s v="Sí"/>
    <s v="Sí"/>
    <s v="Portales de empleo"/>
    <s v="Falta de experiencia"/>
    <s v="Sí"/>
    <s v=""/>
    <s v=""/>
    <s v=""/>
    <s v=""/>
    <s v=""/>
    <s v="Puedo hacerlo sin ayuda"/>
    <s v="Puedo hacerlo sin ayuda"/>
    <s v="Puedo hacerlo con ayuda"/>
    <s v="Puedo hacerlo con dificultad"/>
    <s v="Puedo hacerlo con ayuda"/>
    <s v="Crear una hoja de vida"/>
    <s v="Ninguna"/>
    <s v="Oficina de orientación laboral"/>
    <s v="Presencial"/>
    <s v="Mañana entre semana"/>
    <s v="Celular"/>
  </r>
  <r>
    <x v="8"/>
    <x v="0"/>
    <s v="SI, ACEPTO PARTICIPAR"/>
    <s v="Masculino"/>
    <s v="De 24 a 26 años"/>
    <n v="25"/>
    <s v="URBANA"/>
    <s v="Tecnólogo"/>
    <s v="Estudio y quiero comenzar a trabajar"/>
    <s v=""/>
    <s v=""/>
    <s v=""/>
    <s v=""/>
    <s v=""/>
    <s v=""/>
    <s v="Más de 6 meses"/>
    <s v="Sí"/>
    <s v="No"/>
    <s v="Portales de empleo"/>
    <s v="Falta de experiencia"/>
    <s v="Sí"/>
    <s v=""/>
    <s v=""/>
    <s v=""/>
    <s v=""/>
    <s v=""/>
    <s v="No puedo hacerlo"/>
    <s v="No puedo hacerlo"/>
    <s v="Puedo hacerlo sin ayuda"/>
    <s v="Puedo hacerlo sin ayuda"/>
    <s v="Puedo hacerlo con dificultad"/>
    <s v="Preparación para entrevista"/>
    <s v="Ninguna"/>
    <s v="Ferias de empleo"/>
    <s v="Virtual"/>
    <s v="Fines de semana"/>
    <s v="Correo electrónico"/>
  </r>
  <r>
    <x v="9"/>
    <x v="0"/>
    <s v="SI, ACEPTO PARTICIPAR"/>
    <s v="Femenino"/>
    <s v="De 26 a 28 años"/>
    <n v="27"/>
    <s v="URBANA"/>
    <s v="Tecnólogo"/>
    <s v="Trabajo actualmente como empleado"/>
    <s v="Empleado sin contrato formal"/>
    <s v="Más de un año"/>
    <s v="Sí, completamente"/>
    <s v="2- Satisfecho/a"/>
    <s v="Salario"/>
    <s v="No"/>
    <s v="Todavía no he iniciado una búsqueda activa"/>
    <s v="Sí"/>
    <s v="No"/>
    <s v="Redes sociales"/>
    <s v="Falta de experiencia"/>
    <s v="No"/>
    <s v=""/>
    <s v=""/>
    <s v=""/>
    <s v=""/>
    <s v=""/>
    <s v="Puedo hacerlo con dificultad"/>
    <s v="Puedo hacerlo con dificultad"/>
    <s v="No puedo hacerlo"/>
    <s v="Puedo hacerlo sin ayuda"/>
    <s v="Puedo hacerlo con dificultad"/>
    <s v="Comunicación"/>
    <s v="Falta de experiencia"/>
    <s v="No conozco ninguno"/>
    <s v="Presencial y virtual"/>
    <s v="Nocturno"/>
    <s v="Redes sociales"/>
  </r>
  <r>
    <x v="10"/>
    <x v="0"/>
    <s v="SI, ACEPTO PARTICIPAR"/>
    <s v="Femenino"/>
    <s v="De 18 a 20 años"/>
    <n v="18"/>
    <s v="URBANA"/>
    <s v="Técnico"/>
    <s v="Actualmente no trabajo y estoy buscando empleo"/>
    <s v=""/>
    <s v=""/>
    <s v=""/>
    <s v=""/>
    <s v=""/>
    <s v=""/>
    <s v="Más de 6 meses"/>
    <s v="Sí"/>
    <s v="No"/>
    <s v="Portales de empleo"/>
    <s v="Falta de experiencia"/>
    <s v="Sí"/>
    <s v=""/>
    <s v=""/>
    <s v=""/>
    <s v=""/>
    <s v=""/>
    <s v="Puedo hacerlo sin ayuda"/>
    <s v="Puedo hacerlo sin ayuda"/>
    <s v="Puedo hacerlo con ayuda"/>
    <s v="No puedo hacerlo"/>
    <s v="Puedo hacerlo sin ayuda"/>
    <s v="Liderazgo"/>
    <s v="Falta de experiencia"/>
    <s v="Ferias de empleo"/>
    <s v="Me es indiferente"/>
    <s v="Mañana entre semana"/>
    <s v="WhatsApp"/>
  </r>
  <r>
    <x v="11"/>
    <x v="0"/>
    <s v="SI, ACEPTO PARTICIPAR"/>
    <s v="Masculino"/>
    <s v="De 20 a 22 años"/>
    <n v="20"/>
    <s v="URBANA"/>
    <s v="Tecnólog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financiación"/>
    <s v="Falta de financiación"/>
    <s v="Sí"/>
    <s v="Puedo hacerlo con ayuda"/>
    <s v="Puedo hacerlo con ayuda"/>
    <s v="Puedo hacerlo sin ayuda"/>
    <s v="Puedo hacerlo con ayuda"/>
    <s v="No puedo hacerlo"/>
    <s v="Emprendimiento"/>
    <s v="Falta de experiencia"/>
    <s v="Programas de emprendimiento"/>
    <s v="Presencial"/>
    <s v="Fines de semana"/>
    <s v="Correo electrónico"/>
  </r>
  <r>
    <x v="12"/>
    <x v="0"/>
    <s v="SI, ACEPTO PARTICIPAR"/>
    <s v="Masculino"/>
    <s v="De 22 a 24 años"/>
    <n v="22"/>
    <s v="URBANA"/>
    <s v="Profesional"/>
    <s v="Trabajo de manera independiente"/>
    <s v="Trabajo independiente"/>
    <s v="De 7 a 12 meses"/>
    <s v="No"/>
    <s v="1- Muy satisfecho/a"/>
    <s v="Salario"/>
    <s v="No"/>
    <s v="Todavía no he iniciado una búsqueda activa"/>
    <s v="Sí"/>
    <s v="Sí"/>
    <s v="Portales de empleo"/>
    <s v="Falta de experiencia"/>
    <s v="Sí"/>
    <s v=""/>
    <s v=""/>
    <s v=""/>
    <s v=""/>
    <s v=""/>
    <s v="Puedo hacerlo sin ayuda"/>
    <s v="Puedo hacerlo sin ayuda"/>
    <s v="No puedo hacerlo"/>
    <s v="Puedo hacerlo con dificultad"/>
    <s v="No puedo hacerlo"/>
    <s v="Herramientas digitales"/>
    <s v="Distancia"/>
    <s v="Oficina de orientación laboral"/>
    <s v="Virtual"/>
    <s v="Nocturno"/>
    <s v="Celular"/>
  </r>
  <r>
    <x v="13"/>
    <x v="0"/>
    <s v="SI, ACEPTO PARTICIPAR"/>
    <s v="Femenino"/>
    <s v="De 24 a 26 años"/>
    <n v="24"/>
    <s v="URBANA"/>
    <s v="Profesional"/>
    <s v="Busco mi primer empleo"/>
    <s v=""/>
    <s v=""/>
    <s v=""/>
    <s v=""/>
    <s v=""/>
    <s v=""/>
    <s v="Más de 6 meses"/>
    <s v="Sí"/>
    <s v="No"/>
    <s v="Portales de empleo"/>
    <s v="Falta de experiencia"/>
    <s v="Sí"/>
    <s v=""/>
    <s v=""/>
    <s v=""/>
    <s v=""/>
    <s v=""/>
    <s v="No puedo hacerlo"/>
    <s v="No puedo hacerlo"/>
    <s v="Puedo hacerlo con ayuda"/>
    <s v="Puedo hacerlo con dificultad"/>
    <s v="Puedo hacerlo con ayuda"/>
    <s v="Educación financiera"/>
    <s v="Distancia"/>
    <s v="Programas de emprendimiento"/>
    <s v="Presencial y virtual"/>
    <s v="Mañana entre semana"/>
    <s v="WhatsApp"/>
  </r>
  <r>
    <x v="14"/>
    <x v="0"/>
    <s v="SI, ACEPTO PARTICIPAR"/>
    <s v="Masculino"/>
    <s v="De 26 a 28 años"/>
    <n v="28"/>
    <s v="URBANA"/>
    <s v="Profesional"/>
    <s v="Trabajo actualmente como empleado"/>
    <s v="Empleado sin contrato formal"/>
    <s v="Menos de 3 meses"/>
    <s v="Parcialmente"/>
    <s v="2- Satisfecho/a"/>
    <s v="Salario"/>
    <s v="No estoy seguro/a"/>
    <s v="Entre 4 y 6 meses"/>
    <s v="Sí"/>
    <s v="Sí"/>
    <s v="Redes sociales"/>
    <s v="Falta de formación"/>
    <s v="No"/>
    <s v=""/>
    <s v=""/>
    <s v=""/>
    <s v=""/>
    <s v=""/>
    <s v="Puedo hacerlo con dificultad"/>
    <s v="Puedo hacerlo con dificultad"/>
    <s v="Puedo hacerlo sin ayuda"/>
    <s v="Puedo hacerlo sin ayuda"/>
    <s v="Puedo hacerlo con dificultad"/>
    <s v="Crear una hoja de vida;Preparación para entrevista"/>
    <s v="Distancia"/>
    <s v="No conozco ninguno"/>
    <s v="Me es indiferente"/>
    <s v="Fines de semana"/>
    <s v="Redes sociales"/>
  </r>
  <r>
    <x v="15"/>
    <x v="0"/>
    <s v="SI, ACEPTO PARTICIPAR"/>
    <s v="Masculino"/>
    <s v="De 18 a 20 años"/>
    <n v="19"/>
    <s v="URBANA"/>
    <s v="Bachiller"/>
    <s v="Trabajo de manera independiente"/>
    <s v="Trabajo independiente"/>
    <s v="Más de un año"/>
    <s v="Sí, completamente"/>
    <s v="2- Satisfecho/a"/>
    <s v="Salario"/>
    <s v="No"/>
    <s v="Todavía no he iniciado una búsqueda activa"/>
    <s v="Sí"/>
    <s v="No"/>
    <s v="Redes sociales"/>
    <s v="Falta de experiencia"/>
    <s v="No"/>
    <s v=""/>
    <s v=""/>
    <s v=""/>
    <s v=""/>
    <s v=""/>
    <s v="Puedo hacerlo sin ayuda"/>
    <s v="Puedo hacerlo sin ayuda"/>
    <s v="No puedo hacerlo"/>
    <s v="No puedo hacerlo"/>
    <s v="Puedo hacerlo con dificultad"/>
    <s v="Comunicación;Liderazgo"/>
    <s v="Falta de experiencia;Falta de información"/>
    <s v="Ferias de empleo"/>
    <s v="Presencial"/>
    <s v="Nocturno"/>
    <s v="Celular"/>
  </r>
  <r>
    <x v="16"/>
    <x v="0"/>
    <s v="SI, ACEPTO PARTICIPAR"/>
    <s v="Femenino"/>
    <s v="De 20 a 22 años"/>
    <n v="21"/>
    <s v="URBANA"/>
    <s v="Bachiller"/>
    <s v="Busco mi primer empleo"/>
    <s v=""/>
    <s v=""/>
    <s v=""/>
    <s v=""/>
    <s v=""/>
    <s v=""/>
    <s v="Entre 4 y 6 meses"/>
    <s v="Sí"/>
    <s v="No"/>
    <s v="Portales de empleo"/>
    <s v="Falta de experiencia"/>
    <s v="Sí"/>
    <s v=""/>
    <s v=""/>
    <s v=""/>
    <s v=""/>
    <s v=""/>
    <s v="Puedo hacerlo con ayuda"/>
    <s v="Puedo hacerlo con ayuda"/>
    <s v="Puedo hacerlo con ayuda"/>
    <s v="No puedo hacerlo"/>
    <s v="Puedo hacerlo sin ayuda"/>
    <s v="Herramientas digitales;Educación financiera"/>
    <s v="Falta de experiencia;Falta de información"/>
    <s v="No conozco ninguno"/>
    <s v="Virtual"/>
    <s v="Mañana entre semana"/>
    <s v="Correo electrónico"/>
  </r>
  <r>
    <x v="17"/>
    <x v="0"/>
    <s v="SI, ACEPTO PARTICIPAR"/>
    <s v="Femenino"/>
    <s v="De 22 a 24 años"/>
    <n v="23"/>
    <s v="URBANA"/>
    <s v="Bachiller"/>
    <s v="Trabajo actualmente como empleado"/>
    <s v="Empleado con contrato"/>
    <s v="De 3 a 6 meses"/>
    <s v="No"/>
    <s v="2- Satisfecho/a"/>
    <s v="Estabilidad laboral"/>
    <s v="Sí"/>
    <s v="Menos de 1 mes"/>
    <s v="Sí"/>
    <s v="No"/>
    <s v="Redes sociales"/>
    <s v="Falta de formación"/>
    <s v="No"/>
    <s v=""/>
    <s v=""/>
    <s v=""/>
    <s v=""/>
    <s v=""/>
    <s v="Puedo hacerlo sin ayuda"/>
    <s v="Puedo hacerlo sin ayuda"/>
    <s v="Puedo hacerlo con dificultad"/>
    <s v="Puedo hacerlo con ayuda"/>
    <s v="Puedo hacerlo sin ayuda"/>
    <s v="Crear una hoja de vida"/>
    <s v="Falta de experiencia;Falta de información"/>
    <s v="Oficina de orientación laboral"/>
    <s v="Presencial y virtual"/>
    <s v="Fines de semana"/>
    <s v="Redes sociales"/>
  </r>
  <r>
    <x v="18"/>
    <x v="0"/>
    <s v="SI, ACEPTO PARTICIPAR"/>
    <s v="Masculino"/>
    <s v="De 24 a 26 años"/>
    <n v="25"/>
    <s v="URBANA"/>
    <s v="Técnico"/>
    <s v="Actualmente no trabajo y estoy buscando empleo"/>
    <s v=""/>
    <s v=""/>
    <s v=""/>
    <s v=""/>
    <s v=""/>
    <s v=""/>
    <s v="Entre 4 y 6 meses"/>
    <s v="Sí"/>
    <s v="Sí"/>
    <s v="Portales de empleo"/>
    <s v="Falta de experiencia"/>
    <s v="Sí"/>
    <s v=""/>
    <s v=""/>
    <s v=""/>
    <s v=""/>
    <s v=""/>
    <s v="No puedo hacerlo"/>
    <s v="No puedo hacerlo"/>
    <s v="No puedo hacerlo"/>
    <s v="Puedo hacerlo con dificultad"/>
    <s v="No puedo hacerlo"/>
    <s v="Preparación para entrevista"/>
    <s v="Costos de transporte;Distancia"/>
    <s v="Programas de emprendimiento"/>
    <s v="Me es indiferente"/>
    <s v="Nocturno"/>
    <s v="WhatsApp"/>
  </r>
  <r>
    <x v="19"/>
    <x v="0"/>
    <s v="SI, ACEPTO PARTICIPAR"/>
    <s v="Masculino"/>
    <s v="De 26 a 28 años"/>
    <n v="26"/>
    <s v="URBANA"/>
    <s v="Técnico"/>
    <s v="Estudio y quiero comenzar a trabajar"/>
    <s v=""/>
    <s v=""/>
    <s v=""/>
    <s v=""/>
    <s v=""/>
    <s v=""/>
    <s v="Entre 1 y 3 meses"/>
    <s v="Sí"/>
    <s v="Sí"/>
    <s v="Portales de empleo"/>
    <s v="Falta de experiencia"/>
    <s v="Sí"/>
    <s v=""/>
    <s v=""/>
    <s v=""/>
    <s v=""/>
    <s v=""/>
    <s v="Puedo hacerlo con dificultad"/>
    <s v="Puedo hacerlo con dificultad"/>
    <s v="Puedo hacerlo con ayuda"/>
    <s v="Puedo hacerlo sin ayuda"/>
    <s v="Puedo hacerlo con ayuda"/>
    <s v="Comunicación"/>
    <s v="Costos de transporte;Distancia"/>
    <s v="Oficina de orientación laboral"/>
    <s v="Presencial"/>
    <s v="Mañana entre semana"/>
    <s v="Correo electrónico"/>
  </r>
  <r>
    <x v="20"/>
    <x v="0"/>
    <s v="SI, ACEPTO PARTICIPAR"/>
    <s v="Femenino"/>
    <s v="De 18 a 20 años"/>
    <n v="18"/>
    <s v="URBANA"/>
    <s v="Bachiller"/>
    <s v="Trabajo actualmente como empleado"/>
    <s v="Empleado con contrato"/>
    <s v="De 7 a 12 meses"/>
    <s v="Sí, completamente"/>
    <s v="3- Insatisfecho/a"/>
    <s v="Estabilidad laboral"/>
    <s v="Sí"/>
    <s v="Más de 6 meses"/>
    <s v="Sí"/>
    <s v="Sí"/>
    <s v="Familiares o conocidos"/>
    <s v="Falta de formación"/>
    <s v="Sí"/>
    <s v=""/>
    <s v=""/>
    <s v=""/>
    <s v=""/>
    <s v=""/>
    <s v="Puedo hacerlo sin ayuda"/>
    <s v="Puedo hacerlo sin ayuda"/>
    <s v="Puedo hacerlo con dificultad"/>
    <s v="Puedo hacerlo sin ayuda"/>
    <s v="Puedo hacerlo con ayuda"/>
    <s v="Liderazgo"/>
    <s v="Costos de transporte;Distancia"/>
    <s v="Ferias de empleo"/>
    <s v="Virtual"/>
    <s v="Diurno"/>
    <s v="Celular"/>
  </r>
  <r>
    <x v="21"/>
    <x v="0"/>
    <s v="SI, ACEPTO PARTICIPAR"/>
    <s v="Masculino"/>
    <s v="De 20 a 22 años"/>
    <n v="20"/>
    <s v="URBANA"/>
    <s v="Técnico"/>
    <s v="Actualmente no trabajo y estoy buscando empleo"/>
    <s v=""/>
    <s v=""/>
    <s v=""/>
    <s v=""/>
    <s v=""/>
    <s v=""/>
    <s v="Entre 1 y 3 meses"/>
    <s v="Sí"/>
    <s v="No"/>
    <s v="Redes sociales"/>
    <s v="Falta de experiencia"/>
    <s v="No"/>
    <s v=""/>
    <s v=""/>
    <s v=""/>
    <s v=""/>
    <s v=""/>
    <s v="Puedo hacerlo con ayuda"/>
    <s v="Puedo hacerlo con ayuda"/>
    <s v="No puedo hacerlo"/>
    <s v="No puedo hacerlo"/>
    <s v="Puedo hacerlo con dificultad"/>
    <s v="Emprendimiento"/>
    <s v="Falta de información"/>
    <s v="No conozco ninguno"/>
    <s v="Presencial y virtual"/>
    <s v="Nocturno"/>
    <s v="WhatsApp"/>
  </r>
  <r>
    <x v="22"/>
    <x v="0"/>
    <s v="SI, ACEPTO PARTICIPAR"/>
    <s v="Masculino"/>
    <s v="De 22 a 24 años"/>
    <n v="22"/>
    <s v="URBANA"/>
    <s v="Tecnólog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conocimientos administrativos"/>
    <s v="Falta de conocimientos administrativos"/>
    <s v="Sí"/>
    <s v="Puedo hacerlo sin ayuda"/>
    <s v="Puedo hacerlo sin ayuda"/>
    <s v="Puedo hacerlo con ayuda"/>
    <s v="Puedo hacerlo con ayuda"/>
    <s v="Puedo hacerlo con dificultad"/>
    <s v="Herramientas digitales"/>
    <s v="Falta de información"/>
    <s v="Ferias de empleo"/>
    <s v="Me es indiferente"/>
    <s v="Mañana entre semana"/>
    <s v="Redes sociales"/>
  </r>
  <r>
    <x v="23"/>
    <x v="0"/>
    <s v="SI, ACEPTO PARTICIPAR"/>
    <s v="Femenino"/>
    <s v="De 24 a 26 años"/>
    <n v="24"/>
    <s v="URBANA"/>
    <s v="Tecnólogo"/>
    <s v="Trabajo actualmente como empleado"/>
    <s v="Empleado sin contrato formal"/>
    <s v="Más de un año"/>
    <s v="Parcialmente"/>
    <s v="3- Insatisfecho/a"/>
    <s v="Estabilidad laboral"/>
    <s v="Sí"/>
    <s v="Entre 1 y 3 meses"/>
    <s v="No"/>
    <s v="No"/>
    <s v="Familiares o conocidos"/>
    <s v="Falta de formación"/>
    <s v="Sí"/>
    <s v=""/>
    <s v=""/>
    <s v=""/>
    <s v=""/>
    <s v=""/>
    <s v="No puedo hacerlo"/>
    <s v="No puedo hacerlo"/>
    <s v="Puedo hacerlo con dificultad"/>
    <s v="Puedo hacerlo con dificultad"/>
    <s v="Puedo hacerlo sin ayuda"/>
    <s v="Educación financiera"/>
    <s v="Falta de información"/>
    <s v="Programas de emprendimiento"/>
    <s v="Presencial"/>
    <s v="Diurno"/>
    <s v="Celular"/>
  </r>
  <r>
    <x v="24"/>
    <x v="0"/>
    <s v="SI, ACEPTO PARTICIPAR"/>
    <s v="Femenino"/>
    <s v="De 26 a 28 años"/>
    <n v="27"/>
    <s v="URBANA"/>
    <s v="Profesional"/>
    <s v="Busco mi primer empleo"/>
    <s v=""/>
    <s v=""/>
    <s v=""/>
    <s v=""/>
    <s v=""/>
    <s v=""/>
    <s v="Entre 1 y 3 meses"/>
    <s v="Sí"/>
    <s v="No"/>
    <s v="Redes sociales"/>
    <s v="Falta de experiencia"/>
    <s v="No"/>
    <s v=""/>
    <s v=""/>
    <s v=""/>
    <s v=""/>
    <s v=""/>
    <s v="Puedo hacerlo con dificultad"/>
    <s v="Puedo hacerlo con dificultad"/>
    <s v="No puedo hacerlo"/>
    <s v="Puedo hacerlo con dificultad"/>
    <s v="No puedo hacerlo"/>
    <s v="Crear una hoja de vida;Preparación para entrevista"/>
    <s v="Horarios"/>
    <s v="Oficina de orientación laboral"/>
    <s v="Presencial y virtual"/>
    <s v="Nocturno"/>
    <s v="Correo electrónico"/>
  </r>
  <r>
    <x v="25"/>
    <x v="0"/>
    <s v="SI, ACEPTO PARTICIPAR"/>
    <s v="Masculino"/>
    <s v="De 18 a 20 años"/>
    <n v="19"/>
    <s v="URBANA"/>
    <s v="Tecnólogo"/>
    <s v="Trabajo actualmente como empleado"/>
    <s v="Empleado sin contrato formal"/>
    <s v="Menos de 3 meses"/>
    <s v="No"/>
    <s v="3- Insatisfecho/a"/>
    <s v="Estabilidad laboral"/>
    <s v="No"/>
    <s v="Todavía no he iniciado una búsqueda activa"/>
    <s v="No"/>
    <s v="Sí"/>
    <s v="Familiares o conocidos"/>
    <s v="Dificultades con la hoja de vida"/>
    <s v="Sí"/>
    <s v=""/>
    <s v=""/>
    <s v=""/>
    <s v=""/>
    <s v=""/>
    <s v="Puedo hacerlo sin ayuda"/>
    <s v="Puedo hacerlo sin ayuda"/>
    <s v="Puedo hacerlo con ayuda"/>
    <s v="Puedo hacerlo sin ayuda"/>
    <s v="No puedo hacerlo"/>
    <s v="Comunicación;Liderazgo"/>
    <s v="Horarios"/>
    <s v="Programas de emprendimiento"/>
    <s v="Me es indiferente"/>
    <s v="Mañana entre semana"/>
    <s v="Redes sociales"/>
  </r>
  <r>
    <x v="26"/>
    <x v="0"/>
    <s v="SI, ACEPTO PARTICIPAR"/>
    <s v="Masculino"/>
    <s v="De 20 a 22 años"/>
    <n v="21"/>
    <s v="URBANA"/>
    <s v="Tecnólogo"/>
    <s v="Trabajo de manera independiente"/>
    <s v="Trabajo independiente"/>
    <s v="Menos de 3 meses"/>
    <s v="Parcialmente"/>
    <s v="2- Satisfecho/a"/>
    <s v="Salario"/>
    <s v="No estoy seguro/a"/>
    <s v="Entre 4 y 6 meses"/>
    <s v="Sí"/>
    <s v="Sí"/>
    <s v="Redes sociales"/>
    <s v="Falta de formación"/>
    <s v="No"/>
    <s v=""/>
    <s v=""/>
    <s v=""/>
    <s v=""/>
    <s v=""/>
    <s v="Puedo hacerlo con ayuda"/>
    <s v="Puedo hacerlo con ayuda"/>
    <s v="Puedo hacerlo con dificultad"/>
    <s v="No puedo hacerlo"/>
    <s v="Puedo hacerlo con ayuda"/>
    <s v="Herramientas digitales;Educación financiera"/>
    <s v="Horarios"/>
    <s v="No conozco ninguno"/>
    <s v="Presencial"/>
    <s v="Diurno"/>
    <s v="WhatsApp"/>
  </r>
  <r>
    <x v="27"/>
    <x v="0"/>
    <s v="SI, ACEPTO PARTICIPAR"/>
    <s v="Femenino"/>
    <s v="De 22 a 24 años"/>
    <n v="23"/>
    <s v="URBANA"/>
    <s v="Profesional"/>
    <s v="Busco mi primer empleo"/>
    <s v=""/>
    <s v=""/>
    <s v=""/>
    <s v=""/>
    <s v=""/>
    <s v=""/>
    <s v="Menos de 1 mes"/>
    <s v="Sí"/>
    <s v="No"/>
    <s v="Redes sociales"/>
    <s v="Falta de formación"/>
    <s v="No"/>
    <s v=""/>
    <s v=""/>
    <s v=""/>
    <s v=""/>
    <s v=""/>
    <s v="Puedo hacerlo sin ayuda"/>
    <s v="Puedo hacerlo sin ayuda"/>
    <s v="No puedo hacerlo"/>
    <s v="Puedo hacerlo con ayuda"/>
    <s v="Puedo hacerlo con ayuda"/>
    <s v="Crear una hoja de vida"/>
    <s v="Costos de transporte"/>
    <s v="Ferias de empleo"/>
    <s v="Virtual"/>
    <s v="Nocturno"/>
    <s v="Correo electrónico"/>
  </r>
  <r>
    <x v="28"/>
    <x v="0"/>
    <s v="SI, ACEPTO PARTICIPAR"/>
    <s v="Masculino"/>
    <s v="De 24 a 26 años"/>
    <n v="25"/>
    <s v="URBANA"/>
    <s v="Profesional"/>
    <s v="Trabajo actualmente como empleado"/>
    <s v="Empleado con contrato"/>
    <s v="De 3 a 6 meses"/>
    <s v="Sí, completamente"/>
    <s v="4- Muy insatisfecho/a"/>
    <s v="Estabilidad laboral"/>
    <s v="No estoy seguro/a"/>
    <s v="Entre 4 y 6 meses"/>
    <s v="No"/>
    <s v="No"/>
    <s v="Empresas directamente"/>
    <s v="Dificultades con la hoja de vida"/>
    <s v="No"/>
    <s v=""/>
    <s v=""/>
    <s v=""/>
    <s v=""/>
    <s v=""/>
    <s v="No puedo hacerlo"/>
    <s v="No puedo hacerlo"/>
    <s v="Puedo hacerlo con ayuda"/>
    <s v="Puedo hacerlo con ayuda"/>
    <s v="Puedo hacerlo con dificultad"/>
    <s v="Preparación para entrevista"/>
    <s v="Costos de transporte"/>
    <s v="No conozco ninguno"/>
    <s v="Presencial y virtual"/>
    <s v="Mañana entre semana"/>
    <s v="Celular"/>
  </r>
  <r>
    <x v="29"/>
    <x v="0"/>
    <s v="SI, ACEPTO PARTICIPAR"/>
    <s v="Masculino"/>
    <s v="De 26 a 28 años"/>
    <n v="28"/>
    <s v="URBANA"/>
    <s v="Posgrado"/>
    <s v="Trabajo de manera independiente"/>
    <s v="Trabajo independiente"/>
    <s v="De 3 a 6 meses"/>
    <s v="No"/>
    <s v="2- Satisfecho/a"/>
    <s v="Estabilidad laboral"/>
    <s v="Sí"/>
    <s v="Menos de 1 mes"/>
    <s v="Sí"/>
    <s v="No"/>
    <s v="Redes sociales"/>
    <s v="Falta de formación"/>
    <s v="No"/>
    <s v=""/>
    <s v=""/>
    <s v=""/>
    <s v=""/>
    <s v=""/>
    <s v="Puedo hacerlo con dificultad"/>
    <s v="Puedo hacerlo con dificultad"/>
    <s v="Puedo hacerlo con dificultad"/>
    <s v="Puedo hacerlo con dificultad"/>
    <s v="Puedo hacerlo sin ayuda"/>
    <s v="Comunicación"/>
    <s v="Costos de transporte"/>
    <s v="Oficina de orientación laboral"/>
    <s v="Me es indiferente"/>
    <s v="Diurno"/>
    <s v="WhatsApp"/>
  </r>
  <r>
    <x v="30"/>
    <x v="0"/>
    <s v="SI, ACEPTO PARTICIPAR"/>
    <s v="Femenino"/>
    <s v="De 18 a 20 años"/>
    <n v="18"/>
    <s v="URBANA"/>
    <s v="Bachiller"/>
    <s v="Estudio y quiero comenzar a trabajar"/>
    <s v=""/>
    <s v=""/>
    <s v=""/>
    <s v=""/>
    <s v=""/>
    <s v=""/>
    <s v="Todavía no he iniciado una búsqueda activa"/>
    <s v="Sí"/>
    <s v="No"/>
    <s v="Redes sociales"/>
    <s v="Falta de experiencia"/>
    <s v="No"/>
    <s v=""/>
    <s v=""/>
    <s v=""/>
    <s v=""/>
    <s v=""/>
    <s v="Puedo hacerlo sin ayuda"/>
    <s v="Puedo hacerlo sin ayuda"/>
    <s v="No puedo hacerlo"/>
    <s v="Puedo hacerlo sin ayuda"/>
    <s v="Puedo hacerlo sin ayuda"/>
    <s v="Liderazgo"/>
    <s v="Horarios;Falta de información"/>
    <s v="Programas de emprendimiento"/>
    <s v="Presencial"/>
    <s v="Nocturno"/>
    <s v="Redes sociales"/>
  </r>
  <r>
    <x v="31"/>
    <x v="0"/>
    <s v="SI, ACEPTO PARTICIPAR"/>
    <s v="Femenino"/>
    <s v="De 20 a 22 años"/>
    <n v="20"/>
    <s v="URBANA"/>
    <s v="Bachiller"/>
    <s v="Trabajo actualmente como empleado"/>
    <s v="Empleado con contrato"/>
    <s v="De 7 a 12 meses"/>
    <s v="Parcialmente"/>
    <s v="4- Muy insatisfecho/a"/>
    <s v="Horario"/>
    <s v="Sí"/>
    <s v="Menos de 1 mes"/>
    <s v="No"/>
    <s v="Sí"/>
    <s v="Empresas directamente"/>
    <s v="Dificultades con la hoja de vida"/>
    <s v="No"/>
    <s v=""/>
    <s v=""/>
    <s v=""/>
    <s v=""/>
    <s v=""/>
    <s v="Puedo hacerlo con ayuda"/>
    <s v="Puedo hacerlo con ayuda"/>
    <s v="Puedo hacerlo con ayuda"/>
    <s v="No puedo hacerlo"/>
    <s v="No puedo hacerlo"/>
    <s v="Emprendimiento"/>
    <s v="Horarios;Falta de información"/>
    <s v="Oficina de orientación laboral"/>
    <s v="Virtual"/>
    <s v="Fines de semana"/>
    <s v="Celular"/>
  </r>
  <r>
    <x v="32"/>
    <x v="0"/>
    <s v="SI, ACEPTO PARTICIPAR"/>
    <s v="Masculino"/>
    <s v="De 22 a 24 años"/>
    <n v="22"/>
    <s v="URBANA"/>
    <s v="Técnico"/>
    <s v="Actualmente no trabajo y estoy buscando empleo"/>
    <s v=""/>
    <s v=""/>
    <s v=""/>
    <s v=""/>
    <s v=""/>
    <s v=""/>
    <s v="Menos de 1 mes"/>
    <s v="Sí"/>
    <s v="Sí"/>
    <s v="Redes sociales"/>
    <s v="Falta de formación"/>
    <s v="No"/>
    <s v=""/>
    <s v=""/>
    <s v=""/>
    <s v=""/>
    <s v=""/>
    <s v="Puedo hacerlo sin ayuda"/>
    <s v="Puedo hacerlo sin ayuda"/>
    <s v="Puedo hacerlo con dificultad"/>
    <s v="No puedo hacerlo"/>
    <s v="Puedo hacerlo con ayuda"/>
    <s v="Herramientas digitales"/>
    <s v="Horarios;Falta de información"/>
    <s v="Ferias de empleo"/>
    <s v="Presencial y virtual"/>
    <s v="Diurno"/>
    <s v="Correo electrónico"/>
  </r>
  <r>
    <x v="33"/>
    <x v="0"/>
    <s v="SI, ACEPTO PARTICIPAR"/>
    <s v="Masculino"/>
    <s v="De 24 a 26 años"/>
    <n v="24"/>
    <s v="URBANA"/>
    <s v="Tecnólog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conocimientos financieros"/>
    <s v="Falta de conocimientos financieros"/>
    <s v="No"/>
    <s v="No puedo hacerlo"/>
    <s v="No puedo hacerlo"/>
    <s v="Puedo hacerlo sin ayuda"/>
    <s v="Puedo hacerlo con ayuda"/>
    <s v="Puedo hacerlo con ayuda"/>
    <s v="Educación financiera"/>
    <s v="Ninguna"/>
    <s v="No conozco ninguno"/>
    <s v="Me es indiferente"/>
    <s v="Nocturno"/>
    <s v="Redes sociales"/>
  </r>
  <r>
    <x v="34"/>
    <x v="0"/>
    <s v="SI, ACEPTO PARTICIPAR"/>
    <s v="Femenino"/>
    <s v="De 26 a 28 años"/>
    <n v="26"/>
    <s v="URBANA"/>
    <s v="Tecnólogo"/>
    <s v="Trabajo actualmente como empleado"/>
    <s v="Empleado sin contrato formal"/>
    <s v="Más de un año"/>
    <s v="No"/>
    <s v="4- Muy insatisfecho/a"/>
    <s v="Horario"/>
    <s v="Sí"/>
    <s v="Más de 6 meses"/>
    <s v="No"/>
    <s v="No"/>
    <s v="Empresas directamente"/>
    <s v="Dificultades con la hoja de vida"/>
    <s v="No"/>
    <s v=""/>
    <s v=""/>
    <s v=""/>
    <s v=""/>
    <s v=""/>
    <s v="Puedo hacerlo con dificultad"/>
    <s v="Puedo hacerlo con dificultad"/>
    <s v="Puedo hacerlo con ayuda"/>
    <s v="Puedo hacerlo con dificultad"/>
    <s v="Puedo hacerlo con dificultad"/>
    <s v="Crear una hoja de vida;Preparación para entrevista"/>
    <s v="Ninguna"/>
    <s v="Oficina de orientación laboral"/>
    <s v="Presencial"/>
    <s v="Fines de semana"/>
    <s v="WhatsApp"/>
  </r>
  <r>
    <x v="35"/>
    <x v="0"/>
    <s v="SI, ACEPTO PARTICIPAR"/>
    <s v="Masculino"/>
    <s v="De 18 a 20 años"/>
    <n v="19"/>
    <s v="URBANA"/>
    <s v="Técnico"/>
    <s v="Actualmente no trabajo y estoy buscando empleo"/>
    <s v=""/>
    <s v=""/>
    <s v=""/>
    <s v=""/>
    <s v=""/>
    <s v=""/>
    <s v="Más de 6 meses"/>
    <s v="Sí"/>
    <s v="No"/>
    <s v="Redes sociales"/>
    <s v="Falta de formación"/>
    <s v="No"/>
    <s v=""/>
    <s v=""/>
    <s v=""/>
    <s v=""/>
    <s v=""/>
    <s v="Puedo hacerlo sin ayuda"/>
    <s v="Puedo hacerlo sin ayuda"/>
    <s v="Puedo hacerlo con dificultad"/>
    <s v="Puedo hacerlo sin ayuda"/>
    <s v="Puedo hacerlo con dificultad"/>
    <s v="Comunicación;Liderazgo"/>
    <s v="Ninguna"/>
    <s v="Programas de emprendimiento"/>
    <s v="Virtual"/>
    <s v="Diurno"/>
    <s v="Correo electrónico"/>
  </r>
  <r>
    <x v="36"/>
    <x v="0"/>
    <s v="SI, ACEPTO PARTICIPAR"/>
    <s v="Masculino"/>
    <s v="De 20 a 22 años"/>
    <n v="21"/>
    <s v="URBANA"/>
    <s v="Tecnólogo"/>
    <s v="Trabajo actualmente como empleado"/>
    <s v="Empleado sin contrato formal"/>
    <s v="Menos de 3 meses"/>
    <s v="Sí, completamente"/>
    <s v="1- Muy satisfecho/a"/>
    <s v="Horario"/>
    <s v="No"/>
    <s v="Todavía no he iniciado una búsqueda activa"/>
    <s v="No"/>
    <s v="Sí"/>
    <s v="Ferias de empleo"/>
    <s v="Horarios disponibles"/>
    <s v="Sí"/>
    <s v=""/>
    <s v=""/>
    <s v=""/>
    <s v=""/>
    <s v=""/>
    <s v="Puedo hacerlo con ayuda"/>
    <s v="Puedo hacerlo con ayuda"/>
    <s v="Puedo hacerlo sin ayuda"/>
    <s v="Puedo hacerlo sin ayuda"/>
    <s v="Puedo hacerlo sin ayuda"/>
    <s v="Herramientas digitales;Educación financiera"/>
    <s v="Falta de experiencia"/>
    <s v="Oficina de orientación laboral"/>
    <s v="Presencial y virtual"/>
    <s v="Nocturno"/>
    <s v="Celular"/>
  </r>
  <r>
    <x v="37"/>
    <x v="0"/>
    <s v="SI, ACEPTO PARTICIPAR"/>
    <s v="Femenino"/>
    <s v="De 22 a 24 años"/>
    <n v="23"/>
    <s v="URBANA"/>
    <s v="Tecnólogo"/>
    <s v="Trabajo de manera independiente"/>
    <s v="Trabajo independiente"/>
    <s v="De 7 a 12 meses"/>
    <s v="Sí, completamente"/>
    <s v="3- Insatisfecho/a"/>
    <s v="Estabilidad laboral"/>
    <s v="Sí"/>
    <s v="Más de 6 meses"/>
    <s v="Sí"/>
    <s v="Sí"/>
    <s v="Familiares o conocidos"/>
    <s v="Falta de formación"/>
    <s v="Sí"/>
    <s v=""/>
    <s v=""/>
    <s v=""/>
    <s v=""/>
    <s v=""/>
    <s v="Puedo hacerlo sin ayuda"/>
    <s v="Puedo hacerlo sin ayuda"/>
    <s v="Puedo hacerlo con ayuda"/>
    <s v="No puedo hacerlo"/>
    <s v="No puedo hacerlo"/>
    <s v="Crear una hoja de vida"/>
    <s v="Falta de experiencia"/>
    <s v="Ferias de empleo"/>
    <s v="Me es indiferente"/>
    <s v="Fines de semana"/>
    <s v="WhatsApp"/>
  </r>
  <r>
    <x v="38"/>
    <x v="0"/>
    <s v="SI, ACEPTO PARTICIPAR"/>
    <s v="Femenino"/>
    <s v="De 24 a 26 años"/>
    <n v="25"/>
    <s v="URBANA"/>
    <s v="Profesional"/>
    <s v="Busco mi primer empleo"/>
    <s v=""/>
    <s v=""/>
    <s v=""/>
    <s v=""/>
    <s v=""/>
    <s v=""/>
    <s v="Más de 6 meses"/>
    <s v="Sí"/>
    <s v="No"/>
    <s v="Redes sociales"/>
    <s v="Falta de formación"/>
    <s v="No"/>
    <s v=""/>
    <s v=""/>
    <s v=""/>
    <s v=""/>
    <s v=""/>
    <s v="No puedo hacerlo"/>
    <s v="No puedo hacerlo"/>
    <s v="Puedo hacerlo con dificultad"/>
    <s v="Puedo hacerlo con ayuda"/>
    <s v="No puedo hacerlo"/>
    <s v="Preparación para entrevista"/>
    <s v="Falta de experiencia"/>
    <s v="No conozco ninguno"/>
    <s v="Presencial"/>
    <s v="Diurno"/>
    <s v="Redes sociales"/>
  </r>
  <r>
    <x v="39"/>
    <x v="0"/>
    <s v="SI, ACEPTO PARTICIPAR"/>
    <s v="Masculino"/>
    <s v="De 26 a 28 años"/>
    <n v="27"/>
    <s v="URBANA"/>
    <s v="Profesional"/>
    <s v="Trabajo actualmente como empleado"/>
    <s v="Empleado con contrato"/>
    <s v="De 3 a 6 meses"/>
    <s v="Parcialmente"/>
    <s v="1- Muy satisfecho/a"/>
    <s v="Horario"/>
    <s v="No"/>
    <s v="Todavía no he iniciado una búsqueda activa"/>
    <s v="No"/>
    <s v="No"/>
    <s v="Ferias de empleo"/>
    <s v="Horarios disponibles"/>
    <s v="Sí"/>
    <s v=""/>
    <s v=""/>
    <s v=""/>
    <s v=""/>
    <s v=""/>
    <s v="Puedo hacerlo con dificultad"/>
    <s v="Puedo hacerlo con dificultad"/>
    <s v="Puedo hacerlo sin ayuda"/>
    <s v="Puedo hacerlo con dificultad"/>
    <s v="Puedo hacerlo con ayuda"/>
    <s v="Comunicación"/>
    <s v="Distancia"/>
    <s v="Ferias de empleo"/>
    <s v="Virtual"/>
    <s v="Nocturno"/>
    <s v="Celular"/>
  </r>
  <r>
    <x v="40"/>
    <x v="0"/>
    <s v="SI, ACEPTO PARTICIPAR"/>
    <s v="Masculino"/>
    <s v="De 18 a 20 años"/>
    <n v="18"/>
    <s v="URBANA"/>
    <s v="Bachiller"/>
    <s v="Trabajo de manera independiente"/>
    <s v="Trabajo independiente"/>
    <s v="Más de un año"/>
    <s v="Parcialmente"/>
    <s v="3- Insatisfecho/a"/>
    <s v="Estabilidad laboral"/>
    <s v="Sí"/>
    <s v="Entre 1 y 3 meses"/>
    <s v="No"/>
    <s v="No"/>
    <s v="Familiares o conocidos"/>
    <s v="Falta de formación"/>
    <s v="Sí"/>
    <s v=""/>
    <s v=""/>
    <s v=""/>
    <s v=""/>
    <s v=""/>
    <s v="Puedo hacerlo sin ayuda"/>
    <s v="Puedo hacerlo sin ayuda"/>
    <s v="Puedo hacerlo con ayuda"/>
    <s v="Puedo hacerlo con dificultad"/>
    <s v="Puedo hacerlo con ayuda"/>
    <s v="Liderazgo"/>
    <s v="Distancia"/>
    <s v="Programas de emprendimiento"/>
    <s v="Me es indiferente"/>
    <s v="Fines de semana"/>
    <s v="Correo electrónico"/>
  </r>
  <r>
    <x v="41"/>
    <x v="0"/>
    <s v="SI, ACEPTO PARTICIPAR"/>
    <s v="Femenino"/>
    <s v="De 20 a 22 años"/>
    <n v="20"/>
    <s v="URBANA"/>
    <s v="Bachiller"/>
    <s v="Estudio y quiero comenzar a trabajar"/>
    <s v=""/>
    <s v=""/>
    <s v=""/>
    <s v=""/>
    <s v=""/>
    <s v=""/>
    <s v="Entre 4 y 6 meses"/>
    <s v="Sí"/>
    <s v="Sí"/>
    <s v="Redes sociales"/>
    <s v="Falta de formación"/>
    <s v="No"/>
    <s v=""/>
    <s v=""/>
    <s v=""/>
    <s v=""/>
    <s v=""/>
    <s v="Puedo hacerlo con ayuda"/>
    <s v="Puedo hacerlo con ayuda"/>
    <s v="Puedo hacerlo con dificultad"/>
    <s v="Puedo hacerlo sin ayuda"/>
    <s v="Puedo hacerlo con dificultad"/>
    <s v="Emprendimiento"/>
    <s v="Distancia"/>
    <s v="Oficina de orientación laboral"/>
    <s v="Presencial"/>
    <s v="Diurno"/>
    <s v="Redes sociales"/>
  </r>
  <r>
    <x v="42"/>
    <x v="0"/>
    <s v="SI, ACEPTO PARTICIPAR"/>
    <s v="Masculino"/>
    <s v="De 22 a 24 años"/>
    <n v="22"/>
    <s v="URBANA"/>
    <s v="Bachiller"/>
    <s v="Trabajo actualmente como empleado"/>
    <s v="Empleado con contrato"/>
    <s v="De 7 a 12 meses"/>
    <s v="No"/>
    <s v="1- Muy satisfecho/a"/>
    <s v="Horario"/>
    <s v="No estoy seguro/a"/>
    <s v="Entre 4 y 6 meses"/>
    <s v="Tengo una pero necesito actualizarla"/>
    <s v="Sí"/>
    <s v="Ferias de empleo"/>
    <s v="Horarios disponibles"/>
    <s v="Sí"/>
    <s v=""/>
    <s v=""/>
    <s v=""/>
    <s v=""/>
    <s v=""/>
    <s v="Puedo hacerlo con dificultad"/>
    <s v="Puedo hacerlo con dificultad"/>
    <s v="Puedo hacerlo sin ayuda"/>
    <s v="No puedo hacerlo"/>
    <s v="Puedo hacerlo sin ayuda"/>
    <s v="Herramientas digitales"/>
    <s v="Falta de experiencia;Falta de información"/>
    <s v="Programas de emprendimiento"/>
    <s v="Virtual"/>
    <s v="Nocturno"/>
    <s v="WhatsApp"/>
  </r>
  <r>
    <x v="43"/>
    <x v="0"/>
    <s v="SI, ACEPTO PARTICIPAR"/>
    <s v="Masculino"/>
    <s v="De 24 a 26 años"/>
    <n v="24"/>
    <s v="URBANA"/>
    <s v="Bachiller"/>
    <s v="Actualmente no trabajo y estoy buscando empleo"/>
    <s v=""/>
    <s v=""/>
    <s v=""/>
    <s v=""/>
    <s v=""/>
    <s v=""/>
    <s v="Entre 4 y 6 meses"/>
    <s v="Sí"/>
    <s v="Sí"/>
    <s v="Familiares o conocidos"/>
    <s v="Falta de formación"/>
    <s v="Sí"/>
    <s v=""/>
    <s v=""/>
    <s v=""/>
    <s v=""/>
    <s v=""/>
    <s v="No puedo hacerlo"/>
    <s v="No puedo hacerlo"/>
    <s v="Puedo hacerlo con ayuda"/>
    <s v="Puedo hacerlo con ayuda"/>
    <s v="Puedo hacerlo sin ayuda"/>
    <s v="Educación financiera"/>
    <s v="Falta de experiencia;Falta de información"/>
    <s v="No conozco ninguno"/>
    <s v="Presencial y virtual"/>
    <s v="Fines de semana"/>
    <s v="Correo electrónico"/>
  </r>
  <r>
    <x v="44"/>
    <x v="0"/>
    <s v="SI, ACEPTO PARTICIPAR"/>
    <s v="Femenino"/>
    <s v="De 26 a 28 años"/>
    <n v="28"/>
    <s v="URBANA"/>
    <s v="Técnico"/>
    <s v="Estudio y quiero comenzar a trabajar"/>
    <s v=""/>
    <s v=""/>
    <s v=""/>
    <s v=""/>
    <s v=""/>
    <s v=""/>
    <s v="Menos de 1 mes"/>
    <s v="Sí"/>
    <s v="No"/>
    <s v="Redes sociales"/>
    <s v="Falta de formación"/>
    <s v="No"/>
    <s v=""/>
    <s v=""/>
    <s v=""/>
    <s v=""/>
    <s v=""/>
    <s v="Puedo hacerlo con dificultad"/>
    <s v="Puedo hacerlo con dificultad"/>
    <s v="Puedo hacerlo con dificultad"/>
    <s v="Puedo hacerlo con ayuda"/>
    <s v="No puedo hacerlo"/>
    <s v="Crear una hoja de vida;Preparación para entrevista"/>
    <s v="Falta de experiencia;Falta de información"/>
    <s v="Ferias de empleo"/>
    <s v="Me es indiferente"/>
    <s v="Diurno"/>
    <s v="Celular"/>
  </r>
  <r>
    <x v="45"/>
    <x v="0"/>
    <s v="SI, ACEPTO PARTICIPAR"/>
    <s v="Femenino"/>
    <s v="De 18 a 20 años"/>
    <n v="19"/>
    <s v="URBANA"/>
    <s v="Bachiller"/>
    <s v="Trabajo actualmente como empleado"/>
    <s v="Empleado sin contrato formal"/>
    <s v="Más de un año"/>
    <s v="Sí, completamente"/>
    <s v="2- Satisfecho/a"/>
    <s v="Acceso a prestaciones"/>
    <s v="Sí"/>
    <s v="Menos de 1 mes"/>
    <s v="Tengo una pero necesito actualizarla"/>
    <s v="No"/>
    <s v="Instituciones públicas"/>
    <s v="Horarios disponibles"/>
    <s v="No"/>
    <s v=""/>
    <s v=""/>
    <s v=""/>
    <s v=""/>
    <s v=""/>
    <s v="Puedo hacerlo sin ayuda"/>
    <s v="Puedo hacerlo sin ayuda"/>
    <s v="Puedo hacerlo sin ayuda"/>
    <s v="Puedo hacerlo con dificultad"/>
    <s v="No puedo hacerlo"/>
    <s v="Comunicación;Liderazgo"/>
    <s v="Costos de transporte;Distancia"/>
    <s v="No conozco ninguno"/>
    <s v="Presencial"/>
    <s v="Mañana entre semana"/>
    <s v="WhatsApp"/>
  </r>
  <r>
    <x v="46"/>
    <x v="0"/>
    <s v="SI, ACEPTO PARTICIPAR"/>
    <s v="Masculino"/>
    <s v="De 20 a 22 años"/>
    <n v="21"/>
    <s v="URBANA"/>
    <s v="Técnico"/>
    <s v="Actualmente no trabajo y estoy buscando empleo"/>
    <s v=""/>
    <s v=""/>
    <s v=""/>
    <s v=""/>
    <s v=""/>
    <s v=""/>
    <s v="Entre 1 y 3 meses"/>
    <s v="No"/>
    <s v="No"/>
    <s v="Familiares o conocidos"/>
    <s v="Falta de formación"/>
    <s v="Sí"/>
    <s v=""/>
    <s v=""/>
    <s v=""/>
    <s v=""/>
    <s v=""/>
    <s v="Puedo hacerlo con ayuda"/>
    <s v="Puedo hacerlo con ayuda"/>
    <s v="Puedo hacerlo con ayuda"/>
    <s v="Puedo hacerlo sin ayuda"/>
    <s v="Puedo hacerlo con ayuda"/>
    <s v="Herramientas digitales;Educación financiera"/>
    <s v="Costos de transporte;Distancia"/>
    <s v="Oficina de orientación laboral"/>
    <s v="Virtual"/>
    <s v="Fines de semana"/>
    <s v="Redes sociales"/>
  </r>
  <r>
    <x v="47"/>
    <x v="0"/>
    <s v="SI, ACEPTO PARTICIPAR"/>
    <s v="Masculino"/>
    <s v="De 22 a 24 años"/>
    <n v="23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tiempo"/>
    <s v="Falta de tiempo"/>
    <s v="No"/>
    <s v="Puedo hacerlo con dificultad"/>
    <s v="Puedo hacerlo con dificultad"/>
    <s v="Puedo hacerlo con dificultad"/>
    <s v="No puedo hacerlo"/>
    <s v="Puedo hacerlo con dificultad"/>
    <s v="Crear una hoja de vida"/>
    <s v="Costos de transporte;Distancia"/>
    <s v="Programas de emprendimiento"/>
    <s v="Presencial y virtual"/>
    <s v="Diurno"/>
    <s v="Celular"/>
  </r>
  <r>
    <x v="48"/>
    <x v="0"/>
    <s v="SI, ACEPTO PARTICIPAR"/>
    <s v="Femenino"/>
    <s v="De 24 a 26 años"/>
    <n v="25"/>
    <s v="URBANA"/>
    <s v="Tecnólogo"/>
    <s v="Trabajo de manera independiente"/>
    <s v="Trabajo independiente"/>
    <s v="Menos de 3 meses"/>
    <s v="No"/>
    <s v="3- Insatisfecho/a"/>
    <s v="Estabilidad laboral"/>
    <s v="No"/>
    <s v="Todavía no he iniciado una búsqueda activa"/>
    <s v="No"/>
    <s v="Sí"/>
    <s v="Familiares o conocidos"/>
    <s v="Dificultades con la hoja de vida"/>
    <s v="Sí"/>
    <s v=""/>
    <s v=""/>
    <s v=""/>
    <s v=""/>
    <s v=""/>
    <s v="No puedo hacerlo"/>
    <s v="No puedo hacerlo"/>
    <s v="Puedo hacerlo sin ayuda"/>
    <s v="No puedo hacerlo"/>
    <s v="Puedo hacerlo con dificultad"/>
    <s v="Preparación para entrevista"/>
    <s v="Falta de información"/>
    <s v="Oficina de orientación laboral"/>
    <s v="Me es indiferente"/>
    <s v="Mañana entre semana"/>
    <s v="Correo electrónico"/>
  </r>
  <r>
    <x v="49"/>
    <x v="0"/>
    <s v="SI, ACEPTO PARTICIPAR"/>
    <s v="Masculino"/>
    <s v="De 26 a 28 años"/>
    <n v="26"/>
    <s v="URBANA"/>
    <s v="Profesional"/>
    <s v="Busco mi primer empleo"/>
    <s v=""/>
    <s v=""/>
    <s v=""/>
    <s v=""/>
    <s v=""/>
    <s v=""/>
    <s v="Entre 4 y 6 meses"/>
    <s v="Sí"/>
    <s v="No"/>
    <s v="Familiares o conocidos"/>
    <s v="Falta de formación"/>
    <s v="Sí"/>
    <s v=""/>
    <s v=""/>
    <s v=""/>
    <s v=""/>
    <s v=""/>
    <s v="Puedo hacerlo con dificultad"/>
    <s v="Puedo hacerlo con dificultad"/>
    <s v="No puedo hacerlo"/>
    <s v="Puedo hacerlo con ayuda"/>
    <s v="Puedo hacerlo sin ayuda"/>
    <s v="Comunicación"/>
    <s v="Falta de información"/>
    <s v="Ferias de empleo"/>
    <s v="Presencial"/>
    <s v="Fines de semana"/>
    <s v="Redes sociales"/>
  </r>
  <r>
    <x v="50"/>
    <x v="0"/>
    <s v="SI, ACEPTO PARTICIPAR"/>
    <s v="Masculino"/>
    <s v="De 18 a 20 años"/>
    <n v="18"/>
    <s v="URBANA"/>
    <s v="Técnico"/>
    <s v="Trabajo actualmente como empleado"/>
    <s v="Empleado sin contrato formal"/>
    <s v="Menos de 3 meses"/>
    <s v="Parcialmente"/>
    <s v="2- Satisfecho/a"/>
    <s v="Acceso a prestaciones"/>
    <s v="No"/>
    <s v="Todavía no he iniciado una búsqueda activa"/>
    <s v="Tengo una pero necesito actualizarla"/>
    <s v="Sí"/>
    <s v="Instituciones públicas"/>
    <s v="Transporte"/>
    <s v="No"/>
    <s v=""/>
    <s v=""/>
    <s v=""/>
    <s v=""/>
    <s v=""/>
    <s v="Puedo hacerlo sin ayuda"/>
    <s v="Puedo hacerlo sin ayuda"/>
    <s v="Puedo hacerlo con dificultad"/>
    <s v="Puedo hacerlo con dificultad"/>
    <s v="Puedo hacerlo sin ayuda"/>
    <s v="Liderazgo"/>
    <s v="Falta de información"/>
    <s v="No conozco ninguno"/>
    <s v="Virtual"/>
    <s v="Diurno"/>
    <s v="WhatsApp"/>
  </r>
  <r>
    <x v="51"/>
    <x v="0"/>
    <s v="SI, ACEPTO PARTICIPAR"/>
    <s v="Femenino"/>
    <s v="De 20 a 22 años"/>
    <n v="20"/>
    <s v="URBANA"/>
    <s v="Tecnólogo"/>
    <s v="Trabajo de manera independiente"/>
    <s v="Trabajo independiente"/>
    <s v="De 3 a 6 meses"/>
    <s v="Sí, completamente"/>
    <s v="4- Muy insatisfecho/a"/>
    <s v="Estabilidad laboral"/>
    <s v="No estoy seguro/a"/>
    <s v="Entre 4 y 6 meses"/>
    <s v="No"/>
    <s v="No"/>
    <s v="Empresas directamente"/>
    <s v="Dificultades con la hoja de vida"/>
    <s v="No"/>
    <s v=""/>
    <s v=""/>
    <s v=""/>
    <s v=""/>
    <s v=""/>
    <s v="Puedo hacerlo con ayuda"/>
    <s v="Puedo hacerlo con ayuda"/>
    <s v="Puedo hacerlo sin ayuda"/>
    <s v="Puedo hacerlo con dificultad"/>
    <s v="No puedo hacerlo"/>
    <s v="Emprendimiento"/>
    <s v="Horarios"/>
    <s v="Ferias de empleo"/>
    <s v="Presencial y virtual"/>
    <s v="Mañana entre semana"/>
    <s v="Correo electrónico"/>
  </r>
  <r>
    <x v="52"/>
    <x v="0"/>
    <s v="SI, ACEPTO PARTICIPAR"/>
    <s v="Femenino"/>
    <s v="De 22 a 24 años"/>
    <n v="22"/>
    <s v="URBANA"/>
    <s v="Profesional"/>
    <s v="Busco mi primer empleo"/>
    <s v=""/>
    <s v=""/>
    <s v=""/>
    <s v=""/>
    <s v=""/>
    <s v=""/>
    <s v="Entre 1 y 3 meses"/>
    <s v="No"/>
    <s v="No"/>
    <s v="Familiares o conocidos"/>
    <s v="Falta de formación"/>
    <s v="Sí"/>
    <s v=""/>
    <s v=""/>
    <s v=""/>
    <s v=""/>
    <s v=""/>
    <s v="Puedo hacerlo con dificultad"/>
    <s v="Puedo hacerlo con dificultad"/>
    <s v="No puedo hacerlo"/>
    <s v="Puedo hacerlo sin ayuda"/>
    <s v="Puedo hacerlo con ayuda"/>
    <s v="Herramientas digitales"/>
    <s v="Horarios"/>
    <s v="Programas de emprendimiento"/>
    <s v="Me es indiferente"/>
    <s v="Fines de semana"/>
    <s v="Celular"/>
  </r>
  <r>
    <x v="53"/>
    <x v="0"/>
    <s v="SI, ACEPTO PARTICIPAR"/>
    <s v="Masculino"/>
    <s v="De 24 a 26 años"/>
    <n v="24"/>
    <s v="URBANA"/>
    <s v="Profesional"/>
    <s v="Trabajo actualmente como empleado"/>
    <s v="Empleado con contrato"/>
    <s v="De 3 a 6 meses"/>
    <s v="No"/>
    <s v="2- Satisfecho/a"/>
    <s v="Acceso a prestaciones"/>
    <s v="No"/>
    <s v="Todavía no he iniciado una búsqueda activa"/>
    <s v="Tengo una pero necesito actualizarla"/>
    <s v="No"/>
    <s v="Instituciones públicas"/>
    <s v="Transporte"/>
    <s v="No"/>
    <s v=""/>
    <s v=""/>
    <s v=""/>
    <s v=""/>
    <s v=""/>
    <s v="No puedo hacerlo"/>
    <s v="No puedo hacerlo"/>
    <s v="Puedo hacerlo con dificultad"/>
    <s v="No puedo hacerlo"/>
    <s v="Puedo hacerlo con ayuda"/>
    <s v="Educación financiera"/>
    <s v="Horarios"/>
    <s v="Oficina de orientación laboral"/>
    <s v="Presencial"/>
    <s v="Diurno"/>
    <s v="Correo electrónico"/>
  </r>
  <r>
    <x v="54"/>
    <x v="0"/>
    <s v="SI, ACEPTO PARTICIPAR"/>
    <s v="Masculino"/>
    <s v="De 26 a 28 años"/>
    <n v="27"/>
    <s v="URBANA"/>
    <s v="Posgrado"/>
    <s v="Actualmente no trabajo y estoy buscando empleo"/>
    <s v=""/>
    <s v=""/>
    <s v=""/>
    <s v=""/>
    <s v=""/>
    <s v=""/>
    <s v="Menos de 1 mes"/>
    <s v="No"/>
    <s v="Sí"/>
    <s v="Familiares o conocidos"/>
    <s v="Dificultades con la hoja de vida"/>
    <s v="Sí"/>
    <s v=""/>
    <s v=""/>
    <s v=""/>
    <s v=""/>
    <s v=""/>
    <s v="Puedo hacerlo con dificultad"/>
    <s v="Puedo hacerlo con dificultad"/>
    <s v="Puedo hacerlo sin ayuda"/>
    <s v="Puedo hacerlo con ayuda"/>
    <s v="Puedo hacerlo con dificultad"/>
    <s v="Crear una hoja de vida;Preparación para entrevista"/>
    <s v="Costos de transporte"/>
    <s v="Programas de emprendimiento"/>
    <s v="Virtual"/>
    <s v="Mañana entre semana"/>
    <s v="Redes sociales"/>
  </r>
  <r>
    <x v="55"/>
    <x v="0"/>
    <s v="SI, ACEPTO PARTICIPAR"/>
    <s v="Femenino"/>
    <s v="De 18 a 20 años"/>
    <n v="19"/>
    <s v="URBANA"/>
    <s v="Bachiller"/>
    <s v="Estudio y quiero comenzar a trabajar"/>
    <s v=""/>
    <s v=""/>
    <s v=""/>
    <s v=""/>
    <s v=""/>
    <s v=""/>
    <s v="Más de 6 meses"/>
    <s v="Sí"/>
    <s v="Sí"/>
    <s v="Familiares o conocidos"/>
    <s v="Falta de formación"/>
    <s v="Sí"/>
    <s v=""/>
    <s v=""/>
    <s v=""/>
    <s v=""/>
    <s v=""/>
    <s v="Puedo hacerlo sin ayuda"/>
    <s v="Puedo hacerlo sin ayuda"/>
    <s v="No puedo hacerlo"/>
    <s v="Puedo hacerlo con ayuda"/>
    <s v="Puedo hacerlo sin ayuda"/>
    <s v="Comunicación;Liderazgo"/>
    <s v="Costos de transporte"/>
    <s v="No conozco ninguno"/>
    <s v="Presencial y virtual"/>
    <s v="Fines de semana"/>
    <s v="WhatsApp"/>
  </r>
  <r>
    <x v="56"/>
    <x v="0"/>
    <s v="SI, ACEPTO PARTICIPAR"/>
    <s v="Masculino"/>
    <s v="De 20 a 22 años"/>
    <n v="21"/>
    <s v="URBANA"/>
    <s v="Bachiller"/>
    <s v="Trabajo actualmente como empleado"/>
    <s v="Empleado con contrato"/>
    <s v="De 7 a 12 meses"/>
    <s v="Sí, completamente"/>
    <s v="3- Insatisfecho/a"/>
    <s v="Acceso a prestaciones"/>
    <s v="No"/>
    <s v="Todavía no he iniciado una búsqueda activa"/>
    <s v="Tengo una pero necesito actualizarla"/>
    <s v="Sí"/>
    <s v="Institución educativa"/>
    <s v="Transporte"/>
    <s v="Sí"/>
    <s v=""/>
    <s v=""/>
    <s v=""/>
    <s v=""/>
    <s v=""/>
    <s v="Puedo hacerlo con ayuda"/>
    <s v="Puedo hacerlo con ayuda"/>
    <s v="Puedo hacerlo con dificultad"/>
    <s v="Puedo hacerlo con dificultad"/>
    <s v="Puedo hacerlo sin ayuda"/>
    <s v="Herramientas digitales;Educación financiera"/>
    <s v="Costos de transporte"/>
    <s v="Ferias de empleo"/>
    <s v="Me es indiferente"/>
    <s v="Nocturno"/>
    <s v="Correo electrónico"/>
  </r>
  <r>
    <x v="57"/>
    <x v="0"/>
    <s v="SI, ACEPTO PARTICIPAR"/>
    <s v="Masculino"/>
    <s v="De 22 a 24 años"/>
    <n v="23"/>
    <s v="URBANA"/>
    <s v="Bachiller"/>
    <s v="Actualmente no trabajo y estoy buscando empleo"/>
    <s v=""/>
    <s v=""/>
    <s v=""/>
    <s v=""/>
    <s v=""/>
    <s v=""/>
    <s v="Más de 6 meses"/>
    <s v="No"/>
    <s v="No"/>
    <s v="Empresas directamente"/>
    <s v="Dificultades con la hoja de vida"/>
    <s v="No"/>
    <s v=""/>
    <s v=""/>
    <s v=""/>
    <s v=""/>
    <s v=""/>
    <s v="Puedo hacerlo con dificultad"/>
    <s v="Puedo hacerlo con dificultad"/>
    <s v="Puedo hacerlo sin ayuda"/>
    <s v="Puedo hacerlo sin ayuda"/>
    <s v="No puedo hacerlo"/>
    <s v="Crear una hoja de vida"/>
    <s v="Horarios;Falta de información"/>
    <s v="No conozco ninguno"/>
    <s v="Virtual"/>
    <s v="Mañana entre semana"/>
    <s v="Celular"/>
  </r>
  <r>
    <x v="58"/>
    <x v="0"/>
    <s v="SI, ACEPTO PARTICIPAR"/>
    <s v="Femenino"/>
    <s v="De 24 a 26 años"/>
    <n v="25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herramientas"/>
    <s v="Falta de herramientas"/>
    <s v="No conozco programas de ese tipo"/>
    <s v="No puedo hacerlo"/>
    <s v="No puedo hacerlo"/>
    <s v="No puedo hacerlo"/>
    <s v="No puedo hacerlo"/>
    <s v="No puedo hacerlo"/>
    <s v="Preparación para entrevista"/>
    <s v="Horarios;Falta de información"/>
    <s v="Oficina de orientación laboral"/>
    <s v="Presencial y virtual"/>
    <s v="Fines de semana"/>
    <s v="WhatsApp"/>
  </r>
  <r>
    <x v="59"/>
    <x v="0"/>
    <s v="SI, ACEPTO PARTICIPAR"/>
    <s v="Femenino"/>
    <s v="De 26 a 28 años"/>
    <n v="28"/>
    <s v="URBANA"/>
    <s v="Tecnólogo"/>
    <s v="Trabajo actualmente como empleado"/>
    <s v="Empleado sin contrato formal"/>
    <s v="Más de un año"/>
    <s v="Parcialmente"/>
    <s v="3- Insatisfecho/a"/>
    <s v="Acceso a prestaciones"/>
    <s v="No estoy seguro/a"/>
    <s v="Entre 4 y 6 meses"/>
    <s v="Tengo una pero necesito actualizarla"/>
    <s v="No"/>
    <s v="Institución educativa"/>
    <s v="Transporte"/>
    <s v="Sí"/>
    <s v=""/>
    <s v=""/>
    <s v=""/>
    <s v=""/>
    <s v=""/>
    <s v="Puedo hacerlo con dificultad"/>
    <s v="Puedo hacerlo con dificultad"/>
    <s v="Puedo hacerlo con dificultad"/>
    <s v="No puedo hacerlo"/>
    <s v="Puedo hacerlo con ayuda"/>
    <s v="Comunicación"/>
    <s v="Horarios;Falta de información"/>
    <s v="Programas de emprendimiento"/>
    <s v="Me es indiferente"/>
    <s v="Nocturno"/>
    <s v="Redes sociales"/>
  </r>
  <r>
    <x v="60"/>
    <x v="0"/>
    <s v="SI, ACEPTO PARTICIPAR"/>
    <s v="Masculino"/>
    <s v="De 18 a 20 años"/>
    <n v="18"/>
    <s v="URBANA"/>
    <s v="Técnico"/>
    <s v="Busco mi primer empleo"/>
    <s v=""/>
    <s v=""/>
    <s v=""/>
    <s v=""/>
    <s v=""/>
    <s v=""/>
    <s v="Menos de 1 mes"/>
    <s v="No"/>
    <s v="No"/>
    <s v="Familiares o conocidos"/>
    <s v="Dificultades con la hoja de vida"/>
    <s v="Sí"/>
    <s v=""/>
    <s v=""/>
    <s v=""/>
    <s v=""/>
    <s v=""/>
    <s v="Puedo hacerlo sin ayuda"/>
    <s v="Puedo hacerlo sin ayuda"/>
    <s v="Puedo hacerlo sin ayuda"/>
    <s v="Puedo hacerlo con ayuda"/>
    <s v="Puedo hacerlo con dificultad"/>
    <s v="Liderazgo"/>
    <s v="Ninguna"/>
    <s v="Oficina de orientación laboral"/>
    <s v="Presencial"/>
    <s v="Mañana entre semana"/>
    <s v="Celular"/>
  </r>
  <r>
    <x v="61"/>
    <x v="0"/>
    <s v="SI, ACEPTO PARTICIPAR"/>
    <s v="Masculino"/>
    <s v="De 20 a 22 años"/>
    <n v="20"/>
    <s v="URBANA"/>
    <s v="Técnico"/>
    <s v="Trabajo actualmente como empleado"/>
    <s v="Empleado sin contrato formal"/>
    <s v="Menos de 3 meses"/>
    <s v="No"/>
    <s v="3- Insatisfecho/a"/>
    <s v="Oportunidades de crecimiento"/>
    <s v="Sí"/>
    <s v="Menos de 1 mes"/>
    <s v="Tengo una pero necesito actualizarla"/>
    <s v="Sí"/>
    <s v="Institución educativa"/>
    <s v="Internet"/>
    <s v="Sí"/>
    <s v=""/>
    <s v=""/>
    <s v=""/>
    <s v=""/>
    <s v=""/>
    <s v="Puedo hacerlo con ayuda"/>
    <s v="Puedo hacerlo con ayuda"/>
    <s v="No puedo hacerlo"/>
    <s v="Puedo hacerlo con dificultad"/>
    <s v="Puedo hacerlo con dificultad"/>
    <s v="Emprendimiento"/>
    <s v="Ninguna"/>
    <s v="Ferias de empleo"/>
    <s v="Virtual"/>
    <s v="Fines de semana"/>
    <s v="Correo electrónico"/>
  </r>
  <r>
    <x v="62"/>
    <x v="0"/>
    <s v="SI, ACEPTO PARTICIPAR"/>
    <s v="Femenino"/>
    <s v="De 22 a 24 años"/>
    <n v="22"/>
    <s v="URBANA"/>
    <s v="Tecnólogo"/>
    <s v="Trabajo de manera independiente"/>
    <s v="Trabajo independiente"/>
    <s v="De 7 a 12 meses"/>
    <s v="Parcialmente"/>
    <s v="4- Muy insatisfecho/a"/>
    <s v="Horario"/>
    <s v="Sí"/>
    <s v="Menos de 1 mes"/>
    <s v="No"/>
    <s v="Sí"/>
    <s v="Empresas directamente"/>
    <s v="Dificultades con la hoja de vida"/>
    <s v="No"/>
    <s v=""/>
    <s v=""/>
    <s v=""/>
    <s v=""/>
    <s v=""/>
    <s v="Puedo hacerlo con dificultad"/>
    <s v="Puedo hacerlo con dificultad"/>
    <s v="Puedo hacerlo con ayuda"/>
    <s v="Puedo hacerlo sin ayuda"/>
    <s v="Puedo hacerlo sin ayuda"/>
    <s v="Herramientas digitales"/>
    <s v="Ninguna"/>
    <s v="No conozco ninguno"/>
    <s v="Presencial y virtual"/>
    <s v="Nocturno"/>
    <s v="Redes sociales"/>
  </r>
  <r>
    <x v="63"/>
    <x v="0"/>
    <s v="SI, ACEPTO PARTICIPAR"/>
    <s v="Masculino"/>
    <s v="De 24 a 26 años"/>
    <n v="24"/>
    <s v="URBANA"/>
    <s v="Profesional"/>
    <s v="Busco mi primer empleo"/>
    <s v=""/>
    <s v=""/>
    <s v=""/>
    <s v=""/>
    <s v=""/>
    <s v=""/>
    <s v="Más de 6 meses"/>
    <s v="No"/>
    <s v="No"/>
    <s v="Empresas directamente"/>
    <s v="Dificultades con la hoja de vida"/>
    <s v="No"/>
    <s v=""/>
    <s v=""/>
    <s v=""/>
    <s v=""/>
    <s v=""/>
    <s v="No puedo hacerlo"/>
    <s v="No puedo hacerlo"/>
    <s v="Puedo hacerlo sin ayuda"/>
    <s v="Puedo hacerlo sin ayuda"/>
    <s v="Puedo hacerlo sin ayuda"/>
    <s v="Educación financiera"/>
    <s v="Falta de experiencia"/>
    <s v="Ferias de empleo"/>
    <s v="Me es indiferente"/>
    <s v="Mañana entre semana"/>
    <s v="WhatsApp"/>
  </r>
  <r>
    <x v="64"/>
    <x v="0"/>
    <s v="SI, ACEPTO PARTICIPAR"/>
    <s v="Masculino"/>
    <s v="De 26 a 28 años"/>
    <n v="26"/>
    <s v="URBANA"/>
    <s v="Profesional"/>
    <s v="Trabajo actualmente como empleado"/>
    <s v="Empleado con contrato"/>
    <s v="De 3 a 6 meses"/>
    <s v="Sí, completamente"/>
    <s v="4- Muy insatisfecho/a"/>
    <s v="Oportunidades de crecimiento"/>
    <s v="Sí"/>
    <s v="Más de 6 meses"/>
    <s v="Sí"/>
    <s v="No"/>
    <s v="No sé dónde buscar"/>
    <s v="Internet"/>
    <s v="No"/>
    <s v=""/>
    <s v=""/>
    <s v=""/>
    <s v=""/>
    <s v=""/>
    <s v="Puedo hacerlo con dificultad"/>
    <s v="Puedo hacerlo con dificultad"/>
    <s v="No puedo hacerlo"/>
    <s v="No puedo hacerlo"/>
    <s v="No puedo hacerlo"/>
    <s v="Crear una hoja de vida;Preparación para entrevista"/>
    <s v="Falta de experiencia"/>
    <s v="Programas de emprendimiento"/>
    <s v="Presencial"/>
    <s v="Fines de semana"/>
    <s v="Correo electrónico"/>
  </r>
  <r>
    <x v="65"/>
    <x v="0"/>
    <s v="SI, ACEPTO PARTICIPAR"/>
    <s v="Femenino"/>
    <s v="De 18 a 20 años"/>
    <n v="19"/>
    <s v="URBANA"/>
    <s v="Bachiller"/>
    <s v="Trabajo de manera independiente"/>
    <s v="Trabajo independiente"/>
    <s v="Más de un año"/>
    <s v="No"/>
    <s v="4- Muy insatisfecho/a"/>
    <s v="Horario"/>
    <s v="Sí"/>
    <s v="Más de 6 meses"/>
    <s v="No"/>
    <s v="No"/>
    <s v="Empresas directamente"/>
    <s v="Dificultades con la hoja de vida"/>
    <s v="No"/>
    <s v=""/>
    <s v=""/>
    <s v=""/>
    <s v=""/>
    <s v=""/>
    <s v="Puedo hacerlo sin ayuda"/>
    <s v="Puedo hacerlo sin ayuda"/>
    <s v="Puedo hacerlo con ayuda"/>
    <s v="Puedo hacerlo con ayuda"/>
    <s v="Puedo hacerlo con ayuda"/>
    <s v="Comunicación;Liderazgo"/>
    <s v="Falta de experiencia"/>
    <s v="Oficina de orientación laboral"/>
    <s v="Virtual"/>
    <s v="Nocturno"/>
    <s v="Celular"/>
  </r>
  <r>
    <x v="66"/>
    <x v="0"/>
    <s v="SI, ACEPTO PARTICIPAR"/>
    <s v="Femenino"/>
    <s v="De 20 a 22 años"/>
    <n v="21"/>
    <s v="URBANA"/>
    <s v="Bachiller"/>
    <s v="Estudio y quiero comenzar a trabajar"/>
    <s v=""/>
    <s v=""/>
    <s v=""/>
    <s v=""/>
    <s v=""/>
    <s v=""/>
    <s v="Entre 1 y 3 meses"/>
    <s v="No"/>
    <s v="No"/>
    <s v="Familiares o conocidos"/>
    <s v="Falta de formación"/>
    <s v="Sí"/>
    <s v=""/>
    <s v=""/>
    <s v=""/>
    <s v=""/>
    <s v=""/>
    <s v="Puedo hacerlo con ayuda"/>
    <s v="Puedo hacerlo con ayuda"/>
    <s v="Puedo hacerlo sin ayuda"/>
    <s v="Puedo hacerlo con dificultad"/>
    <s v="Puedo hacerlo con ayuda"/>
    <s v="Herramientas digitales;Educación financiera"/>
    <s v="Distancia"/>
    <s v="Programas de emprendimiento"/>
    <s v="Presencial y virtual"/>
    <s v="Mañana entre semana"/>
    <s v="WhatsApp"/>
  </r>
  <r>
    <x v="67"/>
    <x v="0"/>
    <s v="SI, ACEPTO PARTICIPAR"/>
    <s v="Masculino"/>
    <s v="De 22 a 24 años"/>
    <n v="23"/>
    <s v="URBANA"/>
    <s v="Bachiller"/>
    <s v="Trabajo actualmente como empleado"/>
    <s v="Empleado con contrato"/>
    <s v="De 7 a 12 meses"/>
    <s v="Parcialmente"/>
    <s v="4- Muy insatisfecho/a"/>
    <s v="Oportunidades de crecimiento"/>
    <s v="Sí"/>
    <s v="Entre 1 y 3 meses"/>
    <s v="Sí"/>
    <s v="Sí"/>
    <s v="No sé dónde buscar"/>
    <s v="Internet"/>
    <s v="No"/>
    <s v=""/>
    <s v=""/>
    <s v=""/>
    <s v=""/>
    <s v=""/>
    <s v="Puedo hacerlo con dificultad"/>
    <s v="Puedo hacerlo con dificultad"/>
    <s v="No puedo hacerlo"/>
    <s v="Puedo hacerlo con dificultad"/>
    <s v="Puedo hacerlo con dificultad"/>
    <s v="Crear una hoja de vida"/>
    <s v="Distancia"/>
    <s v="No conozco ninguno"/>
    <s v="Me es indiferente"/>
    <s v="Diurno"/>
    <s v="Redes sociales"/>
  </r>
  <r>
    <x v="68"/>
    <x v="0"/>
    <s v="SI, ACEPTO PARTICIPAR"/>
    <s v="Masculino"/>
    <s v="De 24 a 26 años"/>
    <n v="25"/>
    <s v="URBANA"/>
    <s v="Bachiller"/>
    <s v="Actualmente no trabajo y estoy buscando empleo"/>
    <s v=""/>
    <s v=""/>
    <s v=""/>
    <s v=""/>
    <s v=""/>
    <s v=""/>
    <s v="Entre 4 y 6 meses"/>
    <s v="No"/>
    <s v="Sí"/>
    <s v="Empresas directamente"/>
    <s v="Dificultades con la hoja de vida"/>
    <s v="No"/>
    <s v=""/>
    <s v=""/>
    <s v=""/>
    <s v=""/>
    <s v=""/>
    <s v="No puedo hacerlo"/>
    <s v="No puedo hacerlo"/>
    <s v="Puedo hacerlo con ayuda"/>
    <s v="Puedo hacerlo sin ayuda"/>
    <s v="Puedo hacerlo con dificultad"/>
    <s v="Preparación para entrevista"/>
    <s v="Distancia"/>
    <s v="Ferias de empleo"/>
    <s v="Presencial"/>
    <s v="Nocturno"/>
    <s v="Celular"/>
  </r>
  <r>
    <x v="69"/>
    <x v="0"/>
    <s v="SI, ACEPTO PARTICIPAR"/>
    <s v="Femenino"/>
    <s v="De 26 a 28 años"/>
    <n v="27"/>
    <s v="URBANA"/>
    <s v="Bachiller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financiación"/>
    <s v="Falta de financiación"/>
    <s v="No conozco programas de ese tipo"/>
    <s v="Puedo hacerlo con dificultad"/>
    <s v="Puedo hacerlo con dificultad"/>
    <s v="Puedo hacerlo sin ayuda"/>
    <s v="No puedo hacerlo"/>
    <s v="Puedo hacerlo sin ayuda"/>
    <s v="Comunicación"/>
    <s v="Falta de experiencia;Falta de información"/>
    <s v="No conozco ninguno"/>
    <s v="Virtual"/>
    <s v="Mañana entre semana"/>
    <s v="Correo electrónico"/>
  </r>
  <r>
    <x v="70"/>
    <x v="0"/>
    <s v="SI, ACEPTO PARTICIPAR"/>
    <s v="Masculino"/>
    <s v="De 18 a 20 años"/>
    <n v="18"/>
    <s v="URBANA"/>
    <s v="Bachiller"/>
    <s v="Trabajo actualmente como empleado"/>
    <s v="Empleado sin contrato formal"/>
    <s v="Más de un año"/>
    <s v="No"/>
    <s v="4- Muy insatisfecho/a"/>
    <s v="Oportunidades de crecimiento"/>
    <s v="No"/>
    <s v="Todavía no he iniciado una búsqueda activa"/>
    <s v="Sí"/>
    <s v="No"/>
    <s v="No sé dónde buscar"/>
    <s v="Internet"/>
    <s v="No"/>
    <s v=""/>
    <s v=""/>
    <s v=""/>
    <s v=""/>
    <s v=""/>
    <s v="Puedo hacerlo sin ayuda"/>
    <s v="Puedo hacerlo sin ayuda"/>
    <s v="No puedo hacerlo"/>
    <s v="Puedo hacerlo con ayuda"/>
    <s v="No puedo hacerlo"/>
    <s v="Liderazgo"/>
    <s v="Falta de experiencia;Falta de información"/>
    <s v="Oficina de orientación laboral"/>
    <s v="Presencial y virtual"/>
    <s v="Diurno"/>
    <s v="Redes sociales"/>
  </r>
  <r>
    <x v="71"/>
    <x v="0"/>
    <s v="SI, ACEPTO PARTICIPAR"/>
    <s v="Masculino"/>
    <s v="De 20 a 22 años"/>
    <n v="20"/>
    <s v="URBANA"/>
    <s v="Técnico"/>
    <s v="Actualmente no trabajo y estoy buscando empleo"/>
    <s v=""/>
    <s v=""/>
    <s v=""/>
    <s v=""/>
    <s v=""/>
    <s v=""/>
    <s v="Entre 1 y 3 meses"/>
    <s v="No"/>
    <s v="No"/>
    <s v="Empresas directamente"/>
    <s v="Dificultades con la hoja de vida"/>
    <s v="No"/>
    <s v=""/>
    <s v=""/>
    <s v=""/>
    <s v=""/>
    <s v=""/>
    <s v="Puedo hacerlo con ayuda"/>
    <s v="Puedo hacerlo con ayuda"/>
    <s v="Puedo hacerlo con ayuda"/>
    <s v="Puedo hacerlo con ayuda"/>
    <s v="No puedo hacerlo"/>
    <s v="Emprendimiento"/>
    <s v="Falta de experiencia;Falta de información"/>
    <s v="Programas de emprendimiento"/>
    <s v="Me es indiferente"/>
    <s v="Nocturno"/>
    <s v="WhatsApp"/>
  </r>
  <r>
    <x v="72"/>
    <x v="0"/>
    <s v="SI, ACEPTO PARTICIPAR"/>
    <s v="Femenino"/>
    <s v="De 22 a 24 años"/>
    <n v="22"/>
    <s v="URBANA"/>
    <s v="Técnico"/>
    <s v="Trabajo actualmente como empleado"/>
    <s v="Empleado sin contrato formal"/>
    <s v="Menos de 3 meses"/>
    <s v="Sí, completamente"/>
    <s v="1- Muy satisfecho/a"/>
    <s v="Oportunidades de crecimiento"/>
    <s v="No estoy seguro/a"/>
    <s v="Entre 4 y 6 meses"/>
    <s v="Sí"/>
    <s v="Sí"/>
    <s v="Portales de empleo;Redes sociales"/>
    <s v="Falta de experiencia"/>
    <s v="Sí"/>
    <s v=""/>
    <s v=""/>
    <s v=""/>
    <s v=""/>
    <s v=""/>
    <s v="Puedo hacerlo con dificultad"/>
    <s v="Puedo hacerlo con dificultad"/>
    <s v="Puedo hacerlo sin ayuda"/>
    <s v="Puedo hacerlo con dificultad"/>
    <s v="Puedo hacerlo con ayuda"/>
    <s v="Herramientas digitales"/>
    <s v="Costos de transporte;Distancia"/>
    <s v="Oficina de orientación laboral"/>
    <s v="Presencial"/>
    <s v="Mañana entre semana"/>
    <s v="Correo electrónico"/>
  </r>
  <r>
    <x v="73"/>
    <x v="0"/>
    <s v="SI, ACEPTO PARTICIPAR"/>
    <s v="Femenino"/>
    <s v="De 24 a 26 años"/>
    <n v="24"/>
    <s v="URBANA"/>
    <s v="Tecnólogo"/>
    <s v="Trabajo de manera independiente"/>
    <s v="Trabajo independiente"/>
    <s v="Menos de 3 meses"/>
    <s v="Sí, completamente"/>
    <s v="1- Muy satisfecho/a"/>
    <s v="Horario"/>
    <s v="No"/>
    <s v="Todavía no he iniciado una búsqueda activa"/>
    <s v="No"/>
    <s v="Sí"/>
    <s v="Ferias de empleo"/>
    <s v="Horarios disponibles"/>
    <s v="Sí"/>
    <s v=""/>
    <s v=""/>
    <s v=""/>
    <s v=""/>
    <s v=""/>
    <s v="No puedo hacerlo"/>
    <s v="No puedo hacerlo"/>
    <s v="No puedo hacerlo"/>
    <s v="Puedo hacerlo sin ayuda"/>
    <s v="Puedo hacerlo con ayuda"/>
    <s v="Educación financiera"/>
    <s v="Costos de transporte;Distancia"/>
    <s v="Ferias de empleo"/>
    <s v="Presencial y virtual"/>
    <s v="Diurno"/>
    <s v="Celular"/>
  </r>
  <r>
    <x v="74"/>
    <x v="0"/>
    <s v="SI, ACEPTO PARTICIPAR"/>
    <s v="Masculino"/>
    <s v="De 26 a 28 años"/>
    <n v="28"/>
    <s v="URBANA"/>
    <s v="Tecnólogo"/>
    <s v="Busco mi primer empleo"/>
    <s v=""/>
    <s v=""/>
    <s v=""/>
    <s v=""/>
    <s v=""/>
    <s v=""/>
    <s v="Entre 4 y 6 meses"/>
    <s v="No"/>
    <s v="No"/>
    <s v="Empresas directamente"/>
    <s v="Dificultades con la hoja de vida"/>
    <s v="No"/>
    <s v=""/>
    <s v=""/>
    <s v=""/>
    <s v=""/>
    <s v=""/>
    <s v="Puedo hacerlo con dificultad"/>
    <s v="Puedo hacerlo con dificultad"/>
    <s v="Puedo hacerlo con ayuda"/>
    <s v="No puedo hacerlo"/>
    <s v="Puedo hacerlo con dificultad"/>
    <s v="Crear una hoja de vida;Preparación para entrevista"/>
    <s v="Costos de transporte;Distancia"/>
    <s v="No conozco ninguno"/>
    <s v="Me es indiferente"/>
    <s v="Nocturno"/>
    <s v="WhatsApp"/>
  </r>
  <r>
    <x v="75"/>
    <x v="0"/>
    <s v="SI, ACEPTO PARTICIPAR"/>
    <s v="Masculino"/>
    <s v="De 18 a 20 años"/>
    <n v="19"/>
    <s v="URBANA"/>
    <s v="Técnico"/>
    <s v="Trabajo actualmente como empleado"/>
    <s v="Empleado con contrato"/>
    <s v="De 3 a 6 meses"/>
    <s v="Parcialmente"/>
    <s v="1- Muy satisfecho/a"/>
    <s v="Trabajar en un área relacionada con mi formación"/>
    <s v="Sí"/>
    <s v="Menos de 1 mes"/>
    <s v="Sí"/>
    <s v="No"/>
    <s v="Portales de empleo;Redes sociales"/>
    <s v="Falta de experiencia"/>
    <s v="Sí"/>
    <s v=""/>
    <s v=""/>
    <s v=""/>
    <s v=""/>
    <s v=""/>
    <s v="Puedo hacerlo sin ayuda"/>
    <s v="Puedo hacerlo sin ayuda"/>
    <s v="Puedo hacerlo sin ayuda"/>
    <s v="No puedo hacerlo"/>
    <s v="Puedo hacerlo sin ayuda"/>
    <s v="Comunicación;Liderazgo"/>
    <s v="Falta de información"/>
    <s v="Ferias de empleo"/>
    <s v="Presencial"/>
    <s v="Mañana entre semana"/>
    <s v="Redes sociales"/>
  </r>
  <r>
    <x v="76"/>
    <x v="0"/>
    <s v="SI, ACEPTO PARTICIPAR"/>
    <s v="Femenino"/>
    <s v="De 20 a 22 años"/>
    <n v="21"/>
    <s v="URBANA"/>
    <s v="Tecnólogo"/>
    <s v="Trabajo de manera independiente"/>
    <s v="Trabajo independiente"/>
    <s v="De 3 a 6 meses"/>
    <s v="Parcialmente"/>
    <s v="1- Muy satisfecho/a"/>
    <s v="Horario"/>
    <s v="No"/>
    <s v="Todavía no he iniciado una búsqueda activa"/>
    <s v="No"/>
    <s v="No"/>
    <s v="Ferias de empleo"/>
    <s v="Horarios disponibles"/>
    <s v="Sí"/>
    <s v=""/>
    <s v=""/>
    <s v=""/>
    <s v=""/>
    <s v=""/>
    <s v="Puedo hacerlo con ayuda"/>
    <s v="Puedo hacerlo con ayuda"/>
    <s v="No puedo hacerlo"/>
    <s v="Puedo hacerlo con ayuda"/>
    <s v="Puedo hacerlo sin ayuda"/>
    <s v="Herramientas digitales;Educación financiera"/>
    <s v="Falta de información"/>
    <s v="Programas de emprendimiento"/>
    <s v="Virtual"/>
    <s v="Diurno"/>
    <s v="Celular"/>
  </r>
  <r>
    <x v="77"/>
    <x v="0"/>
    <s v="SI, ACEPTO PARTICIPAR"/>
    <s v="Masculino"/>
    <s v="De 22 a 24 años"/>
    <n v="23"/>
    <s v="URBANA"/>
    <s v="Profesional"/>
    <s v="Estudio y quiero comenzar a trabajar"/>
    <s v=""/>
    <s v=""/>
    <s v=""/>
    <s v=""/>
    <s v=""/>
    <s v=""/>
    <s v="Todavía no he iniciado una búsqueda activa"/>
    <s v="No"/>
    <s v="Sí"/>
    <s v="Familiares o conocidos"/>
    <s v="Dificultades con la hoja de vida"/>
    <s v="Sí"/>
    <s v=""/>
    <s v=""/>
    <s v=""/>
    <s v=""/>
    <s v=""/>
    <s v="Puedo hacerlo con dificultad"/>
    <s v="Puedo hacerlo con dificultad"/>
    <s v="Puedo hacerlo con ayuda"/>
    <s v="Puedo hacerlo con dificultad"/>
    <s v="No puedo hacerlo"/>
    <s v="Crear una hoja de vida"/>
    <s v="Falta de información"/>
    <s v="Oficina de orientación laboral"/>
    <s v="Presencial y virtual"/>
    <s v="Nocturno"/>
    <s v="Correo electrónico"/>
  </r>
  <r>
    <x v="78"/>
    <x v="0"/>
    <s v="SI, ACEPTO PARTICIPAR"/>
    <s v="Masculino"/>
    <s v="De 24 a 26 años"/>
    <n v="25"/>
    <s v="URBANA"/>
    <s v="Profesional"/>
    <s v="Trabajo actualmente como empleado"/>
    <s v="Empleado con contrato"/>
    <s v="De 7 a 12 meses"/>
    <s v="No"/>
    <s v="1- Muy satisfecho/a"/>
    <s v="Trabajar en un área relacionada con mi formación"/>
    <s v="No"/>
    <s v="Todavía no he iniciado una búsqueda activa"/>
    <s v="Sí"/>
    <s v="Sí"/>
    <s v="Portales de empleo;Redes sociales"/>
    <s v="Falta de experiencia"/>
    <s v="Sí"/>
    <s v=""/>
    <s v=""/>
    <s v=""/>
    <s v=""/>
    <s v=""/>
    <s v="No puedo hacerlo"/>
    <s v="No puedo hacerlo"/>
    <s v="Puedo hacerlo con dificultad"/>
    <s v="Puedo hacerlo sin ayuda"/>
    <s v="Puedo hacerlo con ayuda"/>
    <s v="Preparación para entrevista"/>
    <s v="Horarios"/>
    <s v="Programas de emprendimiento"/>
    <s v="Me es indiferente"/>
    <s v="Mañana entre semana"/>
    <s v="Redes sociales"/>
  </r>
  <r>
    <x v="79"/>
    <x v="0"/>
    <s v="SI, ACEPTO PARTICIPAR"/>
    <s v="Femenino"/>
    <s v="De 26 a 28 años"/>
    <n v="26"/>
    <s v="URBANA"/>
    <s v="Profesional"/>
    <s v="Actualmente no trabajo y estoy buscando empleo"/>
    <s v=""/>
    <s v=""/>
    <s v=""/>
    <s v=""/>
    <s v=""/>
    <s v=""/>
    <s v="Menos de 1 mes"/>
    <s v="No"/>
    <s v="Sí"/>
    <s v="Ferias de empleo"/>
    <s v="Horarios disponibles"/>
    <s v="Sí"/>
    <s v=""/>
    <s v=""/>
    <s v=""/>
    <s v=""/>
    <s v=""/>
    <s v="Puedo hacerlo con dificultad"/>
    <s v="Puedo hacerlo con dificultad"/>
    <s v="No puedo hacerlo"/>
    <s v="Puedo hacerlo sin ayuda"/>
    <s v="Puedo hacerlo con ayuda"/>
    <s v="Comunicación"/>
    <s v="Horarios"/>
    <s v="No conozco ninguno"/>
    <s v="Presencial"/>
    <s v="Diurno"/>
    <s v="WhatsApp"/>
  </r>
  <r>
    <x v="80"/>
    <x v="0"/>
    <s v="SI, ACEPTO PARTICIPAR"/>
    <s v="Femenino"/>
    <s v="De 18 a 20 años"/>
    <n v="18"/>
    <s v="URBANA"/>
    <s v="Bachiller"/>
    <s v="Estudio y quiero comenzar a trabajar"/>
    <s v=""/>
    <s v=""/>
    <s v=""/>
    <s v=""/>
    <s v=""/>
    <s v=""/>
    <s v="Entre 4 y 6 meses"/>
    <s v="No"/>
    <s v="No"/>
    <s v="Empresas directamente"/>
    <s v="Dificultades con la hoja de vida"/>
    <s v="No"/>
    <s v=""/>
    <s v=""/>
    <s v=""/>
    <s v=""/>
    <s v=""/>
    <s v="Puedo hacerlo sin ayuda"/>
    <s v="Puedo hacerlo sin ayuda"/>
    <s v="Puedo hacerlo con ayuda"/>
    <s v="No puedo hacerlo"/>
    <s v="Puedo hacerlo con dificultad"/>
    <s v="Liderazgo"/>
    <s v="Horarios"/>
    <s v="Ferias de empleo"/>
    <s v="Virtual"/>
    <s v="Nocturno"/>
    <s v="Correo electrónico"/>
  </r>
  <r>
    <x v="81"/>
    <x v="0"/>
    <s v="SI, ACEPTO PARTICIPAR"/>
    <s v="Masculino"/>
    <s v="De 20 a 22 años"/>
    <n v="20"/>
    <s v="URBANA"/>
    <s v="Bachiller"/>
    <s v="Trabajo actualmente como empleado"/>
    <s v="Empleado con contrato"/>
    <s v="Más de un año"/>
    <s v="Sí, completamente"/>
    <s v="2- Satisfecho/a"/>
    <s v="Oportunidades de crecimiento"/>
    <s v="No"/>
    <s v="Todavía no he iniciado una búsqueda activa"/>
    <s v="Sí"/>
    <s v="No"/>
    <s v="Familiares o conocidos;Empresas directamente"/>
    <s v="Falta de experiencia"/>
    <s v="No"/>
    <s v=""/>
    <s v=""/>
    <s v=""/>
    <s v=""/>
    <s v=""/>
    <s v="Puedo hacerlo con ayuda"/>
    <s v="Puedo hacerlo con ayuda"/>
    <s v="Puedo hacerlo con dificultad"/>
    <s v="Puedo hacerlo con ayuda"/>
    <s v="Puedo hacerlo con dificultad"/>
    <s v="Emprendimiento"/>
    <s v="Costos de transporte"/>
    <s v="No conozco ninguno"/>
    <s v="Presencial y virtual"/>
    <s v="Fines de semana"/>
    <s v="Celular"/>
  </r>
  <r>
    <x v="82"/>
    <x v="0"/>
    <s v="SI, ACEPTO PARTICIPAR"/>
    <s v="Masculino"/>
    <s v="De 22 a 24 años"/>
    <n v="22"/>
    <s v="URBANA"/>
    <s v="Bachiller"/>
    <s v="Actualmente no trabajo y estoy buscando empleo"/>
    <s v=""/>
    <s v=""/>
    <s v=""/>
    <s v=""/>
    <s v=""/>
    <s v=""/>
    <s v="Más de 6 meses"/>
    <s v="No"/>
    <s v="No"/>
    <s v="Ferias de empleo"/>
    <s v="Horarios disponibles"/>
    <s v="Sí"/>
    <s v=""/>
    <s v=""/>
    <s v=""/>
    <s v=""/>
    <s v=""/>
    <s v="Puedo hacerlo con dificultad"/>
    <s v="Puedo hacerlo con dificultad"/>
    <s v="No puedo hacerlo"/>
    <s v="Puedo hacerlo con dificultad"/>
    <s v="Puedo hacerlo sin ayuda"/>
    <s v="Herramientas digitales"/>
    <s v="Costos de transporte"/>
    <s v="Oficina de orientación laboral"/>
    <s v="Me es indiferente"/>
    <s v="Diurno"/>
    <s v="WhatsApp"/>
  </r>
  <r>
    <x v="83"/>
    <x v="0"/>
    <s v="SI, ACEPTO PARTICIPAR"/>
    <s v="Femenino"/>
    <s v="De 24 a 26 años"/>
    <n v="24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conocimientos administrativos"/>
    <s v="Falta de conocimientos administrativos"/>
    <s v="Sí"/>
    <s v="No puedo hacerlo"/>
    <s v="No puedo hacerlo"/>
    <s v="Puedo hacerlo con ayuda"/>
    <s v="Puedo hacerlo con dificultad"/>
    <s v="No puedo hacerlo"/>
    <s v="Educación financiera"/>
    <s v="Costos de transporte"/>
    <s v="Programas de emprendimiento"/>
    <s v="Presencial"/>
    <s v="Nocturno"/>
    <s v="Redes sociales"/>
  </r>
  <r>
    <x v="84"/>
    <x v="0"/>
    <s v="SI, ACEPTO PARTICIPAR"/>
    <s v="Masculino"/>
    <s v="De 26 a 28 años"/>
    <n v="27"/>
    <s v="URBANA"/>
    <s v="Técnico"/>
    <s v="Trabajo de manera independiente"/>
    <s v="Trabajo independiente"/>
    <s v="De 7 a 12 meses"/>
    <s v="No"/>
    <s v="1- Muy satisfecho/a"/>
    <s v="Horario"/>
    <s v="No estoy seguro/a"/>
    <s v="Entre 4 y 6 meses"/>
    <s v="Tengo una pero necesito actualizarla"/>
    <s v="Sí"/>
    <s v="Ferias de empleo"/>
    <s v="Horarios disponibles"/>
    <s v="Sí"/>
    <s v=""/>
    <s v=""/>
    <s v=""/>
    <s v=""/>
    <s v=""/>
    <s v="Puedo hacerlo con ayuda"/>
    <s v="Puedo hacerlo con ayuda"/>
    <s v="Puedo hacerlo con dificultad"/>
    <s v="Puedo hacerlo sin ayuda"/>
    <s v="No puedo hacerlo"/>
    <s v="Crear una hoja de vida;Preparación para entrevista"/>
    <s v="Horarios;Falta de información"/>
    <s v="Oficina de orientación laboral"/>
    <s v="Virtual"/>
    <s v="Fines de semana"/>
    <s v="Celular"/>
  </r>
  <r>
    <x v="85"/>
    <x v="0"/>
    <s v="SI, ACEPTO PARTICIPAR"/>
    <s v="Masculino"/>
    <s v="De 18 a 20 años"/>
    <n v="19"/>
    <s v="URBANA"/>
    <s v="Bachiller"/>
    <s v="Busco mi primer empleo"/>
    <s v=""/>
    <s v=""/>
    <s v=""/>
    <s v=""/>
    <s v=""/>
    <s v=""/>
    <s v="Entre 1 y 3 meses"/>
    <s v="No"/>
    <s v="No"/>
    <s v="Empresas directamente"/>
    <s v="Dificultades con la hoja de vida"/>
    <s v="No"/>
    <s v=""/>
    <s v=""/>
    <s v=""/>
    <s v=""/>
    <s v=""/>
    <s v="Puedo hacerlo sin ayuda"/>
    <s v="Puedo hacerlo sin ayuda"/>
    <s v="No puedo hacerlo"/>
    <s v="No puedo hacerlo"/>
    <s v="Puedo hacerlo con ayuda"/>
    <s v="Comunicación;Liderazgo"/>
    <s v="Horarios;Falta de información"/>
    <s v="Ferias de empleo"/>
    <s v="Presencial y virtual"/>
    <s v="Diurno"/>
    <s v="Correo electrónico"/>
  </r>
  <r>
    <x v="86"/>
    <x v="0"/>
    <s v="SI, ACEPTO PARTICIPAR"/>
    <s v="Femenino"/>
    <s v="De 20 a 22 años"/>
    <n v="21"/>
    <s v="URBANA"/>
    <s v="Técnico"/>
    <s v="Trabajo actualmente como empleado"/>
    <s v="Empleado sin contrato formal"/>
    <s v="Menos de 3 meses"/>
    <s v="Parcialmente"/>
    <s v="2- Satisfecho/a"/>
    <s v="Trabajar en un área relacionada con mi formación"/>
    <s v="No"/>
    <s v="Todavía no he iniciado una búsqueda activa"/>
    <s v="No"/>
    <s v="Sí"/>
    <s v="Familiares o conocidos;Empresas directamente"/>
    <s v="Falta de formación"/>
    <s v="No"/>
    <s v=""/>
    <s v=""/>
    <s v=""/>
    <s v=""/>
    <s v=""/>
    <s v="Puedo hacerlo con ayuda"/>
    <s v="Puedo hacerlo con ayuda"/>
    <s v="Puedo hacerlo con ayuda"/>
    <s v="Puedo hacerlo con ayuda"/>
    <s v="Puedo hacerlo con ayuda"/>
    <s v="Herramientas digitales;Educación financiera"/>
    <s v="Horarios;Falta de información"/>
    <s v="No conozco ninguno"/>
    <s v="Me es indiferente"/>
    <s v="Nocturno"/>
    <s v="Redes sociales"/>
  </r>
  <r>
    <x v="87"/>
    <x v="0"/>
    <s v="SI, ACEPTO PARTICIPAR"/>
    <s v="Femenino"/>
    <s v="De 22 a 24 años"/>
    <n v="23"/>
    <s v="URBANA"/>
    <s v="Tecnólogo"/>
    <s v="Trabajo de manera independiente"/>
    <s v="Trabajo independiente"/>
    <s v="Más de un año"/>
    <s v="Sí, completamente"/>
    <s v="2- Satisfecho/a"/>
    <s v="Acceso a prestaciones"/>
    <s v="Sí"/>
    <s v="Menos de 1 mes"/>
    <s v="Tengo una pero necesito actualizarla"/>
    <s v="No"/>
    <s v="Instituciones públicas"/>
    <s v="Horarios disponibles"/>
    <s v="No"/>
    <s v=""/>
    <s v=""/>
    <s v=""/>
    <s v=""/>
    <s v=""/>
    <s v="Puedo hacerlo con dificultad"/>
    <s v="Puedo hacerlo con dificultad"/>
    <s v="Puedo hacerlo con dificultad"/>
    <s v="Puedo hacerlo con ayuda"/>
    <s v="Puedo hacerlo con dificultad"/>
    <s v="Crear una hoja de vida"/>
    <s v="Ninguna"/>
    <s v="Ferias de empleo"/>
    <s v="Presencial"/>
    <s v="Fines de semana"/>
    <s v="WhatsApp"/>
  </r>
  <r>
    <x v="88"/>
    <x v="0"/>
    <s v="SI, ACEPTO PARTICIPAR"/>
    <s v="Masculino"/>
    <s v="De 24 a 26 años"/>
    <n v="25"/>
    <s v="URBANA"/>
    <s v="Tecnólogo"/>
    <s v="Busco mi primer empleo"/>
    <s v=""/>
    <s v=""/>
    <s v=""/>
    <s v=""/>
    <s v=""/>
    <s v=""/>
    <s v="Menos de 1 mes"/>
    <s v="No"/>
    <s v="No"/>
    <s v="Ferias de empleo"/>
    <s v="Horarios disponibles"/>
    <s v="Sí"/>
    <s v=""/>
    <s v=""/>
    <s v=""/>
    <s v=""/>
    <s v=""/>
    <s v="No puedo hacerlo"/>
    <s v="No puedo hacerlo"/>
    <s v="No puedo hacerlo"/>
    <s v="Puedo hacerlo con dificultad"/>
    <s v="Puedo hacerlo sin ayuda"/>
    <s v="Preparación para entrevista"/>
    <s v="Ninguna"/>
    <s v="Programas de emprendimiento"/>
    <s v="Virtual"/>
    <s v="Diurno"/>
    <s v="Correo electrónico"/>
  </r>
  <r>
    <x v="89"/>
    <x v="0"/>
    <s v="SI, ACEPTO PARTICIPAR"/>
    <s v="Masculino"/>
    <s v="De 26 a 28 años"/>
    <n v="28"/>
    <s v="URBANA"/>
    <s v="Profesional"/>
    <s v="Trabajo actualmente como empleado"/>
    <s v="Empleado con contrato"/>
    <s v="De 3 a 6 meses"/>
    <s v="No"/>
    <s v="2- Satisfecho/a"/>
    <s v="Trabajar en un área relacionada con mi formación"/>
    <s v="No estoy seguro/a"/>
    <s v="Entre 4 y 6 meses"/>
    <s v="No"/>
    <s v="No"/>
    <s v="Familiares o conocidos;Empresas directamente"/>
    <s v="Falta de formación"/>
    <s v="No"/>
    <s v=""/>
    <s v=""/>
    <s v=""/>
    <s v=""/>
    <s v=""/>
    <s v="Puedo hacerlo con ayuda"/>
    <s v="Puedo hacerlo con ayuda"/>
    <s v="Puedo hacerlo con ayuda"/>
    <s v="Puedo hacerlo sin ayuda"/>
    <s v="Puedo hacerlo sin ayuda"/>
    <s v="Comunicación"/>
    <s v="Ninguna"/>
    <s v="Oficina de orientación laboral"/>
    <s v="Presencial y virtual"/>
    <s v="Nocturno"/>
    <s v="Celular"/>
  </r>
  <r>
    <x v="90"/>
    <x v="0"/>
    <s v="SI, ACEPTO PARTICIPAR"/>
    <s v="Femenino"/>
    <s v="De 18 a 20 años"/>
    <n v="18"/>
    <s v="URBANA"/>
    <s v="Tecnólogo"/>
    <s v="Actualmente no trabajo y estoy buscando empleo"/>
    <s v=""/>
    <s v=""/>
    <s v=""/>
    <s v=""/>
    <s v=""/>
    <s v=""/>
    <s v="Entre 4 y 6 meses"/>
    <s v="Tengo una pero necesito actualizarla"/>
    <s v="Sí"/>
    <s v="Ferias de empleo"/>
    <s v="Horarios disponibles"/>
    <s v="Sí"/>
    <s v=""/>
    <s v=""/>
    <s v=""/>
    <s v=""/>
    <s v=""/>
    <s v="Puedo hacerlo sin ayuda"/>
    <s v="Puedo hacerlo sin ayuda"/>
    <s v="Puedo hacerlo con dificultad"/>
    <s v="Puedo hacerlo sin ayuda"/>
    <s v="No puedo hacerlo"/>
    <s v="Liderazgo"/>
    <s v="Falta de experiencia"/>
    <s v="Programas de emprendimiento"/>
    <s v="Presencial"/>
    <s v="Fines de semana"/>
    <s v="WhatsApp"/>
  </r>
  <r>
    <x v="91"/>
    <x v="0"/>
    <s v="SI, ACEPTO PARTICIPAR"/>
    <s v="Masculino"/>
    <s v="De 20 a 22 años"/>
    <n v="20"/>
    <s v="URBANA"/>
    <s v="Tecnólogo"/>
    <s v="Estudio y quiero comenzar a trabajar"/>
    <s v=""/>
    <s v=""/>
    <s v=""/>
    <s v=""/>
    <s v=""/>
    <s v=""/>
    <s v="Menos de 1 mes"/>
    <s v="No"/>
    <s v="Sí"/>
    <s v="Empresas directamente"/>
    <s v="Dificultades con la hoja de vida"/>
    <s v="No"/>
    <s v=""/>
    <s v=""/>
    <s v=""/>
    <s v=""/>
    <s v=""/>
    <s v="Puedo hacerlo con ayuda"/>
    <s v="Puedo hacerlo con ayuda"/>
    <s v="No puedo hacerlo"/>
    <s v="No puedo hacerlo"/>
    <s v="No puedo hacerlo"/>
    <s v="Emprendimiento"/>
    <s v="Falta de experiencia"/>
    <s v="No conozco ninguno"/>
    <s v="Virtual"/>
    <s v="Diurno"/>
    <s v="Redes sociales"/>
  </r>
  <r>
    <x v="92"/>
    <x v="0"/>
    <s v="SI, ACEPTO PARTICIPAR"/>
    <s v="Masculino"/>
    <s v="De 22 a 24 años"/>
    <n v="22"/>
    <s v="URBANA"/>
    <s v="Profesional"/>
    <s v="Trabajo actualmente como empleado"/>
    <s v="Empleado con contrato"/>
    <s v="De 7 a 12 meses"/>
    <s v="Sí, completamente"/>
    <s v="3- Insatisfecho/a"/>
    <s v="Salario"/>
    <s v="Sí"/>
    <s v="Menos de 1 mes"/>
    <s v="No"/>
    <s v="Sí"/>
    <s v="Portales de empleo"/>
    <s v="Falta de formación"/>
    <s v="Sí"/>
    <s v=""/>
    <s v=""/>
    <s v=""/>
    <s v=""/>
    <s v=""/>
    <s v="Puedo hacerlo con dificultad"/>
    <s v="Puedo hacerlo con dificultad"/>
    <s v="Puedo hacerlo con ayuda"/>
    <s v="Puedo hacerlo con ayuda"/>
    <s v="Puedo hacerlo con ayuda"/>
    <s v="Herramientas digitales"/>
    <s v="Falta de experiencia"/>
    <s v="Ferias de empleo"/>
    <s v="Presencial y virtual"/>
    <s v="Mañana entre semana"/>
    <s v="Celular"/>
  </r>
  <r>
    <x v="93"/>
    <x v="0"/>
    <s v="SI, ACEPTO PARTICIPAR"/>
    <s v="Femenino"/>
    <s v="De 24 a 26 años"/>
    <n v="24"/>
    <s v="URBANA"/>
    <s v="Posgrado"/>
    <s v="Actualmente no trabajo y estoy buscando empleo"/>
    <s v=""/>
    <s v=""/>
    <s v=""/>
    <s v=""/>
    <s v=""/>
    <s v=""/>
    <s v="Entre 1 y 3 meses"/>
    <s v="Tengo una pero necesito actualizarla"/>
    <s v="No"/>
    <s v="Instituciones públicas"/>
    <s v="Horarios disponibles"/>
    <s v="No"/>
    <s v=""/>
    <s v=""/>
    <s v=""/>
    <s v=""/>
    <s v=""/>
    <s v="No puedo hacerlo"/>
    <s v="No puedo hacerlo"/>
    <s v="Puedo hacerlo con dificultad"/>
    <s v="Puedo hacerlo con dificultad"/>
    <s v="Puedo hacerlo con dificultad"/>
    <s v="Educación financiera"/>
    <s v="Distancia"/>
    <s v="No conozco ninguno"/>
    <s v="Me es indiferente"/>
    <s v="Fines de semana"/>
    <s v="Correo electrónico"/>
  </r>
  <r>
    <x v="94"/>
    <x v="0"/>
    <s v="SI, ACEPTO PARTICIPAR"/>
    <s v="Femenino"/>
    <s v="De 26 a 28 años"/>
    <n v="26"/>
    <s v="URBANA"/>
    <s v="Bachiller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conocimientos financieros"/>
    <s v="Falta de conocimientos financieros"/>
    <s v="Sí"/>
    <s v="Puedo hacerlo con ayuda"/>
    <s v="Puedo hacerlo con ayuda"/>
    <s v="Puedo hacerlo sin ayuda"/>
    <s v="Puedo hacerlo con dificultad"/>
    <s v="Puedo hacerlo con dificultad"/>
    <s v="Crear una hoja de vida;Preparación para entrevista"/>
    <s v="Distancia"/>
    <s v="Oficina de orientación laboral"/>
    <s v="Presencial"/>
    <s v="Diurno"/>
    <s v="Redes sociales"/>
  </r>
  <r>
    <x v="95"/>
    <x v="0"/>
    <s v="SI, ACEPTO PARTICIPAR"/>
    <s v="Masculino"/>
    <s v="De 18 a 20 años"/>
    <n v="19"/>
    <s v="URBANA"/>
    <s v="Bachiller"/>
    <s v="Trabajo actualmente como empleado"/>
    <s v="Empleado con contrato"/>
    <s v="Más de un año"/>
    <s v="Parcialmente"/>
    <s v="3- Insatisfecho/a"/>
    <s v="Salario"/>
    <s v="Sí"/>
    <s v="Más de 6 meses"/>
    <s v="No"/>
    <s v="No"/>
    <s v="Portales de empleo"/>
    <s v="Falta de formación"/>
    <s v="Sí"/>
    <s v=""/>
    <s v=""/>
    <s v=""/>
    <s v=""/>
    <s v=""/>
    <s v="Puedo hacerlo sin ayuda"/>
    <s v="Puedo hacerlo sin ayuda"/>
    <s v="Puedo hacerlo con ayuda"/>
    <s v="Puedo hacerlo sin ayuda"/>
    <s v="Puedo hacerlo sin ayuda"/>
    <s v="Comunicación;Liderazgo"/>
    <s v="Distancia"/>
    <s v="Programas de emprendimiento"/>
    <s v="Virtual"/>
    <s v="Mañana entre semana"/>
    <s v="WhatsApp"/>
  </r>
  <r>
    <x v="96"/>
    <x v="0"/>
    <s v="SI, ACEPTO PARTICIPAR"/>
    <s v="Masculino"/>
    <s v="De 20 a 22 años"/>
    <n v="21"/>
    <s v="URBANA"/>
    <s v="Bachiller"/>
    <s v="Busco mi primer empleo"/>
    <s v=""/>
    <s v=""/>
    <s v=""/>
    <s v=""/>
    <s v=""/>
    <s v=""/>
    <s v="Más de 6 meses"/>
    <s v="No"/>
    <s v="No"/>
    <s v="Ferias de empleo"/>
    <s v="Horarios disponibles"/>
    <s v="Sí"/>
    <s v=""/>
    <s v=""/>
    <s v=""/>
    <s v=""/>
    <s v=""/>
    <s v="Puedo hacerlo con ayuda"/>
    <s v="Puedo hacerlo con ayuda"/>
    <s v="Puedo hacerlo con dificultad"/>
    <s v="No puedo hacerlo"/>
    <s v="No puedo hacerlo"/>
    <s v="Herramientas digitales;Educación financiera"/>
    <s v="Falta de experiencia;Falta de información"/>
    <s v="Oficina de orientación laboral"/>
    <s v="Presencial y virtual"/>
    <s v="Fines de semana"/>
    <s v="Redes sociales"/>
  </r>
  <r>
    <x v="97"/>
    <x v="0"/>
    <s v="SI, ACEPTO PARTICIPAR"/>
    <s v="Femenino"/>
    <s v="De 22 a 24 años"/>
    <n v="23"/>
    <s v="URBANA"/>
    <s v="Técnico"/>
    <s v="Trabajo actualmente como empleado"/>
    <s v="Empleado sin contrato formal"/>
    <s v="Menos de 3 meses"/>
    <s v="No"/>
    <s v="3- Insatisfecho/a"/>
    <s v="Salario"/>
    <s v="Sí"/>
    <s v="Entre 1 y 3 meses"/>
    <s v="No"/>
    <s v="Sí"/>
    <s v="Portales de empleo"/>
    <s v="Dificultades con la hoja de vida"/>
    <s v="Sí"/>
    <s v=""/>
    <s v=""/>
    <s v=""/>
    <s v=""/>
    <s v=""/>
    <s v="Puedo hacerlo con dificultad"/>
    <s v="Puedo hacerlo con dificultad"/>
    <s v="Puedo hacerlo sin ayuda"/>
    <s v="Puedo hacerlo con ayuda"/>
    <s v="No puedo hacerlo"/>
    <s v="Crear una hoja de vida"/>
    <s v="Falta de experiencia;Falta de información"/>
    <s v="Ferias de empleo"/>
    <s v="Me es indiferente"/>
    <s v="Diurno"/>
    <s v="Celular"/>
  </r>
  <r>
    <x v="98"/>
    <x v="0"/>
    <s v="SI, ACEPTO PARTICIPAR"/>
    <s v="Masculino"/>
    <s v="De 24 a 26 años"/>
    <n v="25"/>
    <s v="URBANA"/>
    <s v="Tecnólogo"/>
    <s v="Trabajo de manera independiente"/>
    <s v="Trabajo independiente"/>
    <s v="Menos de 3 meses"/>
    <s v="Parcialmente"/>
    <s v="2- Satisfecho/a"/>
    <s v="Acceso a prestaciones"/>
    <s v="No"/>
    <s v="Todavía no he iniciado una búsqueda activa"/>
    <s v="Tengo una pero necesito actualizarla"/>
    <s v="Sí"/>
    <s v="Instituciones públicas"/>
    <s v="Transporte"/>
    <s v="No"/>
    <s v=""/>
    <s v=""/>
    <s v=""/>
    <s v=""/>
    <s v=""/>
    <s v="No puedo hacerlo"/>
    <s v="No puedo hacerlo"/>
    <s v="Puedo hacerlo con ayuda"/>
    <s v="Puedo hacerlo con ayuda"/>
    <s v="Puedo hacerlo con ayuda"/>
    <s v="Preparación para entrevista"/>
    <s v="Falta de experiencia;Falta de información"/>
    <s v="No conozco ninguno"/>
    <s v="Presencial"/>
    <s v="Mañana entre semana"/>
    <s v="Correo electrónico"/>
  </r>
  <r>
    <x v="99"/>
    <x v="0"/>
    <s v="SI, ACEPTO PARTICIPAR"/>
    <s v="Masculino"/>
    <s v="De 26 a 28 años"/>
    <n v="27"/>
    <s v="URBANA"/>
    <s v="Tecnólogo"/>
    <s v="Busco mi primer empleo"/>
    <s v=""/>
    <s v=""/>
    <s v=""/>
    <s v=""/>
    <s v=""/>
    <s v=""/>
    <s v="Entre 4 y 6 meses"/>
    <s v="Tengo una pero necesito actualizarla"/>
    <s v="No"/>
    <s v="Ferias de empleo"/>
    <s v="Horarios disponibles"/>
    <s v="Sí"/>
    <s v=""/>
    <s v=""/>
    <s v=""/>
    <s v=""/>
    <s v=""/>
    <s v="Puedo hacerlo con ayuda"/>
    <s v="Puedo hacerlo con ayuda"/>
    <s v="Puedo hacerlo con dificultad"/>
    <s v="Puedo hacerlo con dificultad"/>
    <s v="Puedo hacerlo con ayuda"/>
    <s v="Comunicación"/>
    <s v="Costos de transporte;Distancia"/>
    <s v="Ferias de empleo"/>
    <s v="Virtual"/>
    <s v="Fines de semana"/>
    <s v="Redes sociales"/>
  </r>
  <r>
    <x v="100"/>
    <x v="0"/>
    <s v="SI, ACEPTO PARTICIPAR"/>
    <s v="Femenino"/>
    <s v="De 18 a 20 años"/>
    <n v="18"/>
    <s v="URBANA"/>
    <s v="Técnico"/>
    <s v="Trabajo actualmente como empleado"/>
    <s v="Empleado con contrato"/>
    <s v="De 3 a 6 meses"/>
    <s v="Sí, completamente"/>
    <s v="4- Muy insatisfecho/a"/>
    <s v="Salario"/>
    <s v="No"/>
    <s v="Todavía no he iniciado una búsqueda activa"/>
    <s v="No"/>
    <s v="No"/>
    <s v="Redes sociales"/>
    <s v="Dificultades con la hoja de vida"/>
    <s v="No"/>
    <s v=""/>
    <s v=""/>
    <s v=""/>
    <s v=""/>
    <s v=""/>
    <s v="Puedo hacerlo sin ayuda"/>
    <s v="Puedo hacerlo sin ayuda"/>
    <s v="Puedo hacerlo sin ayuda"/>
    <s v="Puedo hacerlo sin ayuda"/>
    <s v="Puedo hacerlo con dificultad"/>
    <s v="Liderazgo"/>
    <s v="Costos de transporte;Distancia"/>
    <s v="Programas de emprendimiento"/>
    <s v="Presencial y virtual"/>
    <s v="Diurno"/>
    <s v="WhatsApp"/>
  </r>
  <r>
    <x v="101"/>
    <x v="0"/>
    <s v="SI, ACEPTO PARTICIPAR"/>
    <s v="Femenino"/>
    <s v="De 20 a 22 años"/>
    <n v="20"/>
    <s v="URBANA"/>
    <s v="Tecnólogo"/>
    <s v="Trabajo de manera independiente"/>
    <s v="Trabajo independiente"/>
    <s v="De 3 a 6 meses"/>
    <s v="No"/>
    <s v="2- Satisfecho/a"/>
    <s v="Acceso a prestaciones"/>
    <s v="No"/>
    <s v="Todavía no he iniciado una búsqueda activa"/>
    <s v="Tengo una pero necesito actualizarla"/>
    <s v="No"/>
    <s v="Instituciones públicas"/>
    <s v="Transporte"/>
    <s v="No"/>
    <s v=""/>
    <s v=""/>
    <s v=""/>
    <s v=""/>
    <s v=""/>
    <s v="Puedo hacerlo con ayuda"/>
    <s v="Puedo hacerlo con ayuda"/>
    <s v="Puedo hacerlo con ayuda"/>
    <s v="No puedo hacerlo"/>
    <s v="Puedo hacerlo sin ayuda"/>
    <s v="Emprendimiento"/>
    <s v="Costos de transporte;Distancia"/>
    <s v="Oficina de orientación laboral"/>
    <s v="Me es indiferente"/>
    <s v="Mañana entre semana"/>
    <s v="Correo electrónico"/>
  </r>
  <r>
    <x v="102"/>
    <x v="0"/>
    <s v="SI, ACEPTO PARTICIPAR"/>
    <s v="Masculino"/>
    <s v="De 22 a 24 años"/>
    <n v="22"/>
    <s v="URBANA"/>
    <s v="Tecnólogo"/>
    <s v="Estudio y quiero comenzar a trabajar"/>
    <s v=""/>
    <s v=""/>
    <s v=""/>
    <s v=""/>
    <s v=""/>
    <s v=""/>
    <s v="Más de 6 meses"/>
    <s v="No"/>
    <s v="No"/>
    <s v="Empresas directamente"/>
    <s v="Dificultades con la hoja de vida"/>
    <s v="No"/>
    <s v=""/>
    <s v=""/>
    <s v=""/>
    <s v=""/>
    <s v=""/>
    <s v="Puedo hacerlo con dificultad"/>
    <s v="Puedo hacerlo con dificultad"/>
    <s v="Puedo hacerlo con dificultad"/>
    <s v="No puedo hacerlo"/>
    <s v="Puedo hacerlo sin ayuda"/>
    <s v="Herramientas digitales"/>
    <s v="Falta de información"/>
    <s v="Ferias de empleo"/>
    <s v="Presencial"/>
    <s v="Fines de semana"/>
    <s v="Celular"/>
  </r>
  <r>
    <x v="103"/>
    <x v="0"/>
    <s v="SI, ACEPTO PARTICIPAR"/>
    <s v="Masculino"/>
    <s v="De 24 a 26 años"/>
    <n v="24"/>
    <s v="URBANA"/>
    <s v="Profesional"/>
    <s v="Trabajo actualmente como empleado"/>
    <s v="Empleado con contrato"/>
    <s v="De 7 a 12 meses"/>
    <s v="Parcialmente"/>
    <s v="4- Muy insatisfecho/a"/>
    <s v="Salario"/>
    <s v="No estoy seguro/a"/>
    <s v="Entre 4 y 6 meses"/>
    <s v="No"/>
    <s v="Sí"/>
    <s v="Redes sociales"/>
    <s v="Dificultades con la hoja de vida"/>
    <s v="No"/>
    <s v=""/>
    <s v=""/>
    <s v=""/>
    <s v=""/>
    <s v=""/>
    <s v="No puedo hacerlo"/>
    <s v="No puedo hacerlo"/>
    <s v="Puedo hacerlo sin ayuda"/>
    <s v="Puedo hacerlo con ayuda"/>
    <s v="No puedo hacerlo"/>
    <s v="Educación financiera"/>
    <s v="Falta de información"/>
    <s v="No conozco ninguno"/>
    <s v="Virtual"/>
    <s v="Nocturno"/>
    <s v="WhatsApp"/>
  </r>
  <r>
    <x v="104"/>
    <x v="0"/>
    <s v="SI, ACEPTO PARTICIPAR"/>
    <s v="Femenino"/>
    <s v="De 26 a 28 años"/>
    <n v="28"/>
    <s v="URBANA"/>
    <s v="Profesional"/>
    <s v="Actualmente no trabajo y estoy buscando empleo"/>
    <s v=""/>
    <s v=""/>
    <s v=""/>
    <s v=""/>
    <s v=""/>
    <s v=""/>
    <s v="Menos de 1 mes"/>
    <s v="Tengo una pero necesito actualizarla"/>
    <s v="Sí"/>
    <s v="Instituciones públicas"/>
    <s v="Transporte"/>
    <s v="No"/>
    <s v=""/>
    <s v=""/>
    <s v=""/>
    <s v=""/>
    <s v=""/>
    <s v="Puedo hacerlo con ayuda"/>
    <s v="Puedo hacerlo con ayuda"/>
    <s v="Puedo hacerlo con ayuda"/>
    <s v="Puedo hacerlo con dificultad"/>
    <s v="No puedo hacerlo"/>
    <s v="Crear una hoja de vida;Preparación para entrevista"/>
    <s v="Falta de información"/>
    <s v="Ferias de empleo"/>
    <s v="Presencial y virtual"/>
    <s v="Mañana entre semana"/>
    <s v="Redes sociales"/>
  </r>
  <r>
    <x v="105"/>
    <x v="0"/>
    <s v="SI, ACEPTO PARTICIPAR"/>
    <s v="Masculino"/>
    <s v="De 18 a 20 años"/>
    <n v="19"/>
    <s v="URBANA"/>
    <s v="Bachiller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tiempo"/>
    <s v="Falta de tiempo"/>
    <s v="No"/>
    <s v="Puedo hacerlo sin ayuda"/>
    <s v="Puedo hacerlo sin ayuda"/>
    <s v="Puedo hacerlo con dificultad"/>
    <s v="Puedo hacerlo sin ayuda"/>
    <s v="Puedo hacerlo con ayuda"/>
    <s v="Comunicación;Liderazgo"/>
    <s v="Horarios"/>
    <s v="Programas de emprendimiento"/>
    <s v="Me es indiferente"/>
    <s v="Fines de semana"/>
    <s v="Celular"/>
  </r>
  <r>
    <x v="106"/>
    <x v="0"/>
    <s v="SI, ACEPTO PARTICIPAR"/>
    <s v="Masculino"/>
    <s v="De 20 a 22 años"/>
    <n v="21"/>
    <s v="URBANA"/>
    <s v="Bachiller"/>
    <s v="Trabajo actualmente como empleado"/>
    <s v="Empleado con contrato"/>
    <s v="Más de un año"/>
    <s v="No"/>
    <s v="4- Muy insatisfecho/a"/>
    <s v="Estabilidad laboral"/>
    <s v="Sí"/>
    <s v="Menos de 1 mes"/>
    <s v="Tengo una pero necesito actualizarla"/>
    <s v="No"/>
    <s v="Redes sociales"/>
    <s v="Dificultades con la hoja de vida"/>
    <s v="No"/>
    <s v=""/>
    <s v=""/>
    <s v=""/>
    <s v=""/>
    <s v=""/>
    <s v="Puedo hacerlo con ayuda"/>
    <s v="Puedo hacerlo con ayuda"/>
    <s v="Puedo hacerlo sin ayuda"/>
    <s v="Puedo hacerlo sin ayuda"/>
    <s v="Puedo hacerlo con dificultad"/>
    <s v="Herramientas digitales;Educación financiera"/>
    <s v="Horarios"/>
    <s v="Oficina de orientación laboral"/>
    <s v="Virtual"/>
    <s v="Nocturno"/>
    <s v="Correo electrónico"/>
  </r>
  <r>
    <x v="107"/>
    <x v="0"/>
    <s v="SI, ACEPTO PARTICIPAR"/>
    <s v="Femenino"/>
    <s v="De 22 a 24 años"/>
    <n v="23"/>
    <s v="URBANA"/>
    <s v="Bachiller"/>
    <s v="Actualmente no trabajo y estoy buscando empleo"/>
    <s v=""/>
    <s v=""/>
    <s v=""/>
    <s v=""/>
    <s v=""/>
    <s v=""/>
    <s v="Más de 6 meses"/>
    <s v="Tengo una pero necesito actualizarla"/>
    <s v="No"/>
    <s v="Instituciones públicas"/>
    <s v="Transporte"/>
    <s v="No"/>
    <s v=""/>
    <s v=""/>
    <s v=""/>
    <s v=""/>
    <s v=""/>
    <s v="Puedo hacerlo con dificultad"/>
    <s v="Puedo hacerlo con dificultad"/>
    <s v="No puedo hacerlo"/>
    <s v="No puedo hacerlo"/>
    <s v="Puedo hacerlo con dificultad"/>
    <s v="Crear una hoja de vida"/>
    <s v="Horarios"/>
    <s v="Programas de emprendimiento"/>
    <s v="Presencial y virtual"/>
    <s v="Mañana entre semana"/>
    <s v="Redes sociales"/>
  </r>
  <r>
    <x v="108"/>
    <x v="0"/>
    <s v="SI, ACEPTO PARTICIPAR"/>
    <s v="Femenino"/>
    <s v="De 24 a 26 años"/>
    <n v="25"/>
    <s v="URBANA"/>
    <s v="Bachiller"/>
    <s v="Trabajo actualmente como empleado"/>
    <s v="Empleado sin contrato formal"/>
    <s v="Menos de 3 meses"/>
    <s v="Sí, completamente"/>
    <s v="1- Muy satisfecho/a"/>
    <s v="Estabilidad laboral"/>
    <s v="No"/>
    <s v="Todavía no he iniciado una búsqueda activa"/>
    <s v="Tengo una pero necesito actualizarla"/>
    <s v="Sí"/>
    <s v="Familiares o conocidos"/>
    <s v="Horarios disponibles"/>
    <s v="Sí"/>
    <s v=""/>
    <s v=""/>
    <s v=""/>
    <s v=""/>
    <s v=""/>
    <s v="No puedo hacerlo"/>
    <s v="No puedo hacerlo"/>
    <s v="Puedo hacerlo con dificultad"/>
    <s v="Puedo hacerlo con ayuda"/>
    <s v="Puedo hacerlo sin ayuda"/>
    <s v="Preparación para entrevista"/>
    <s v="Costos de transporte"/>
    <s v="No conozco ninguno"/>
    <s v="Me es indiferente"/>
    <s v="Fines de semana"/>
    <s v="WhatsApp"/>
  </r>
  <r>
    <x v="109"/>
    <x v="0"/>
    <s v="SI, ACEPTO PARTICIPAR"/>
    <s v="Masculino"/>
    <s v="De 26 a 28 años"/>
    <n v="26"/>
    <s v="URBANA"/>
    <s v="Técnico"/>
    <s v="Trabajo de manera independiente"/>
    <s v="Trabajo independiente"/>
    <s v="De 7 a 12 meses"/>
    <s v="Sí, completamente"/>
    <s v="3- Insatisfecho/a"/>
    <s v="Acceso a prestaciones"/>
    <s v="No"/>
    <s v="Todavía no he iniciado una búsqueda activa"/>
    <s v="Tengo una pero necesito actualizarla"/>
    <s v="Sí"/>
    <s v="Institución educativa"/>
    <s v="Transporte"/>
    <s v="Sí"/>
    <s v=""/>
    <s v=""/>
    <s v=""/>
    <s v=""/>
    <s v=""/>
    <s v="Puedo hacerlo con ayuda"/>
    <s v="Puedo hacerlo con ayuda"/>
    <s v="Puedo hacerlo sin ayuda"/>
    <s v="Puedo hacerlo con dificultad"/>
    <s v="Puedo hacerlo sin ayuda"/>
    <s v="Comunicación"/>
    <s v="Costos de transporte"/>
    <s v="Ferias de empleo"/>
    <s v="Presencial"/>
    <s v="Nocturno"/>
    <s v="Correo electrónico"/>
  </r>
  <r>
    <x v="110"/>
    <x v="0"/>
    <s v="SI, ACEPTO PARTICIPAR"/>
    <s v="Masculino"/>
    <s v="De 18 a 20 años"/>
    <n v="18"/>
    <s v="URBANA"/>
    <s v="Bachiller"/>
    <s v="Busco mi primer empleo"/>
    <s v=""/>
    <s v=""/>
    <s v=""/>
    <s v=""/>
    <s v=""/>
    <s v=""/>
    <s v="Entre 1 y 3 meses"/>
    <s v="Tengo una pero necesito actualizarla"/>
    <s v="No"/>
    <s v="Instituciones públicas"/>
    <s v="Horarios disponibles"/>
    <s v="No"/>
    <s v=""/>
    <s v=""/>
    <s v=""/>
    <s v=""/>
    <s v=""/>
    <s v="Puedo hacerlo sin ayuda"/>
    <s v="Puedo hacerlo sin ayuda"/>
    <s v="No puedo hacerlo"/>
    <s v="Puedo hacerlo con dificultad"/>
    <s v="No puedo hacerlo"/>
    <s v="Liderazgo"/>
    <s v="Costos de transporte"/>
    <s v="No conozco ninguno"/>
    <s v="Virtual"/>
    <s v="Mañana entre semana"/>
    <s v="Celular"/>
  </r>
  <r>
    <x v="111"/>
    <x v="0"/>
    <s v="SI, ACEPTO PARTICIPAR"/>
    <s v="Femenino"/>
    <s v="De 20 a 22 años"/>
    <n v="20"/>
    <s v="URBANA"/>
    <s v="Técnico"/>
    <s v="Trabajo actualmente como empleado"/>
    <s v="Empleado con contrato"/>
    <s v="De 3 a 6 meses"/>
    <s v="Parcialmente"/>
    <s v="1- Muy satisfecho/a"/>
    <s v="Estabilidad laboral"/>
    <s v="No"/>
    <s v="Todavía no he iniciado una búsqueda activa"/>
    <s v="Tengo una pero necesito actualizarla"/>
    <s v="No"/>
    <s v="Familiares o conocidos"/>
    <s v="Horarios disponibles"/>
    <s v="Sí"/>
    <s v=""/>
    <s v=""/>
    <s v=""/>
    <s v=""/>
    <s v=""/>
    <s v="Puedo hacerlo con ayuda"/>
    <s v="Puedo hacerlo con ayuda"/>
    <s v="Puedo hacerlo con dificultad"/>
    <s v="Puedo hacerlo sin ayuda"/>
    <s v="Puedo hacerlo con ayuda"/>
    <s v="Emprendimiento"/>
    <s v="Horarios;Falta de información"/>
    <s v="Oficina de orientación laboral"/>
    <s v="Presencial y virtual"/>
    <s v="Fines de semana"/>
    <s v="WhatsApp"/>
  </r>
  <r>
    <x v="112"/>
    <x v="0"/>
    <s v="SI, ACEPTO PARTICIPAR"/>
    <s v="Masculino"/>
    <s v="De 22 a 24 años"/>
    <n v="22"/>
    <s v="URBANA"/>
    <s v="Técnico"/>
    <s v="Trabajo de manera independiente"/>
    <s v="Trabajo independiente"/>
    <s v="Más de un año"/>
    <s v="Parcialmente"/>
    <s v="3- Insatisfecho/a"/>
    <s v="Acceso a prestaciones"/>
    <s v="No estoy seguro/a"/>
    <s v="Entre 4 y 6 meses"/>
    <s v="Tengo una pero necesito actualizarla"/>
    <s v="No"/>
    <s v="Institución educativa"/>
    <s v="Transporte"/>
    <s v="Sí"/>
    <s v=""/>
    <s v=""/>
    <s v=""/>
    <s v=""/>
    <s v=""/>
    <s v="Puedo hacerlo con dificultad"/>
    <s v="Puedo hacerlo con dificultad"/>
    <s v="Puedo hacerlo sin ayuda"/>
    <s v="No puedo hacerlo"/>
    <s v="Puedo hacerlo con ayuda"/>
    <s v="Herramientas digitales"/>
    <s v="Horarios;Falta de información"/>
    <s v="Programas de emprendimiento"/>
    <s v="Me es indiferente"/>
    <s v="Nocturno"/>
    <s v="Redes sociales"/>
  </r>
  <r>
    <x v="113"/>
    <x v="0"/>
    <s v="SI, ACEPTO PARTICIPAR"/>
    <s v="Masculino"/>
    <s v="De 24 a 26 años"/>
    <n v="24"/>
    <s v="URBANA"/>
    <s v="Tecnólogo"/>
    <s v="Estudio y quiero comenzar a trabajar"/>
    <s v=""/>
    <s v=""/>
    <s v=""/>
    <s v=""/>
    <s v=""/>
    <s v=""/>
    <s v="Entre 1 y 3 meses"/>
    <s v="No"/>
    <s v="Sí"/>
    <s v="Ferias de empleo"/>
    <s v="Horarios disponibles"/>
    <s v="Sí"/>
    <s v=""/>
    <s v=""/>
    <s v=""/>
    <s v=""/>
    <s v=""/>
    <s v="No puedo hacerlo"/>
    <s v="No puedo hacerlo"/>
    <s v="No puedo hacerlo"/>
    <s v="Puedo hacerlo con ayuda"/>
    <s v="Puedo hacerlo con dificultad"/>
    <s v="Educación financiera"/>
    <s v="Horarios;Falta de información"/>
    <s v="Oficina de orientación laboral"/>
    <s v="Presencial"/>
    <s v="Mañana entre semana"/>
    <s v="Celular"/>
  </r>
  <r>
    <x v="114"/>
    <x v="0"/>
    <s v="SI, ACEPTO PARTICIPAR"/>
    <s v="Femenino"/>
    <s v="De 26 a 28 años"/>
    <n v="27"/>
    <s v="URBANA"/>
    <s v="Profesional"/>
    <s v="Trabajo actualmente como empleado"/>
    <s v="Empleado con contrato"/>
    <s v="De 7 a 12 meses"/>
    <s v="No"/>
    <s v="1- Muy satisfecho/a"/>
    <s v="Estabilidad laboral"/>
    <s v="No"/>
    <s v="Todavía no he iniciado una búsqueda activa"/>
    <s v="Tengo una pero necesito actualizarla"/>
    <s v="Sí"/>
    <s v="Familiares o conocidos"/>
    <s v="Horarios disponibles"/>
    <s v="Sí"/>
    <s v=""/>
    <s v=""/>
    <s v=""/>
    <s v=""/>
    <s v=""/>
    <s v="Puedo hacerlo con ayuda"/>
    <s v="Puedo hacerlo con ayuda"/>
    <s v="Puedo hacerlo con dificultad"/>
    <s v="Puedo hacerlo con ayuda"/>
    <s v="Puedo hacerlo con dificultad"/>
    <s v="Crear una hoja de vida;Preparación para entrevista"/>
    <s v="Ninguna"/>
    <s v="Ferias de empleo"/>
    <s v="Virtual"/>
    <s v="Fines de semana"/>
    <s v="Correo electrónico"/>
  </r>
  <r>
    <x v="115"/>
    <x v="0"/>
    <s v="SI, ACEPTO PARTICIPAR"/>
    <s v="Femenino"/>
    <s v="De 18 a 20 años"/>
    <n v="19"/>
    <s v="URBANA"/>
    <s v="Técnico"/>
    <s v="Actualmente no trabajo y estoy buscando empleo"/>
    <s v=""/>
    <s v=""/>
    <s v=""/>
    <s v=""/>
    <s v=""/>
    <s v=""/>
    <s v="Entre 4 y 6 meses"/>
    <s v="Tengo una pero necesito actualizarla"/>
    <s v="Sí"/>
    <s v="Institución educativa"/>
    <s v="Transporte"/>
    <s v="Sí"/>
    <s v=""/>
    <s v=""/>
    <s v=""/>
    <s v=""/>
    <s v=""/>
    <s v="Puedo hacerlo sin ayuda"/>
    <s v="Puedo hacerlo sin ayuda"/>
    <s v="Puedo hacerlo sin ayuda"/>
    <s v="Puedo hacerlo con dificultad"/>
    <s v="Puedo hacerlo sin ayuda"/>
    <s v="Comunicación;Liderazgo"/>
    <s v="Ninguna"/>
    <s v="No conozco ninguno"/>
    <s v="Presencial y virtual"/>
    <s v="Nocturno"/>
    <s v="Redes sociales"/>
  </r>
  <r>
    <x v="116"/>
    <x v="0"/>
    <s v="SI, ACEPTO PARTICIPAR"/>
    <s v="Masculino"/>
    <s v="De 20 a 22 años"/>
    <n v="21"/>
    <s v="URBANA"/>
    <s v="Tecnólogo"/>
    <s v="Estudio y quiero comenzar a trabajar"/>
    <s v=""/>
    <s v=""/>
    <s v=""/>
    <s v=""/>
    <s v=""/>
    <s v=""/>
    <s v="Todavía no he iniciado una búsqueda activa"/>
    <s v="No"/>
    <s v="No"/>
    <s v="Ferias de empleo"/>
    <s v="Horarios disponibles"/>
    <s v="Sí"/>
    <s v=""/>
    <s v=""/>
    <s v=""/>
    <s v=""/>
    <s v=""/>
    <s v="Puedo hacerlo con ayuda"/>
    <s v="Puedo hacerlo con ayuda"/>
    <s v="No puedo hacerlo"/>
    <s v="Puedo hacerlo sin ayuda"/>
    <s v="No puedo hacerlo"/>
    <s v="Herramientas digitales;Educación financiera"/>
    <s v="Ninguna"/>
    <s v="Ferias de empleo"/>
    <s v="Me es indiferente"/>
    <s v="Mañana entre semana"/>
    <s v="WhatsApp"/>
  </r>
  <r>
    <x v="117"/>
    <x v="0"/>
    <s v="SI, ACEPTO PARTICIPAR"/>
    <s v="Masculino"/>
    <s v="De 22 a 24 años"/>
    <n v="23"/>
    <s v="URBANA"/>
    <s v="Profesional"/>
    <s v="Trabajo actualmente como empleado"/>
    <s v="Empleado con contrato"/>
    <s v="Más de un año"/>
    <s v="Sí, completamente"/>
    <s v="2- Satisfecho/a"/>
    <s v="Estabilidad laboral"/>
    <s v="No estoy seguro/a"/>
    <s v="Entre 4 y 6 meses"/>
    <s v="Tengo una pero necesito actualizarla"/>
    <s v="No"/>
    <s v="Empresas directamente"/>
    <s v="Horarios disponibles"/>
    <s v="No"/>
    <s v=""/>
    <s v=""/>
    <s v=""/>
    <s v=""/>
    <s v=""/>
    <s v="Puedo hacerlo con dificultad"/>
    <s v="Puedo hacerlo con dificultad"/>
    <s v="Puedo hacerlo con dificultad"/>
    <s v="No puedo hacerlo"/>
    <s v="No puedo hacerlo"/>
    <s v="Crear una hoja de vida"/>
    <s v="Falta de experiencia"/>
    <s v="Programas de emprendimiento"/>
    <s v="Presencial"/>
    <s v="Diurno"/>
    <s v="Correo electrónico"/>
  </r>
  <r>
    <x v="118"/>
    <x v="0"/>
    <s v="SI, ACEPTO PARTICIPAR"/>
    <s v="Femenino"/>
    <s v="De 24 a 26 años"/>
    <n v="25"/>
    <s v="URBANA"/>
    <s v="Profesional"/>
    <s v="Actualmente no trabajo y estoy buscando empleo"/>
    <s v=""/>
    <s v=""/>
    <s v=""/>
    <s v=""/>
    <s v=""/>
    <s v=""/>
    <s v="Entre 1 y 3 meses"/>
    <s v="Tengo una pero necesito actualizarla"/>
    <s v="No"/>
    <s v="Institución educativa"/>
    <s v="Transporte"/>
    <s v="Sí"/>
    <s v=""/>
    <s v=""/>
    <s v=""/>
    <s v=""/>
    <s v=""/>
    <s v="No puedo hacerlo"/>
    <s v="No puedo hacerlo"/>
    <s v="Puedo hacerlo sin ayuda"/>
    <s v="No puedo hacerlo"/>
    <s v="Puedo hacerlo con ayuda"/>
    <s v="Preparación para entrevista"/>
    <s v="Falta de experiencia"/>
    <s v="Oficina de orientación laboral"/>
    <s v="Virtual"/>
    <s v="Nocturno"/>
    <s v="Celular"/>
  </r>
  <r>
    <x v="119"/>
    <x v="0"/>
    <s v="SI, ACEPTO PARTICIPAR"/>
    <s v="Masculino"/>
    <s v="De 26 a 28 años"/>
    <n v="28"/>
    <s v="URBANA"/>
    <s v="Posgrad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herramientas"/>
    <s v="Falta de herramientas"/>
    <s v="No"/>
    <s v="Puedo hacerlo con ayuda"/>
    <s v="Puedo hacerlo con ayuda"/>
    <s v="No puedo hacerlo"/>
    <s v="Puedo hacerlo con ayuda"/>
    <s v="Puedo hacerlo con dificultad"/>
    <s v="Comunicación"/>
    <s v="Falta de experiencia"/>
    <s v="Programas de emprendimiento"/>
    <s v="Presencial y virtual"/>
    <s v="Mañana entre semana"/>
    <s v="WhatsApp"/>
  </r>
  <r>
    <x v="120"/>
    <x v="0"/>
    <s v="SI, ACEPTO PARTICIPAR"/>
    <s v="Masculino"/>
    <s v="De 18 a 20 años"/>
    <n v="18"/>
    <s v="URBANA"/>
    <s v="Bachiller"/>
    <s v="Trabajo de manera independiente"/>
    <s v="Trabajo independiente"/>
    <s v="Menos de 3 meses"/>
    <s v="No"/>
    <s v="3- Insatisfecho/a"/>
    <s v="Oportunidades de crecimiento"/>
    <s v="Sí"/>
    <s v="Menos de 1 mes"/>
    <s v="Tengo una pero necesito actualizarla"/>
    <s v="Sí"/>
    <s v="Institución educativa"/>
    <s v="Internet"/>
    <s v="Sí"/>
    <s v=""/>
    <s v=""/>
    <s v=""/>
    <s v=""/>
    <s v=""/>
    <s v="Puedo hacerlo sin ayuda"/>
    <s v="Puedo hacerlo sin ayuda"/>
    <s v="Puedo hacerlo con dificultad"/>
    <s v="Puedo hacerlo con dificultad"/>
    <s v="Puedo hacerlo con dificultad"/>
    <s v="Liderazgo"/>
    <s v="Distancia"/>
    <s v="No conozco ninguno"/>
    <s v="Me es indiferente"/>
    <s v="Diurno"/>
    <s v="Redes sociales"/>
  </r>
  <r>
    <x v="121"/>
    <x v="0"/>
    <s v="SI, ACEPTO PARTICIPAR"/>
    <s v="Femenino"/>
    <s v="De 20 a 22 años"/>
    <n v="20"/>
    <s v="URBANA"/>
    <s v="Bachiller"/>
    <s v="Busco mi primer empleo"/>
    <s v=""/>
    <s v=""/>
    <s v=""/>
    <s v=""/>
    <s v=""/>
    <s v=""/>
    <s v="Menos de 1 mes"/>
    <s v="Tengo una pero necesito actualizarla"/>
    <s v="No"/>
    <s v="Instituciones públicas"/>
    <s v="Transporte"/>
    <s v="No"/>
    <s v=""/>
    <s v=""/>
    <s v=""/>
    <s v=""/>
    <s v=""/>
    <s v="No puedo hacerlo"/>
    <s v="No puedo hacerlo"/>
    <s v="Puedo hacerlo sin ayuda"/>
    <s v="Puedo hacerlo sin ayuda"/>
    <s v="Puedo hacerlo sin ayuda"/>
    <s v="Emprendimiento"/>
    <s v="Distancia"/>
    <s v="Ferias de empleo"/>
    <s v="Presencial"/>
    <s v="Nocturno"/>
    <s v="Celular"/>
  </r>
  <r>
    <x v="122"/>
    <x v="0"/>
    <s v="SI, ACEPTO PARTICIPAR"/>
    <s v="Femenino"/>
    <s v="De 22 a 24 años"/>
    <n v="22"/>
    <s v="URBANA"/>
    <s v="Técnico"/>
    <s v="Trabajo actualmente como empleado"/>
    <s v="Empleado sin contrato formal"/>
    <s v="Menos de 3 meses"/>
    <s v="Parcialmente"/>
    <s v="2- Satisfecho/a"/>
    <s v="Horario"/>
    <s v="Sí"/>
    <s v="Menos de 1 mes"/>
    <s v="Tengo una pero necesito actualizarla"/>
    <s v="Sí"/>
    <s v="Empresas directamente"/>
    <s v="Transporte"/>
    <s v="No"/>
    <s v=""/>
    <s v=""/>
    <s v=""/>
    <s v=""/>
    <s v=""/>
    <s v="Puedo hacerlo con dificultad"/>
    <s v="Puedo hacerlo con dificultad"/>
    <s v="No puedo hacerlo"/>
    <s v="Puedo hacerlo sin ayuda"/>
    <s v="Puedo hacerlo sin ayuda"/>
    <s v="Herramientas digitales"/>
    <s v="Distancia"/>
    <s v="No conozco ninguno"/>
    <s v="Virtual"/>
    <s v="Mañana entre semana"/>
    <s v="Correo electrónico"/>
  </r>
  <r>
    <x v="123"/>
    <x v="0"/>
    <s v="SI, ACEPTO PARTICIPAR"/>
    <s v="Masculino"/>
    <s v="De 24 a 26 años"/>
    <n v="24"/>
    <s v="URBANA"/>
    <s v="Técnico"/>
    <s v="Trabajo de manera independiente"/>
    <s v="Trabajo independiente"/>
    <s v="De 3 a 6 meses"/>
    <s v="Sí, completamente"/>
    <s v="4- Muy insatisfecho/a"/>
    <s v="Oportunidades de crecimiento"/>
    <s v="Sí"/>
    <s v="Más de 6 meses"/>
    <s v="Sí"/>
    <s v="No"/>
    <s v="No sé dónde buscar"/>
    <s v="Internet"/>
    <s v="No"/>
    <s v=""/>
    <s v=""/>
    <s v=""/>
    <s v=""/>
    <s v=""/>
    <s v="No puedo hacerlo"/>
    <s v="No puedo hacerlo"/>
    <s v="Puedo hacerlo con ayuda"/>
    <s v="No puedo hacerlo"/>
    <s v="No puedo hacerlo"/>
    <s v="Educación financiera"/>
    <s v="Falta de experiencia;Falta de información"/>
    <s v="Oficina de orientación laboral"/>
    <s v="Me es indiferente"/>
    <s v="Diurno"/>
    <s v="Redes sociales"/>
  </r>
  <r>
    <x v="124"/>
    <x v="0"/>
    <s v="SI, ACEPTO PARTICIPAR"/>
    <s v="Masculino"/>
    <s v="De 26 a 28 años"/>
    <n v="26"/>
    <s v="URBANA"/>
    <s v="Tecnólogo"/>
    <s v="Busco mi primer empleo"/>
    <s v=""/>
    <s v=""/>
    <s v=""/>
    <s v=""/>
    <s v=""/>
    <s v=""/>
    <s v="Más de 6 meses"/>
    <s v="Tengo una pero necesito actualizarla"/>
    <s v="No"/>
    <s v="Instituciones públicas"/>
    <s v="Transporte"/>
    <s v="No"/>
    <s v=""/>
    <s v=""/>
    <s v=""/>
    <s v=""/>
    <s v=""/>
    <s v="Puedo hacerlo con ayuda"/>
    <s v="Puedo hacerlo con ayuda"/>
    <s v="Puedo hacerlo sin ayuda"/>
    <s v="Puedo hacerlo con ayuda"/>
    <s v="Puedo hacerlo con ayuda"/>
    <s v="Crear una hoja de vida;Preparación para entrevista"/>
    <s v="Falta de experiencia;Falta de información"/>
    <s v="Programas de emprendimiento"/>
    <s v="Presencial"/>
    <s v="Nocturno"/>
    <s v="WhatsApp"/>
  </r>
  <r>
    <x v="125"/>
    <x v="0"/>
    <s v="SI, ACEPTO PARTICIPAR"/>
    <s v="Femenino"/>
    <s v="De 18 a 20 años"/>
    <n v="19"/>
    <s v="URBANA"/>
    <s v="Técnico"/>
    <s v="Trabajo actualmente como empleado"/>
    <s v="Empleado con contrato"/>
    <s v="De 3 a 6 meses"/>
    <s v="No"/>
    <s v="2- Satisfecho/a"/>
    <s v="Horario"/>
    <s v="No"/>
    <s v="Todavía no he iniciado una búsqueda activa"/>
    <s v="Tengo una pero necesito actualizarla"/>
    <s v="No"/>
    <s v="Empresas directamente"/>
    <s v="Transporte"/>
    <s v="No"/>
    <s v=""/>
    <s v=""/>
    <s v=""/>
    <s v=""/>
    <s v=""/>
    <s v="Puedo hacerlo sin ayuda"/>
    <s v="Puedo hacerlo sin ayuda"/>
    <s v="No puedo hacerlo"/>
    <s v="Puedo hacerlo con ayuda"/>
    <s v="Puedo hacerlo con ayuda"/>
    <s v="Comunicación;Liderazgo"/>
    <s v="Falta de experiencia;Falta de información"/>
    <s v="Oficina de orientación laboral"/>
    <s v="Virtual"/>
    <s v="Mañana entre semana"/>
    <s v="Correo electrónico"/>
  </r>
  <r>
    <x v="126"/>
    <x v="0"/>
    <s v="SI, ACEPTO PARTICIPAR"/>
    <s v="Masculino"/>
    <s v="De 20 a 22 años"/>
    <n v="21"/>
    <s v="URBANA"/>
    <s v="Técnico"/>
    <s v="Actualmente no trabajo y estoy buscando empleo"/>
    <s v=""/>
    <s v=""/>
    <s v=""/>
    <s v=""/>
    <s v=""/>
    <s v=""/>
    <s v="Menos de 1 mes"/>
    <s v="Tengo una pero necesito actualizarla"/>
    <s v="Sí"/>
    <s v="Institución educativa"/>
    <s v="Internet"/>
    <s v="Sí"/>
    <s v=""/>
    <s v=""/>
    <s v=""/>
    <s v=""/>
    <s v=""/>
    <s v="No puedo hacerlo"/>
    <s v="No puedo hacerlo"/>
    <s v="Puedo hacerlo con ayuda"/>
    <s v="Puedo hacerlo con dificultad"/>
    <s v="Puedo hacerlo con dificultad"/>
    <s v="Herramientas digitales;Educación financiera"/>
    <s v="Costos de transporte;Distancia"/>
    <s v="Ferias de empleo"/>
    <s v="Presencial y virtual"/>
    <s v="Diurno"/>
    <s v="Celular"/>
  </r>
  <r>
    <x v="127"/>
    <x v="0"/>
    <s v="SI, ACEPTO PARTICIPAR"/>
    <s v="Masculino"/>
    <s v="De 22 a 24 años"/>
    <n v="23"/>
    <s v="URBANA"/>
    <s v="Tecnólogo"/>
    <s v="Estudio y quiero comenzar a trabajar"/>
    <s v=""/>
    <s v=""/>
    <s v=""/>
    <s v=""/>
    <s v=""/>
    <s v=""/>
    <s v="Entre 4 y 6 meses"/>
    <s v="Tengo una pero necesito actualizarla"/>
    <s v="Sí"/>
    <s v="Ferias de empleo"/>
    <s v="Horarios disponibles"/>
    <s v="Sí"/>
    <s v=""/>
    <s v=""/>
    <s v=""/>
    <s v=""/>
    <s v=""/>
    <s v="Puedo hacerlo con dificultad"/>
    <s v="Puedo hacerlo con dificultad"/>
    <s v="Puedo hacerlo sin ayuda"/>
    <s v="Puedo hacerlo sin ayuda"/>
    <s v="Puedo hacerlo con dificultad"/>
    <s v="Crear una hoja de vida"/>
    <s v="Costos de transporte;Distancia"/>
    <s v="No conozco ninguno"/>
    <s v="Me es indiferente"/>
    <s v="Nocturno"/>
    <s v="WhatsApp"/>
  </r>
  <r>
    <x v="128"/>
    <x v="0"/>
    <s v="SI, ACEPTO PARTICIPAR"/>
    <s v="Femenino"/>
    <s v="De 24 a 26 años"/>
    <n v="25"/>
    <s v="URBANA"/>
    <s v="Profesional"/>
    <s v="Trabajo actualmente como empleado"/>
    <s v="Empleado con contrato"/>
    <s v="De 7 a 12 meses"/>
    <s v="Sí, completamente"/>
    <s v="3- Insatisfecho/a"/>
    <s v="Horario"/>
    <s v="Sí"/>
    <s v="Entre 1 y 3 meses"/>
    <s v="Sí"/>
    <s v="Sí"/>
    <s v="Ferias de empleo"/>
    <s v="Transporte"/>
    <s v="Sí"/>
    <s v=""/>
    <s v=""/>
    <s v=""/>
    <s v=""/>
    <s v=""/>
    <s v="No puedo hacerlo"/>
    <s v="No puedo hacerlo"/>
    <s v="No puedo hacerlo"/>
    <s v="No puedo hacerlo"/>
    <s v="Puedo hacerlo sin ayuda"/>
    <s v="Preparación para entrevista"/>
    <s v="Costos de transporte;Distancia"/>
    <s v="Ferias de empleo"/>
    <s v="Presencial"/>
    <s v="Fines de semana"/>
    <s v="Redes sociales"/>
  </r>
  <r>
    <x v="129"/>
    <x v="0"/>
    <s v="SI, ACEPTO PARTICIPAR"/>
    <s v="Femenino"/>
    <s v="De 26 a 28 años"/>
    <n v="27"/>
    <s v="URBANA"/>
    <s v="Profesional"/>
    <s v="Actualmente no trabajo y estoy buscando empleo"/>
    <s v=""/>
    <s v=""/>
    <s v=""/>
    <s v=""/>
    <s v=""/>
    <s v=""/>
    <s v="Más de 6 meses"/>
    <s v="Sí"/>
    <s v="No"/>
    <s v="No sé dónde buscar"/>
    <s v="Internet"/>
    <s v="No"/>
    <s v=""/>
    <s v=""/>
    <s v=""/>
    <s v=""/>
    <s v=""/>
    <s v="Puedo hacerlo con ayuda"/>
    <s v="Puedo hacerlo con ayuda"/>
    <s v="Puedo hacerlo con ayuda"/>
    <s v="No puedo hacerlo"/>
    <s v="No puedo hacerlo"/>
    <s v="Comunicación"/>
    <s v="Falta de información"/>
    <s v="Programas de emprendimiento"/>
    <s v="Virtual"/>
    <s v="Diurno"/>
    <s v="Celular"/>
  </r>
  <r>
    <x v="130"/>
    <x v="0"/>
    <s v="SI, ACEPTO PARTICIPAR"/>
    <s v="Masculino"/>
    <s v="De 18 a 20 años"/>
    <n v="18"/>
    <s v="URBANA"/>
    <s v="Bachiller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financiación"/>
    <s v="Falta de financiación"/>
    <s v="No conozco programas de ese tipo"/>
    <s v="Puedo hacerlo sin ayuda"/>
    <s v="Puedo hacerlo sin ayuda"/>
    <s v="Puedo hacerlo sin ayuda"/>
    <s v="Puedo hacerlo con ayuda"/>
    <s v="No puedo hacerlo"/>
    <s v="Liderazgo"/>
    <s v="Falta de información"/>
    <s v="Oficina de orientación laboral"/>
    <s v="Presencial y virtual"/>
    <s v="Nocturno"/>
    <s v="Correo electrónico"/>
  </r>
  <r>
    <x v="131"/>
    <x v="0"/>
    <s v="SI, ACEPTO PARTICIPAR"/>
    <s v="Masculino"/>
    <s v="De 20 a 22 años"/>
    <n v="20"/>
    <s v="URBANA"/>
    <s v="Bachiller"/>
    <s v="Trabajo de manera independiente"/>
    <s v="Trabajo independiente"/>
    <s v="De 7 a 12 meses"/>
    <s v="Parcialmente"/>
    <s v="4- Muy insatisfecho/a"/>
    <s v="Oportunidades de crecimiento"/>
    <s v="Sí"/>
    <s v="Entre 1 y 3 meses"/>
    <s v="Sí"/>
    <s v="Sí"/>
    <s v="No sé dónde buscar"/>
    <s v="Internet"/>
    <s v="No"/>
    <s v=""/>
    <s v=""/>
    <s v=""/>
    <s v=""/>
    <s v=""/>
    <s v="No puedo hacerlo"/>
    <s v="No puedo hacerlo"/>
    <s v="No puedo hacerlo"/>
    <s v="Puedo hacerlo con dificultad"/>
    <s v="Puedo hacerlo con ayuda"/>
    <s v="Emprendimiento"/>
    <s v="Falta de información"/>
    <s v="Programas de emprendimiento"/>
    <s v="Me es indiferente"/>
    <s v="Fines de semana"/>
    <s v="Redes sociales"/>
  </r>
  <r>
    <x v="132"/>
    <x v="0"/>
    <s v="SI, ACEPTO PARTICIPAR"/>
    <s v="Femenino"/>
    <s v="De 22 a 24 años"/>
    <n v="22"/>
    <s v="URBANA"/>
    <s v="Bachiller"/>
    <s v="Busco mi primer empleo"/>
    <s v=""/>
    <s v=""/>
    <s v=""/>
    <s v=""/>
    <s v=""/>
    <s v=""/>
    <s v="Entre 4 y 6 meses"/>
    <s v="Tengo una pero necesito actualizarla"/>
    <s v="No"/>
    <s v="Institución educativa"/>
    <s v="Transporte"/>
    <s v="Sí"/>
    <s v=""/>
    <s v=""/>
    <s v=""/>
    <s v=""/>
    <s v=""/>
    <s v="Puedo hacerlo con dificultad"/>
    <s v="Puedo hacerlo con dificultad"/>
    <s v="Puedo hacerlo con ayuda"/>
    <s v="Puedo hacerlo sin ayuda"/>
    <s v="Puedo hacerlo con ayuda"/>
    <s v="Herramientas digitales"/>
    <s v="Horarios"/>
    <s v="No conozco ninguno"/>
    <s v="Presencial"/>
    <s v="Diurno"/>
    <s v="WhatsApp"/>
  </r>
  <r>
    <x v="133"/>
    <x v="0"/>
    <s v="SI, ACEPTO PARTICIPAR"/>
    <s v="Masculino"/>
    <s v="De 24 a 26 años"/>
    <n v="24"/>
    <s v="URBANA"/>
    <s v="Bachiller"/>
    <s v="Trabajo actualmente como empleado"/>
    <s v="Empleado con contrato"/>
    <s v="Más de un año"/>
    <s v="Parcialmente"/>
    <s v="3- Insatisfecho/a"/>
    <s v="Horario"/>
    <s v="No"/>
    <s v="Todavía no he iniciado una búsqueda activa"/>
    <s v="Sí"/>
    <s v="No"/>
    <s v="Ferias de empleo"/>
    <s v="Transporte"/>
    <s v="Sí"/>
    <s v=""/>
    <s v=""/>
    <s v=""/>
    <s v=""/>
    <s v=""/>
    <s v="No puedo hacerlo"/>
    <s v="No puedo hacerlo"/>
    <s v="Puedo hacerlo sin ayuda"/>
    <s v="Puedo hacerlo sin ayuda"/>
    <s v="Puedo hacerlo con dificultad"/>
    <s v="Educación financiera"/>
    <s v="Horarios"/>
    <s v="Ferias de empleo"/>
    <s v="Virtual"/>
    <s v="Nocturno"/>
    <s v="Correo electrónico"/>
  </r>
  <r>
    <x v="134"/>
    <x v="0"/>
    <s v="SI, ACEPTO PARTICIPAR"/>
    <s v="Masculino"/>
    <s v="De 26 a 28 años"/>
    <n v="28"/>
    <s v="URBANA"/>
    <s v="Técnico"/>
    <s v="Trabajo de manera independiente"/>
    <s v="Trabajo independiente"/>
    <s v="Más de un año"/>
    <s v="No"/>
    <s v="4- Muy insatisfecho/a"/>
    <s v="Oportunidades de crecimiento"/>
    <s v="No"/>
    <s v="Todavía no he iniciado una búsqueda activa"/>
    <s v="Sí"/>
    <s v="No"/>
    <s v="No sé dónde buscar"/>
    <s v="Internet"/>
    <s v="No"/>
    <s v=""/>
    <s v=""/>
    <s v=""/>
    <s v=""/>
    <s v=""/>
    <s v="Puedo hacerlo con ayuda"/>
    <s v="Puedo hacerlo con ayuda"/>
    <s v="No puedo hacerlo"/>
    <s v="No puedo hacerlo"/>
    <s v="Puedo hacerlo sin ayuda"/>
    <s v="Crear una hoja de vida;Preparación para entrevista"/>
    <s v="Horarios"/>
    <s v="No conozco ninguno"/>
    <s v="Presencial y virtual"/>
    <s v="Fines de semana"/>
    <s v="Celular"/>
  </r>
  <r>
    <x v="135"/>
    <x v="0"/>
    <s v="SI, ACEPTO PARTICIPAR"/>
    <s v="Femenino"/>
    <s v="De 18 a 20 años"/>
    <n v="19"/>
    <s v="URBANA"/>
    <s v="Bachiller"/>
    <s v="Busco mi primer empleo"/>
    <s v=""/>
    <s v=""/>
    <s v=""/>
    <s v=""/>
    <s v=""/>
    <s v=""/>
    <s v="Entre 1 y 3 meses"/>
    <s v="Tengo una pero necesito actualizarla"/>
    <s v="No"/>
    <s v="Institución educativa"/>
    <s v="Transporte"/>
    <s v="Sí"/>
    <s v=""/>
    <s v=""/>
    <s v=""/>
    <s v=""/>
    <s v=""/>
    <s v="Puedo hacerlo sin ayuda"/>
    <s v="Puedo hacerlo sin ayuda"/>
    <s v="Puedo hacerlo con ayuda"/>
    <s v="Puedo hacerlo con ayuda"/>
    <s v="Puedo hacerlo sin ayuda"/>
    <s v="Comunicación;Liderazgo"/>
    <s v="Costos de transporte"/>
    <s v="Oficina de orientación laboral"/>
    <s v="Me es indiferente"/>
    <s v="Diurno"/>
    <s v="WhatsApp"/>
  </r>
  <r>
    <x v="136"/>
    <x v="0"/>
    <s v="SI, ACEPTO PARTICIPAR"/>
    <s v="Femenino"/>
    <s v="De 20 a 22 años"/>
    <n v="21"/>
    <s v="URBANA"/>
    <s v="Técnico"/>
    <s v="Trabajo actualmente como empleado"/>
    <s v="Empleado sin contrato formal"/>
    <s v="Menos de 3 meses"/>
    <s v="No"/>
    <s v="3- Insatisfecho/a"/>
    <s v="Horario"/>
    <s v="No estoy seguro/a"/>
    <s v="Entre 4 y 6 meses"/>
    <s v="Sí"/>
    <s v="Sí"/>
    <s v="Ferias de empleo"/>
    <s v="Internet"/>
    <s v="Sí"/>
    <s v=""/>
    <s v=""/>
    <s v=""/>
    <s v=""/>
    <s v=""/>
    <s v="No puedo hacerlo"/>
    <s v="No puedo hacerlo"/>
    <s v="Puedo hacerlo con dificultad"/>
    <s v="Puedo hacerlo con dificultad"/>
    <s v="No puedo hacerlo"/>
    <s v="Herramientas digitales;Educación financiera"/>
    <s v="Costos de transporte"/>
    <s v="Programas de emprendimiento"/>
    <s v="Presencial"/>
    <s v="Nocturno"/>
    <s v="Redes sociales"/>
  </r>
  <r>
    <x v="137"/>
    <x v="0"/>
    <s v="SI, ACEPTO PARTICIPAR"/>
    <s v="Masculino"/>
    <s v="De 22 a 24 años"/>
    <n v="23"/>
    <s v="URBANA"/>
    <s v="Técnico"/>
    <s v="Actualmente no trabajo y estoy buscando empleo"/>
    <s v=""/>
    <s v=""/>
    <s v=""/>
    <s v=""/>
    <s v=""/>
    <s v=""/>
    <s v="Entre 4 y 6 meses"/>
    <s v="Sí"/>
    <s v="Sí"/>
    <s v="No sé dónde buscar"/>
    <s v="Internet"/>
    <s v="No"/>
    <s v=""/>
    <s v=""/>
    <s v=""/>
    <s v=""/>
    <s v=""/>
    <s v="Puedo hacerlo con dificultad"/>
    <s v="Puedo hacerlo con dificultad"/>
    <s v="No puedo hacerlo"/>
    <s v="Puedo hacerlo con dificultad"/>
    <s v="Puedo hacerlo con ayuda"/>
    <s v="Crear una hoja de vida"/>
    <s v="Costos de transporte"/>
    <s v="Oficina de orientación laboral"/>
    <s v="Virtual"/>
    <s v="Fines de semana"/>
    <s v="Celular"/>
  </r>
  <r>
    <x v="138"/>
    <x v="0"/>
    <s v="SI, ACEPTO PARTICIPAR"/>
    <s v="Masculino"/>
    <s v="De 24 a 26 años"/>
    <n v="25"/>
    <s v="URBANA"/>
    <s v="Tecnólogo"/>
    <s v="Estudio y quiero comenzar a trabajar"/>
    <s v=""/>
    <s v=""/>
    <s v=""/>
    <s v=""/>
    <s v=""/>
    <s v=""/>
    <s v="Menos de 1 mes"/>
    <s v="Tengo una pero necesito actualizarla"/>
    <s v="No"/>
    <s v="Instituciones públicas"/>
    <s v="Horarios disponibles"/>
    <s v="No"/>
    <s v=""/>
    <s v=""/>
    <s v=""/>
    <s v=""/>
    <s v=""/>
    <s v="No puedo hacerlo"/>
    <s v="No puedo hacerlo"/>
    <s v="Puedo hacerlo con ayuda"/>
    <s v="Puedo hacerlo sin ayuda"/>
    <s v="Puedo hacerlo con ayuda"/>
    <s v="Preparación para entrevista"/>
    <s v="Horarios;Falta de información"/>
    <s v="Ferias de empleo"/>
    <s v="Presencial y virtual"/>
    <s v="Diurno"/>
    <s v="Correo electrónico"/>
  </r>
  <r>
    <x v="139"/>
    <x v="0"/>
    <s v="SI, ACEPTO PARTICIPAR"/>
    <s v="Femenino"/>
    <s v="De 26 a 28 años"/>
    <n v="26"/>
    <s v="URBANA"/>
    <s v="Profesional"/>
    <s v="Trabajo actualmente como empleado"/>
    <s v="Empleado con contrato"/>
    <s v="De 3 a 6 meses"/>
    <s v="Sí, completamente"/>
    <s v="4- Muy insatisfecho/a"/>
    <s v="Acceso a prestaciones"/>
    <s v="Sí"/>
    <s v="Menos de 1 mes"/>
    <s v="Sí"/>
    <s v="No"/>
    <s v="Instituciones públicas"/>
    <s v="Internet"/>
    <s v="No"/>
    <s v=""/>
    <s v=""/>
    <s v=""/>
    <s v=""/>
    <s v=""/>
    <s v="Puedo hacerlo con ayuda"/>
    <s v="Puedo hacerlo con ayuda"/>
    <s v="Puedo hacerlo con dificultad"/>
    <s v="No puedo hacerlo"/>
    <s v="Puedo hacerlo con dificultad"/>
    <s v="Comunicación"/>
    <s v="Horarios;Falta de información"/>
    <s v="No conozco ninguno"/>
    <s v="Presencial"/>
    <s v="Mañana entre semana"/>
    <s v="Celular"/>
  </r>
  <r>
    <x v="140"/>
    <x v="0"/>
    <s v="SI, ACEPTO PARTICIPAR"/>
    <s v="Masculino"/>
    <s v="De 18 a 20 años"/>
    <n v="18"/>
    <s v="URBANA"/>
    <s v="Técnico"/>
    <s v="Actualmente no trabajo y estoy buscando empleo"/>
    <s v=""/>
    <s v=""/>
    <s v=""/>
    <s v=""/>
    <s v=""/>
    <s v=""/>
    <s v="Entre 1 y 3 meses"/>
    <s v="Sí"/>
    <s v="No"/>
    <s v="No sé dónde buscar"/>
    <s v="Internet"/>
    <s v="No"/>
    <s v=""/>
    <s v=""/>
    <s v=""/>
    <s v=""/>
    <s v=""/>
    <s v="Puedo hacerlo sin ayuda"/>
    <s v="Puedo hacerlo sin ayuda"/>
    <s v="No puedo hacerlo"/>
    <s v="Puedo hacerlo con ayuda"/>
    <s v="Puedo hacerlo con dificultad"/>
    <s v="Liderazgo"/>
    <s v="Horarios;Falta de información"/>
    <s v="Ferias de empleo"/>
    <s v="Virtual"/>
    <s v="Fines de semana"/>
    <s v="WhatsApp"/>
  </r>
  <r>
    <x v="141"/>
    <x v="0"/>
    <s v="SI, ACEPTO PARTICIPAR"/>
    <s v="Masculino"/>
    <s v="De 20 a 22 años"/>
    <n v="20"/>
    <s v="URBANA"/>
    <s v="Tecnólog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conocimientos administrativos"/>
    <s v="Falta de conocimientos administrativos"/>
    <s v="No conozco programas de ese tipo"/>
    <s v="No puedo hacerlo"/>
    <s v="No puedo hacerlo"/>
    <s v="Puedo hacerlo con ayuda"/>
    <s v="Puedo hacerlo con ayuda"/>
    <s v="Puedo hacerlo sin ayuda"/>
    <s v="Emprendimiento"/>
    <s v="Ninguna"/>
    <s v="Programas de emprendimiento"/>
    <s v="Presencial y virtual"/>
    <s v="Diurno"/>
    <s v="Redes sociales"/>
  </r>
  <r>
    <x v="142"/>
    <x v="0"/>
    <s v="SI, ACEPTO PARTICIPAR"/>
    <s v="Femenino"/>
    <s v="De 22 a 24 años"/>
    <n v="22"/>
    <s v="URBANA"/>
    <s v="Profesional"/>
    <s v="Trabajo actualmente como empleado"/>
    <s v="Empleado con contrato"/>
    <s v="De 7 a 12 meses"/>
    <s v="Parcialmente"/>
    <s v="4- Muy insatisfecho/a"/>
    <s v="Acceso a prestaciones"/>
    <s v="Sí"/>
    <s v="Más de 6 meses"/>
    <s v="Sí"/>
    <s v="Sí"/>
    <s v="Instituciones públicas"/>
    <s v="Internet"/>
    <s v="No"/>
    <s v=""/>
    <s v=""/>
    <s v=""/>
    <s v=""/>
    <s v=""/>
    <s v="Puedo hacerlo con dificultad"/>
    <s v="Puedo hacerlo con dificultad"/>
    <s v="Puedo hacerlo con dificultad"/>
    <s v="Puedo hacerlo con dificultad"/>
    <s v="No puedo hacerlo"/>
    <s v="Herramientas digitales"/>
    <s v="Ninguna"/>
    <s v="Oficina de orientación laboral"/>
    <s v="Me es indiferente"/>
    <s v="Mañana entre semana"/>
    <s v="Celular"/>
  </r>
  <r>
    <x v="143"/>
    <x v="0"/>
    <s v="SI, ACEPTO PARTICIPAR"/>
    <s v="Femenino"/>
    <s v="De 24 a 26 años"/>
    <n v="24"/>
    <s v="URBANA"/>
    <s v="Profesional"/>
    <s v="Actualmente no trabajo y estoy buscando empleo"/>
    <s v=""/>
    <s v=""/>
    <s v=""/>
    <s v=""/>
    <s v=""/>
    <s v=""/>
    <s v="Menos de 1 mes"/>
    <s v="Sí"/>
    <s v="Sí"/>
    <s v="Portales de empleo;Redes sociales"/>
    <s v="Falta de experiencia"/>
    <s v="Sí"/>
    <s v=""/>
    <s v=""/>
    <s v=""/>
    <s v=""/>
    <s v=""/>
    <s v="No puedo hacerlo"/>
    <s v="No puedo hacerlo"/>
    <s v="No puedo hacerlo"/>
    <s v="Puedo hacerlo sin ayuda"/>
    <s v="No puedo hacerlo"/>
    <s v="Educación financiera"/>
    <s v="Ninguna"/>
    <s v="Programas de emprendimiento"/>
    <s v="Presencial"/>
    <s v="Fines de semana"/>
    <s v="Correo electrónico"/>
  </r>
  <r>
    <x v="144"/>
    <x v="0"/>
    <s v="SI, ACEPTO PARTICIPAR"/>
    <s v="Masculino"/>
    <s v="De 26 a 28 años"/>
    <n v="27"/>
    <s v="URBANA"/>
    <s v="Posgrado"/>
    <s v="Trabajo actualmente como empleado"/>
    <s v="Empleado con contrato"/>
    <s v="Más de un año"/>
    <s v="No"/>
    <s v="4- Muy insatisfecho/a"/>
    <s v="Acceso a prestaciones"/>
    <s v="Sí"/>
    <s v="Entre 1 y 3 meses"/>
    <s v="Sí"/>
    <s v="No"/>
    <s v="Instituciones públicas"/>
    <s v="Internet"/>
    <s v="No"/>
    <s v=""/>
    <s v=""/>
    <s v=""/>
    <s v=""/>
    <s v=""/>
    <s v="Puedo hacerlo con ayuda"/>
    <s v="Puedo hacerlo con ayuda"/>
    <s v="Puedo hacerlo con ayuda"/>
    <s v="No puedo hacerlo"/>
    <s v="Puedo hacerlo con ayuda"/>
    <s v="Crear una hoja de vida;Preparación para entrevista"/>
    <s v="Falta de experiencia"/>
    <s v="No conozco ninguno"/>
    <s v="Virtual"/>
    <s v="Diurno"/>
    <s v="Redes sociales"/>
  </r>
  <r>
    <x v="145"/>
    <x v="0"/>
    <s v="SI, ACEPTO PARTICIPAR"/>
    <s v="Masculino"/>
    <s v="De 18 a 20 años"/>
    <n v="19"/>
    <s v="URBANA"/>
    <s v="Bachiller"/>
    <s v="Trabajo de manera independiente"/>
    <s v="Trabajo independiente"/>
    <s v="Menos de 3 meses"/>
    <s v="Sí, completamente"/>
    <s v="1- Muy satisfecho/a"/>
    <s v="Oportunidades de crecimiento"/>
    <s v="No estoy seguro/a"/>
    <s v="Entre 4 y 6 meses"/>
    <s v="Sí"/>
    <s v="Sí"/>
    <s v="Portales de empleo;Redes sociales"/>
    <s v="Falta de experiencia"/>
    <s v="Sí"/>
    <s v=""/>
    <s v=""/>
    <s v=""/>
    <s v=""/>
    <s v=""/>
    <s v="Puedo hacerlo sin ayuda"/>
    <s v="Puedo hacerlo sin ayuda"/>
    <s v="Puedo hacerlo con dificultad"/>
    <s v="No puedo hacerlo"/>
    <s v="Puedo hacerlo con ayuda"/>
    <s v="Comunicación;Liderazgo"/>
    <s v="Falta de experiencia"/>
    <s v="Ferias de empleo"/>
    <s v="Presencial y virtual"/>
    <s v="Mañana entre semana"/>
    <s v="WhatsApp"/>
  </r>
  <r>
    <x v="146"/>
    <x v="0"/>
    <s v="SI, ACEPTO PARTICIPAR"/>
    <s v="Femenino"/>
    <s v="De 20 a 22 años"/>
    <n v="21"/>
    <s v="URBANA"/>
    <s v="Bachiller"/>
    <s v="Busco mi primer empleo"/>
    <s v=""/>
    <s v=""/>
    <s v=""/>
    <s v=""/>
    <s v=""/>
    <s v=""/>
    <s v="Menos de 1 mes"/>
    <s v="Tengo una pero necesito actualizarla"/>
    <s v="No"/>
    <s v="Institución educativa"/>
    <s v="Internet"/>
    <s v="Sí"/>
    <s v=""/>
    <s v=""/>
    <s v=""/>
    <s v=""/>
    <s v=""/>
    <s v="No puedo hacerlo"/>
    <s v="No puedo hacerlo"/>
    <s v="No puedo hacerlo"/>
    <s v="Puedo hacerlo con ayuda"/>
    <s v="Puedo hacerlo con dificultad"/>
    <s v="Herramientas digitales;Educación financiera"/>
    <s v="Falta de experiencia"/>
    <s v="No conozco ninguno"/>
    <s v="Me es indiferente"/>
    <s v="Fines de semana"/>
    <s v="Correo electrónico"/>
  </r>
  <r>
    <x v="147"/>
    <x v="0"/>
    <s v="SI, ACEPTO PARTICIPAR"/>
    <s v="Masculino"/>
    <s v="De 22 a 24 años"/>
    <n v="23"/>
    <s v="URBANA"/>
    <s v="Bachiller"/>
    <s v="Trabajo actualmente como empleado"/>
    <s v="Empleado sin contrato formal"/>
    <s v="Menos de 3 meses"/>
    <s v="Sí, completamente"/>
    <s v="1- Muy satisfecho/a"/>
    <s v="Acceso a prestaciones"/>
    <s v="No"/>
    <s v="Todavía no he iniciado una búsqueda activa"/>
    <s v="Sí"/>
    <s v="Sí"/>
    <s v="Institución educativa"/>
    <s v="Falta de experiencia"/>
    <s v="Sí"/>
    <s v=""/>
    <s v=""/>
    <s v=""/>
    <s v=""/>
    <s v=""/>
    <s v="Puedo hacerlo con dificultad"/>
    <s v="Puedo hacerlo con dificultad"/>
    <s v="Puedo hacerlo con ayuda"/>
    <s v="Puedo hacerlo con dificultad"/>
    <s v="Puedo hacerlo sin ayuda"/>
    <s v="Crear una hoja de vida"/>
    <s v="Distancia"/>
    <s v="Oficina de orientación laboral"/>
    <s v="Presencial"/>
    <s v="Diurno"/>
    <s v="Celular"/>
  </r>
  <r>
    <x v="148"/>
    <x v="0"/>
    <s v="SI, ACEPTO PARTICIPAR"/>
    <s v="Masculino"/>
    <s v="De 24 a 26 años"/>
    <n v="25"/>
    <s v="URBANA"/>
    <s v="Técnico"/>
    <s v="Trabajo de manera independiente"/>
    <s v="Trabajo independiente"/>
    <s v="De 3 a 6 meses"/>
    <s v="Parcialmente"/>
    <s v="1- Muy satisfecho/a"/>
    <s v="Trabajar en un área relacionada con mi formación"/>
    <s v="Sí"/>
    <s v="Menos de 1 mes"/>
    <s v="Sí"/>
    <s v="No"/>
    <s v="Portales de empleo;Redes sociales"/>
    <s v="Falta de experiencia"/>
    <s v="Sí"/>
    <s v=""/>
    <s v=""/>
    <s v=""/>
    <s v=""/>
    <s v=""/>
    <s v="No puedo hacerlo"/>
    <s v="No puedo hacerlo"/>
    <s v="Puedo hacerlo con dificultad"/>
    <s v="Puedo hacerlo sin ayuda"/>
    <s v="Puedo hacerlo sin ayuda"/>
    <s v="Preparación para entrevista"/>
    <s v="Distancia"/>
    <s v="Programas de emprendimiento"/>
    <s v="Virtual"/>
    <s v="Mañana entre semana"/>
    <s v="WhatsApp"/>
  </r>
  <r>
    <x v="149"/>
    <x v="0"/>
    <s v="SI, ACEPTO PARTICIPAR"/>
    <s v="Femenino"/>
    <s v="De 26 a 28 años"/>
    <n v="28"/>
    <s v="URBANA"/>
    <s v="Tecnólogo"/>
    <s v="Estudio y quiero comenzar a trabajar"/>
    <s v=""/>
    <s v=""/>
    <s v=""/>
    <s v=""/>
    <s v=""/>
    <s v=""/>
    <s v="Más de 6 meses"/>
    <s v="Tengo una pero necesito actualizarla"/>
    <s v="Sí"/>
    <s v="Instituciones públicas"/>
    <s v="Transporte"/>
    <s v="No"/>
    <s v=""/>
    <s v=""/>
    <s v=""/>
    <s v=""/>
    <s v=""/>
    <s v="Puedo hacerlo con ayuda"/>
    <s v="Puedo hacerlo con ayuda"/>
    <s v="No puedo hacerlo"/>
    <s v="Puedo hacerlo sin ayuda"/>
    <s v="No puedo hacerlo"/>
    <s v="Comunicación"/>
    <s v="Distancia"/>
    <s v="Oficina de orientación laboral"/>
    <s v="Presencial y virtual"/>
    <s v="Fines de semana"/>
    <s v="Redes sociales"/>
  </r>
  <r>
    <x v="150"/>
    <x v="0"/>
    <s v="SI, ACEPTO PARTICIPAR"/>
    <s v="Femenino"/>
    <s v="De 18 a 20 años"/>
    <n v="18"/>
    <s v="URBANA"/>
    <s v="Bachiller"/>
    <s v="Trabajo actualmente como empleado"/>
    <s v="Empleado con contrato"/>
    <s v="De 3 a 6 meses"/>
    <s v="Parcialmente"/>
    <s v="1- Muy satisfecho/a"/>
    <s v="Acceso a prestaciones"/>
    <s v="No estoy seguro/a"/>
    <s v="Entre 4 y 6 meses"/>
    <s v="No"/>
    <s v="No"/>
    <s v="Institución educativa"/>
    <s v="Falta de experiencia"/>
    <s v="Sí"/>
    <s v=""/>
    <s v=""/>
    <s v=""/>
    <s v=""/>
    <s v=""/>
    <s v="Puedo hacerlo sin ayuda"/>
    <s v="Puedo hacerlo sin ayuda"/>
    <s v="Puedo hacerlo con ayuda"/>
    <s v="No puedo hacerlo"/>
    <s v="No puedo hacerlo"/>
    <s v="Liderazgo"/>
    <s v="Falta de experiencia;Falta de información"/>
    <s v="Ferias de empleo"/>
    <s v="Me es indiferente"/>
    <s v="Diurno"/>
    <s v="Celular"/>
  </r>
  <r>
    <x v="151"/>
    <x v="0"/>
    <s v="SI, ACEPTO PARTICIPAR"/>
    <s v="Masculino"/>
    <s v="De 20 a 22 años"/>
    <n v="20"/>
    <s v="URBANA"/>
    <s v="Técnico"/>
    <s v="Actualmente no trabajo y estoy buscando empleo"/>
    <s v=""/>
    <s v=""/>
    <s v=""/>
    <s v=""/>
    <s v=""/>
    <s v=""/>
    <s v="Más de 6 meses"/>
    <s v="Sí"/>
    <s v="No"/>
    <s v="Portales de empleo;Redes sociales"/>
    <s v="Falta de experiencia"/>
    <s v="Sí"/>
    <s v=""/>
    <s v=""/>
    <s v=""/>
    <s v=""/>
    <s v=""/>
    <s v="No puedo hacerlo"/>
    <s v="No puedo hacerlo"/>
    <s v="Puedo hacerlo con dificultad"/>
    <s v="Puedo hacerlo con ayuda"/>
    <s v="Puedo hacerlo con ayuda"/>
    <s v="Emprendimiento"/>
    <s v="Falta de experiencia;Falta de información"/>
    <s v="No conozco ninguno"/>
    <s v="Presencial"/>
    <s v="Mañana entre semana"/>
    <s v="Correo electrónico"/>
  </r>
  <r>
    <x v="152"/>
    <x v="0"/>
    <s v="SI, ACEPTO PARTICIPAR"/>
    <s v="Masculino"/>
    <s v="De 22 a 24 años"/>
    <n v="22"/>
    <s v="URBANA"/>
    <s v="Tecnólogo"/>
    <s v="Estudio y quiero comenzar a trabajar"/>
    <s v=""/>
    <s v=""/>
    <s v=""/>
    <s v=""/>
    <s v=""/>
    <s v=""/>
    <s v="Entre 1 y 3 meses"/>
    <s v="Tengo una pero necesito actualizarla"/>
    <s v="No"/>
    <s v="Instituciones públicas"/>
    <s v="Transporte"/>
    <s v="No"/>
    <s v=""/>
    <s v=""/>
    <s v=""/>
    <s v=""/>
    <s v=""/>
    <s v="Puedo hacerlo con dificultad"/>
    <s v="Puedo hacerlo con dificultad"/>
    <s v="Puedo hacerlo sin ayuda"/>
    <s v="Puedo hacerlo con dificultad"/>
    <s v="Puedo hacerlo con dificultad"/>
    <s v="Herramientas digitales"/>
    <s v="Falta de experiencia;Falta de información"/>
    <s v="Ferias de empleo"/>
    <s v="Virtual"/>
    <s v="Fines de semana"/>
    <s v="Redes sociales"/>
  </r>
  <r>
    <x v="153"/>
    <x v="0"/>
    <s v="SI, ACEPTO PARTICIPAR"/>
    <s v="Femenino"/>
    <s v="De 24 a 26 años"/>
    <n v="24"/>
    <s v="URBANA"/>
    <s v="Profesional"/>
    <s v="Trabajo actualmente como empleado"/>
    <s v="Empleado con contrato"/>
    <s v="De 7 a 12 meses"/>
    <s v="No"/>
    <s v="1- Muy satisfecho/a"/>
    <s v="Oportunidades de crecimiento"/>
    <s v="Sí"/>
    <s v="Menos de 1 mes"/>
    <s v="No"/>
    <s v="Sí"/>
    <s v="Institución educativa"/>
    <s v="Falta de experiencia"/>
    <s v="Sí"/>
    <s v=""/>
    <s v=""/>
    <s v=""/>
    <s v=""/>
    <s v=""/>
    <s v="No puedo hacerlo"/>
    <s v="No puedo hacerlo"/>
    <s v="Puedo hacerlo con ayuda"/>
    <s v="Puedo hacerlo con dificultad"/>
    <s v="Puedo hacerlo con dificultad"/>
    <s v="Educación financiera"/>
    <s v="Costos de transporte;Distancia"/>
    <s v="Programas de emprendimiento"/>
    <s v="Presencial y virtual"/>
    <s v="Nocturno"/>
    <s v="WhatsApp"/>
  </r>
  <r>
    <x v="154"/>
    <x v="0"/>
    <s v="SI, ACEPTO PARTICIPAR"/>
    <s v="Masculino"/>
    <s v="De 26 a 28 años"/>
    <n v="26"/>
    <s v="URBANA"/>
    <s v="Profesional"/>
    <s v="Actualmente no trabajo y estoy buscando empleo"/>
    <s v=""/>
    <s v=""/>
    <s v=""/>
    <s v=""/>
    <s v=""/>
    <s v=""/>
    <s v="Entre 4 y 6 meses"/>
    <s v="Sí"/>
    <s v="Sí"/>
    <s v="Portales de empleo;Redes sociales"/>
    <s v="Falta de experiencia"/>
    <s v="Sí"/>
    <s v=""/>
    <s v=""/>
    <s v=""/>
    <s v=""/>
    <s v=""/>
    <s v="Puedo hacerlo con ayuda"/>
    <s v="Puedo hacerlo con ayuda"/>
    <s v="Puedo hacerlo con dificultad"/>
    <s v="Puedo hacerlo sin ayuda"/>
    <s v="Puedo hacerlo sin ayuda"/>
    <s v="Crear una hoja de vida;Preparación para entrevista"/>
    <s v="Costos de transporte;Distancia"/>
    <s v="Oficina de orientación laboral"/>
    <s v="Me es indiferente"/>
    <s v="Mañana entre semana"/>
    <s v="Correo electrónico"/>
  </r>
  <r>
    <x v="155"/>
    <x v="0"/>
    <s v="SI, ACEPTO PARTICIPAR"/>
    <s v="Masculino"/>
    <s v="De 18 a 20 años"/>
    <n v="19"/>
    <s v="URBANA"/>
    <s v="Tecnólog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conocimientos financieros"/>
    <s v="Falta de conocimientos financieros"/>
    <s v="Sí"/>
    <s v="Puedo hacerlo sin ayuda"/>
    <s v="Puedo hacerlo sin ayuda"/>
    <s v="Puedo hacerlo sin ayuda"/>
    <s v="No puedo hacerlo"/>
    <s v="Puedo hacerlo sin ayuda"/>
    <s v="Comunicación;Liderazgo"/>
    <s v="Costos de transporte;Distancia"/>
    <s v="Programas de emprendimiento"/>
    <s v="Presencial"/>
    <s v="Fines de semana"/>
    <s v="Celular"/>
  </r>
  <r>
    <x v="156"/>
    <x v="0"/>
    <s v="SI, ACEPTO PARTICIPAR"/>
    <s v="Femenino"/>
    <s v="De 20 a 22 años"/>
    <n v="21"/>
    <s v="URBANA"/>
    <s v="Tecnólogo"/>
    <s v="Trabajo de manera independiente"/>
    <s v="Trabajo independiente"/>
    <s v="De 7 a 12 meses"/>
    <s v="No"/>
    <s v="1- Muy satisfecho/a"/>
    <s v="Trabajar en un área relacionada con mi formación"/>
    <s v="No"/>
    <s v="Todavía no he iniciado una búsqueda activa"/>
    <s v="Sí"/>
    <s v="Sí"/>
    <s v="Portales de empleo;Redes sociales"/>
    <s v="Falta de experiencia"/>
    <s v="Sí"/>
    <s v=""/>
    <s v=""/>
    <s v=""/>
    <s v=""/>
    <s v=""/>
    <s v="No puedo hacerlo"/>
    <s v="No puedo hacerlo"/>
    <s v="Puedo hacerlo con ayuda"/>
    <s v="Puedo hacerlo con ayuda"/>
    <s v="No puedo hacerlo"/>
    <s v="Herramientas digitales;Educación financiera"/>
    <s v="Falta de información"/>
    <s v="No conozco ninguno"/>
    <s v="Presencial y virtual"/>
    <s v="Nocturno"/>
    <s v="WhatsApp"/>
  </r>
  <r>
    <x v="157"/>
    <x v="0"/>
    <s v="SI, ACEPTO PARTICIPAR"/>
    <s v="Femenino"/>
    <s v="De 22 a 24 años"/>
    <n v="23"/>
    <s v="URBANA"/>
    <s v="Profesional"/>
    <s v="Busco mi primer empleo"/>
    <s v=""/>
    <s v=""/>
    <s v=""/>
    <s v=""/>
    <s v=""/>
    <s v=""/>
    <s v="Más de 6 meses"/>
    <s v="Sí"/>
    <s v="No"/>
    <s v="No sé dónde buscar"/>
    <s v="Internet"/>
    <s v="No"/>
    <s v=""/>
    <s v=""/>
    <s v=""/>
    <s v=""/>
    <s v=""/>
    <s v="Puedo hacerlo con dificultad"/>
    <s v="Puedo hacerlo con dificultad"/>
    <s v="Puedo hacerlo con dificultad"/>
    <s v="Puedo hacerlo con ayuda"/>
    <s v="Puedo hacerlo con ayuda"/>
    <s v="Crear una hoja de vida"/>
    <s v="Falta de información"/>
    <s v="Ferias de empleo"/>
    <s v="Me es indiferente"/>
    <s v="Mañana entre semana"/>
    <s v="Redes sociales"/>
  </r>
  <r>
    <x v="158"/>
    <x v="0"/>
    <s v="SI, ACEPTO PARTICIPAR"/>
    <s v="Masculino"/>
    <s v="De 24 a 26 años"/>
    <n v="25"/>
    <s v="URBANA"/>
    <s v="Posgrado"/>
    <s v="Trabajo actualmente como empleado"/>
    <s v="Empleado con contrato"/>
    <s v="Más de un año"/>
    <s v="Sí, completamente"/>
    <s v="2- Satisfecho/a"/>
    <s v="Oportunidades de crecimiento"/>
    <s v="No"/>
    <s v="Todavía no he iniciado una búsqueda activa"/>
    <s v="No"/>
    <s v="No"/>
    <s v="No sé dónde buscar"/>
    <s v="Falta de experiencia"/>
    <s v="No"/>
    <s v=""/>
    <s v=""/>
    <s v=""/>
    <s v=""/>
    <s v=""/>
    <s v="No puedo hacerlo"/>
    <s v="No puedo hacerlo"/>
    <s v="Puedo hacerlo sin ayuda"/>
    <s v="Puedo hacerlo con dificultad"/>
    <s v="Puedo hacerlo con ayuda"/>
    <s v="Preparación para entrevista"/>
    <s v="Falta de información"/>
    <s v="No conozco ninguno"/>
    <s v="Presencial"/>
    <s v="Fines de semana"/>
    <s v="Celular"/>
  </r>
  <r>
    <x v="159"/>
    <x v="0"/>
    <s v="SI, ACEPTO PARTICIPAR"/>
    <s v="Masculino"/>
    <s v="De 26 a 28 años"/>
    <n v="27"/>
    <s v="URBANA"/>
    <s v="Bachiller"/>
    <s v="Trabajo de manera independiente"/>
    <s v="Trabajo independiente"/>
    <s v="Más de un año"/>
    <s v="Sí, completamente"/>
    <s v="2- Satisfecho/a"/>
    <s v="Oportunidades de crecimiento"/>
    <s v="No"/>
    <s v="Todavía no he iniciado una búsqueda activa"/>
    <s v="Sí"/>
    <s v="No"/>
    <s v="Familiares o conocidos;Empresas directamente"/>
    <s v="Falta de experiencia"/>
    <s v="No"/>
    <s v=""/>
    <s v=""/>
    <s v=""/>
    <s v=""/>
    <s v=""/>
    <s v="Puedo hacerlo con ayuda"/>
    <s v="Puedo hacerlo con ayuda"/>
    <s v="Puedo hacerlo con ayuda"/>
    <s v="Puedo hacerlo sin ayuda"/>
    <s v="Puedo hacerlo con dificultad"/>
    <s v="Comunicación"/>
    <s v="Horarios"/>
    <s v="Oficina de orientación laboral"/>
    <s v="Virtual"/>
    <s v="Nocturno"/>
    <s v="Correo electrónico"/>
  </r>
  <r>
    <x v="160"/>
    <x v="0"/>
    <s v="SI, ACEPTO PARTICIPAR"/>
    <s v="Femenino"/>
    <s v="De 18 a 20 años"/>
    <n v="18"/>
    <s v="URBANA"/>
    <s v="Bachiller"/>
    <s v="Busco mi primer empleo"/>
    <s v=""/>
    <s v=""/>
    <s v=""/>
    <s v=""/>
    <s v=""/>
    <s v=""/>
    <s v="Entre 4 y 6 meses"/>
    <s v="Sí"/>
    <s v="No"/>
    <s v="No sé dónde buscar"/>
    <s v="Internet"/>
    <s v="No"/>
    <s v=""/>
    <s v=""/>
    <s v=""/>
    <s v=""/>
    <s v=""/>
    <s v="Puedo hacerlo sin ayuda"/>
    <s v="Puedo hacerlo sin ayuda"/>
    <s v="Puedo hacerlo con dificultad"/>
    <s v="No puedo hacerlo"/>
    <s v="Puedo hacerlo sin ayuda"/>
    <s v="Liderazgo"/>
    <s v="Horarios"/>
    <s v="Programas de emprendimiento"/>
    <s v="Presencial y virtual"/>
    <s v="Mañana entre semana"/>
    <s v="Redes sociales"/>
  </r>
  <r>
    <x v="161"/>
    <x v="0"/>
    <s v="SI, ACEPTO PARTICIPAR"/>
    <s v="Masculino"/>
    <s v="De 20 a 22 años"/>
    <n v="20"/>
    <s v="URBANA"/>
    <s v="Bachiller"/>
    <s v="Trabajo actualmente como empleado"/>
    <s v="Empleado sin contrato formal"/>
    <s v="Menos de 3 meses"/>
    <s v="Parcialmente"/>
    <s v="2- Satisfecho/a"/>
    <s v="Oportunidades de crecimiento"/>
    <s v="No"/>
    <s v="Todavía no he iniciado una búsqueda activa"/>
    <s v="No"/>
    <s v="Sí"/>
    <s v="No sé dónde buscar"/>
    <s v="Falta de formación"/>
    <s v="No"/>
    <s v=""/>
    <s v=""/>
    <s v=""/>
    <s v=""/>
    <s v=""/>
    <s v="No puedo hacerlo"/>
    <s v="No puedo hacerlo"/>
    <s v="Puedo hacerlo sin ayuda"/>
    <s v="No puedo hacerlo"/>
    <s v="Puedo hacerlo sin ayuda"/>
    <s v="Emprendimiento"/>
    <s v="Horarios"/>
    <s v="Oficina de orientación laboral"/>
    <s v="Me es indiferente"/>
    <s v="Fines de semana"/>
    <s v="WhatsApp"/>
  </r>
  <r>
    <x v="162"/>
    <x v="0"/>
    <s v="SI, ACEPTO PARTICIPAR"/>
    <s v="Masculino"/>
    <s v="De 22 a 24 años"/>
    <n v="22"/>
    <s v="URBANA"/>
    <s v="Técnico"/>
    <s v="Actualmente no trabajo y estoy buscando empleo"/>
    <s v=""/>
    <s v=""/>
    <s v=""/>
    <s v=""/>
    <s v=""/>
    <s v=""/>
    <s v="Entre 1 y 3 meses"/>
    <s v="Sí"/>
    <s v="No"/>
    <s v="Familiares o conocidos;Empresas directamente"/>
    <s v="Falta de experiencia"/>
    <s v="No"/>
    <s v=""/>
    <s v=""/>
    <s v=""/>
    <s v=""/>
    <s v=""/>
    <s v="Puedo hacerlo con dificultad"/>
    <s v="Puedo hacerlo con dificultad"/>
    <s v="Puedo hacerlo con ayuda"/>
    <s v="Puedo hacerlo con ayuda"/>
    <s v="No puedo hacerlo"/>
    <s v="Herramientas digitales"/>
    <s v="Costos de transporte"/>
    <s v="Ferias de empleo"/>
    <s v="Presencial"/>
    <s v="Nocturno"/>
    <s v="Correo electrónico"/>
  </r>
  <r>
    <x v="163"/>
    <x v="0"/>
    <s v="SI, ACEPTO PARTICIPAR"/>
    <s v="Femenino"/>
    <s v="De 24 a 26 años"/>
    <n v="24"/>
    <s v="URBANA"/>
    <s v="Tecnólogo"/>
    <s v="Estudio y quiero comenzar a trabajar"/>
    <s v=""/>
    <s v=""/>
    <s v=""/>
    <s v=""/>
    <s v=""/>
    <s v=""/>
    <s v="Todavía no he iniciado una búsqueda activa"/>
    <s v="Tengo una pero necesito actualizarla"/>
    <s v="Sí"/>
    <s v="Institución educativa"/>
    <s v="Transporte"/>
    <s v="Sí"/>
    <s v=""/>
    <s v=""/>
    <s v=""/>
    <s v=""/>
    <s v=""/>
    <s v="Puedo hacerlo sin ayuda"/>
    <s v="Puedo hacerlo sin ayuda"/>
    <s v="Puedo hacerlo con dificultad"/>
    <s v="Puedo hacerlo con dificultad"/>
    <s v="No puedo hacerlo"/>
    <s v="Educación financiera"/>
    <s v="Costos de transporte"/>
    <s v="No conozco ninguno"/>
    <s v="Virtual"/>
    <s v="Mañana entre semana"/>
    <s v="Celular"/>
  </r>
  <r>
    <x v="164"/>
    <x v="0"/>
    <s v="SI, ACEPTO PARTICIPAR"/>
    <s v="Femenino"/>
    <s v="De 26 a 28 años"/>
    <n v="28"/>
    <s v="URBANA"/>
    <s v="Tecnólogo"/>
    <s v="Trabajo actualmente como empleado"/>
    <s v="Empleado con contrato"/>
    <s v="De 3 a 6 meses"/>
    <s v="No"/>
    <s v="2- Satisfecho/a"/>
    <s v="Oportunidades de crecimiento"/>
    <s v="No"/>
    <s v="Todavía no he iniciado una búsqueda activa"/>
    <s v="No"/>
    <s v="No"/>
    <s v="No sé dónde buscar"/>
    <s v="Falta de formación"/>
    <s v="No"/>
    <s v=""/>
    <s v=""/>
    <s v=""/>
    <s v=""/>
    <s v=""/>
    <s v="Puedo hacerlo con ayuda"/>
    <s v="Puedo hacerlo con ayuda"/>
    <s v="Puedo hacerlo sin ayuda"/>
    <s v="Puedo hacerlo con dificultad"/>
    <s v="Puedo hacerlo con ayuda"/>
    <s v="Crear una hoja de vida;Preparación para entrevista"/>
    <s v="Costos de transporte"/>
    <s v="Ferias de empleo"/>
    <s v="Presencial y virtual"/>
    <s v="Diurno"/>
    <s v="WhatsApp"/>
  </r>
  <r>
    <x v="165"/>
    <x v="0"/>
    <s v="SI, ACEPTO PARTICIPAR"/>
    <s v="Masculino"/>
    <s v="De 18 a 20 años"/>
    <n v="19"/>
    <s v="URBANA"/>
    <s v="Técnico"/>
    <s v="Actualmente no trabajo y estoy buscando empleo"/>
    <s v=""/>
    <s v=""/>
    <s v=""/>
    <s v=""/>
    <s v=""/>
    <s v=""/>
    <s v="Menos de 1 mes"/>
    <s v="No"/>
    <s v="Sí"/>
    <s v="Familiares o conocidos;Empresas directamente"/>
    <s v="Falta de formación"/>
    <s v="No"/>
    <s v=""/>
    <s v=""/>
    <s v=""/>
    <s v=""/>
    <s v=""/>
    <s v="Puedo hacerlo sin ayuda"/>
    <s v="Puedo hacerlo sin ayuda"/>
    <s v="Puedo hacerlo con ayuda"/>
    <s v="Puedo hacerlo sin ayuda"/>
    <s v="Puedo hacerlo con dificultad"/>
    <s v="Comunicación;Liderazgo"/>
    <s v="Horarios;Falta de información"/>
    <s v="Programas de emprendimiento"/>
    <s v="Me es indiferente"/>
    <s v="Nocturno"/>
    <s v="Redes sociales"/>
  </r>
  <r>
    <x v="166"/>
    <x v="0"/>
    <s v="SI, ACEPTO PARTICIPAR"/>
    <s v="Masculino"/>
    <s v="De 20 a 22 años"/>
    <n v="21"/>
    <s v="URBANA"/>
    <s v="Tecnólog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tiempo"/>
    <s v="Falta de tiempo"/>
    <s v="No"/>
    <s v="No puedo hacerlo"/>
    <s v="No puedo hacerlo"/>
    <s v="Puedo hacerlo con dificultad"/>
    <s v="No puedo hacerlo"/>
    <s v="Puedo hacerlo con dificultad"/>
    <s v="Herramientas digitales;Educación financiera"/>
    <s v="Horarios;Falta de información"/>
    <s v="Oficina de orientación laboral"/>
    <s v="Presencial"/>
    <s v="Mañana entre semana"/>
    <s v="Celular"/>
  </r>
  <r>
    <x v="167"/>
    <x v="0"/>
    <s v="SI, ACEPTO PARTICIPAR"/>
    <s v="Femenino"/>
    <s v="De 22 a 24 años"/>
    <n v="23"/>
    <s v="URBANA"/>
    <s v="Tecnólogo"/>
    <s v="Trabajo de manera independiente"/>
    <s v="Trabajo independiente"/>
    <s v="Menos de 3 meses"/>
    <s v="Parcialmente"/>
    <s v="2- Satisfecho/a"/>
    <s v="Trabajar en un área relacionada con mi formación"/>
    <s v="No"/>
    <s v="Todavía no he iniciado una búsqueda activa"/>
    <s v="No"/>
    <s v="Sí"/>
    <s v="Familiares o conocidos;Empresas directamente"/>
    <s v="Falta de formación"/>
    <s v="No"/>
    <s v=""/>
    <s v=""/>
    <s v=""/>
    <s v=""/>
    <s v=""/>
    <s v="Puedo hacerlo con dificultad"/>
    <s v="Puedo hacerlo con dificultad"/>
    <s v="Puedo hacerlo sin ayuda"/>
    <s v="Puedo hacerlo con ayuda"/>
    <s v="Puedo hacerlo sin ayuda"/>
    <s v="Crear una hoja de vida"/>
    <s v="Horarios;Falta de información"/>
    <s v="Programas de emprendimiento"/>
    <s v="Virtual"/>
    <s v="Diurno"/>
    <s v="Correo electrónico"/>
  </r>
  <r>
    <x v="168"/>
    <x v="0"/>
    <s v="SI, ACEPTO PARTICIPAR"/>
    <s v="Masculino"/>
    <s v="De 24 a 26 años"/>
    <n v="25"/>
    <s v="URBANA"/>
    <s v="Profesional"/>
    <s v="Busco mi primer empleo"/>
    <s v=""/>
    <s v=""/>
    <s v=""/>
    <s v=""/>
    <s v=""/>
    <s v=""/>
    <s v="Entre 1 y 3 meses"/>
    <s v="Sí"/>
    <s v="No"/>
    <s v="No sé dónde buscar"/>
    <s v="Internet"/>
    <s v="No"/>
    <s v=""/>
    <s v=""/>
    <s v=""/>
    <s v=""/>
    <s v=""/>
    <s v="Puedo hacerlo sin ayuda"/>
    <s v="Puedo hacerlo sin ayuda"/>
    <s v="No puedo hacerlo"/>
    <s v="Puedo hacerlo con ayuda"/>
    <s v="Puedo hacerlo sin ayuda"/>
    <s v="Preparación para entrevista"/>
    <s v="Ninguna"/>
    <s v="No conozco ninguno"/>
    <s v="Presencial y virtual"/>
    <s v="Nocturno"/>
    <s v="Redes sociales"/>
  </r>
  <r>
    <x v="169"/>
    <x v="0"/>
    <s v="SI, ACEPTO PARTICIPAR"/>
    <s v="Masculino"/>
    <s v="De 26 a 28 años"/>
    <n v="26"/>
    <s v="URBANA"/>
    <s v="Profesional"/>
    <s v="Trabajo actualmente como empleado"/>
    <s v="Empleado con contrato"/>
    <s v="De 7 a 12 meses"/>
    <s v="Sí, completamente"/>
    <s v="3- Insatisfecho/a"/>
    <s v="Oportunidades de crecimiento"/>
    <s v="No estoy seguro/a"/>
    <s v="Entre 4 y 6 meses"/>
    <s v="No"/>
    <s v="Sí"/>
    <s v="Portales de empleo;Redes sociales"/>
    <s v="Falta de formación"/>
    <s v="Sí"/>
    <s v=""/>
    <s v=""/>
    <s v=""/>
    <s v=""/>
    <s v=""/>
    <s v="Puedo hacerlo con ayuda"/>
    <s v="Puedo hacerlo con ayuda"/>
    <s v="Puedo hacerlo con dificultad"/>
    <s v="Puedo hacerlo con dificultad"/>
    <s v="No puedo hacerlo"/>
    <s v="Comunicación"/>
    <s v="Ninguna"/>
    <s v="Ferias de empleo"/>
    <s v="Me es indiferente"/>
    <s v="Mañana entre semana"/>
    <s v="WhatsApp"/>
  </r>
  <r>
    <x v="170"/>
    <x v="0"/>
    <s v="SI, ACEPTO PARTICIPAR"/>
    <s v="Femenino"/>
    <s v="De 18 a 20 años"/>
    <n v="18"/>
    <s v="URBANA"/>
    <s v="Bachiller"/>
    <s v="Trabajo de manera independiente"/>
    <s v="Trabajo independiente"/>
    <s v="De 3 a 6 meses"/>
    <s v="No"/>
    <s v="2- Satisfecho/a"/>
    <s v="Trabajar en un área relacionada con mi formación"/>
    <s v="No estoy seguro/a"/>
    <s v="Entre 4 y 6 meses"/>
    <s v="No"/>
    <s v="No"/>
    <s v="Familiares o conocidos;Empresas directamente"/>
    <s v="Falta de formación"/>
    <s v="No"/>
    <s v=""/>
    <s v=""/>
    <s v=""/>
    <s v=""/>
    <s v=""/>
    <s v="Puedo hacerlo sin ayuda"/>
    <s v="Puedo hacerlo sin ayuda"/>
    <s v="Puedo hacerlo sin ayuda"/>
    <s v="Puedo hacerlo sin ayuda"/>
    <s v="Puedo hacerlo con ayuda"/>
    <s v="Liderazgo"/>
    <s v="Ninguna"/>
    <s v="Programas de emprendimiento"/>
    <s v="Presencial"/>
    <s v="Diurno"/>
    <s v="Correo electrónico"/>
  </r>
  <r>
    <x v="171"/>
    <x v="0"/>
    <s v="SI, ACEPTO PARTICIPAR"/>
    <s v="Femenino"/>
    <s v="De 20 a 22 años"/>
    <n v="20"/>
    <s v="URBANA"/>
    <s v="Bachiller"/>
    <s v="Busco mi primer empleo"/>
    <s v=""/>
    <s v=""/>
    <s v=""/>
    <s v=""/>
    <s v=""/>
    <s v=""/>
    <s v="Menos de 1 mes"/>
    <s v="Sí"/>
    <s v="No"/>
    <s v="Portales de empleo;Redes sociales"/>
    <s v="Falta de experiencia"/>
    <s v="Sí"/>
    <s v=""/>
    <s v=""/>
    <s v=""/>
    <s v=""/>
    <s v=""/>
    <s v="No puedo hacerlo"/>
    <s v="No puedo hacerlo"/>
    <s v="No puedo hacerlo"/>
    <s v="No puedo hacerlo"/>
    <s v="Puedo hacerlo con ayuda"/>
    <s v="Emprendimiento"/>
    <s v="Falta de experiencia"/>
    <s v="Oficina de orientación laboral"/>
    <s v="Virtual"/>
    <s v="Nocturno"/>
    <s v="Celular"/>
  </r>
  <r>
    <x v="172"/>
    <x v="0"/>
    <s v="SI, ACEPTO PARTICIPAR"/>
    <s v="Masculino"/>
    <s v="De 22 a 24 años"/>
    <n v="22"/>
    <s v="URBANA"/>
    <s v="Bachiller"/>
    <s v="Trabajo actualmente como empleado"/>
    <s v="Empleado con contrato"/>
    <s v="Más de un año"/>
    <s v="Parcialmente"/>
    <s v="3- Insatisfecho/a"/>
    <s v="Trabajar en un área relacionada con mi formación"/>
    <s v="Sí"/>
    <s v="Menos de 1 mes"/>
    <s v="No"/>
    <s v="No"/>
    <s v="Portales de empleo;Redes sociales"/>
    <s v="Falta de formación"/>
    <s v="Sí"/>
    <s v=""/>
    <s v=""/>
    <s v=""/>
    <s v=""/>
    <s v=""/>
    <s v="Puedo hacerlo con dificultad"/>
    <s v="Puedo hacerlo con dificultad"/>
    <s v="Puedo hacerlo con dificultad"/>
    <s v="No puedo hacerlo"/>
    <s v="Puedo hacerlo con dificultad"/>
    <s v="Herramientas digitales"/>
    <s v="Falta de experiencia"/>
    <s v="Programas de emprendimiento"/>
    <s v="Me es indiferente"/>
    <s v="Mañana entre semana"/>
    <s v="WhatsApp"/>
  </r>
  <r>
    <x v="173"/>
    <x v="0"/>
    <s v="SI, ACEPTO PARTICIPAR"/>
    <s v="Femenino"/>
    <s v="De 24 a 26 años"/>
    <n v="24"/>
    <s v="URBANA"/>
    <s v="Bachiller"/>
    <s v="Actualmente no trabajo y estoy buscando empleo"/>
    <s v=""/>
    <s v=""/>
    <s v=""/>
    <s v=""/>
    <s v=""/>
    <s v=""/>
    <s v="Más de 6 meses"/>
    <s v="No"/>
    <s v="No"/>
    <s v="Familiares o conocidos;Empresas directamente"/>
    <s v="Falta de formación"/>
    <s v="No"/>
    <s v=""/>
    <s v=""/>
    <s v=""/>
    <s v=""/>
    <s v=""/>
    <s v="Puedo hacerlo sin ayuda"/>
    <s v="Puedo hacerlo sin ayuda"/>
    <s v="Puedo hacerlo sin ayuda"/>
    <s v="Puedo hacerlo con ayuda"/>
    <s v="Puedo hacerlo con dificultad"/>
    <s v="Educación financiera"/>
    <s v="Falta de experiencia"/>
    <s v="No conozco ninguno"/>
    <s v="Presencial"/>
    <s v="Diurno"/>
    <s v="Redes sociales"/>
  </r>
  <r>
    <x v="174"/>
    <x v="0"/>
    <s v="SI, ACEPTO PARTICIPAR"/>
    <s v="Femenino"/>
    <s v="De 26 a 28 años"/>
    <n v="27"/>
    <s v="URBANA"/>
    <s v="Técnico"/>
    <s v="Estudio y quiero comenzar a trabajar"/>
    <s v=""/>
    <s v=""/>
    <s v=""/>
    <s v=""/>
    <s v=""/>
    <s v=""/>
    <s v="Entre 4 y 6 meses"/>
    <s v="Tengo una pero necesito actualizarla"/>
    <s v="No"/>
    <s v="Institución educativa"/>
    <s v="Transporte"/>
    <s v="Sí"/>
    <s v=""/>
    <s v=""/>
    <s v=""/>
    <s v=""/>
    <s v=""/>
    <s v="Puedo hacerlo con ayuda"/>
    <s v="Puedo hacerlo con ayuda"/>
    <s v="No puedo hacerlo"/>
    <s v="Puedo hacerlo con dificultad"/>
    <s v="Puedo hacerlo sin ayuda"/>
    <s v="Crear una hoja de vida;Preparación para entrevista"/>
    <s v="Distancia"/>
    <s v="Ferias de empleo"/>
    <s v="Virtual"/>
    <s v="Nocturno"/>
    <s v="Celular"/>
  </r>
  <r>
    <x v="175"/>
    <x v="0"/>
    <s v="SI, ACEPTO PARTICIPAR"/>
    <s v="Masculino"/>
    <s v="De 18 a 20 años"/>
    <n v="19"/>
    <s v="URBANA"/>
    <s v="Bachiller"/>
    <s v="Trabajo actualmente como empleado"/>
    <s v="Empleado sin contrato formal"/>
    <s v="Menos de 3 meses"/>
    <s v="No"/>
    <s v="3- Insatisfecho/a"/>
    <s v="Trabajar en un área relacionada con mi formación"/>
    <s v="Sí"/>
    <s v="Más de 6 meses"/>
    <s v="Tengo una pero necesito actualizarla"/>
    <s v="Sí"/>
    <s v="Portales de empleo;Redes sociales"/>
    <s v="Dificultades con la hoja de vida"/>
    <s v="Sí"/>
    <s v=""/>
    <s v=""/>
    <s v=""/>
    <s v=""/>
    <s v=""/>
    <s v="Puedo hacerlo sin ayuda"/>
    <s v="Puedo hacerlo sin ayuda"/>
    <s v="Puedo hacerlo con dificultad"/>
    <s v="Puedo hacerlo sin ayuda"/>
    <s v="No puedo hacerlo"/>
    <s v="Comunicación;Liderazgo"/>
    <s v="Distancia"/>
    <s v="No conozco ninguno"/>
    <s v="Presencial y virtual"/>
    <s v="Fines de semana"/>
    <s v="Correo electrónico"/>
  </r>
  <r>
    <x v="176"/>
    <x v="0"/>
    <s v="SI, ACEPTO PARTICIPAR"/>
    <s v="Masculino"/>
    <s v="De 20 a 22 años"/>
    <n v="21"/>
    <s v="URBANA"/>
    <s v="Técnico"/>
    <s v="Actualmente no trabajo y estoy buscando empleo"/>
    <s v=""/>
    <s v=""/>
    <s v=""/>
    <s v=""/>
    <s v=""/>
    <s v=""/>
    <s v="Entre 4 y 6 meses"/>
    <s v="No"/>
    <s v="Sí"/>
    <s v="Portales de empleo"/>
    <s v="Falta de formación"/>
    <s v="Sí"/>
    <s v=""/>
    <s v=""/>
    <s v=""/>
    <s v=""/>
    <s v=""/>
    <s v="No puedo hacerlo"/>
    <s v="No puedo hacerlo"/>
    <s v="Puedo hacerlo sin ayuda"/>
    <s v="Puedo hacerlo sin ayuda"/>
    <s v="No puedo hacerlo"/>
    <s v="Herramientas digitales;Educación financiera"/>
    <s v="Distancia"/>
    <s v="Oficina de orientación laboral"/>
    <s v="Me es indiferente"/>
    <s v="Diurno"/>
    <s v="Redes sociales"/>
  </r>
  <r>
    <x v="177"/>
    <x v="0"/>
    <s v="SI, ACEPTO PARTICIPAR"/>
    <s v="Femenino"/>
    <s v="De 22 a 24 años"/>
    <n v="23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herramientas"/>
    <s v="Falta de herramientas"/>
    <s v="No"/>
    <s v="Puedo hacerlo con dificultad"/>
    <s v="Puedo hacerlo con dificultad"/>
    <s v="No puedo hacerlo"/>
    <s v="No puedo hacerlo"/>
    <s v="Puedo hacerlo con ayuda"/>
    <s v="Crear una hoja de vida"/>
    <s v="Falta de experiencia;Falta de información"/>
    <s v="Programas de emprendimiento"/>
    <s v="Presencial"/>
    <s v="Nocturno"/>
    <s v="WhatsApp"/>
  </r>
  <r>
    <x v="178"/>
    <x v="0"/>
    <s v="SI, ACEPTO PARTICIPAR"/>
    <s v="Femenino"/>
    <s v="De 24 a 26 años"/>
    <n v="25"/>
    <s v="URBANA"/>
    <s v="Tecnólogo"/>
    <s v="Trabajo actualmente como empleado"/>
    <s v="Empleado con contrato"/>
    <s v="De 3 a 6 meses"/>
    <s v="Sí, completamente"/>
    <s v="4- Muy insatisfecho/a"/>
    <s v="Oportunidades de crecimiento"/>
    <s v="Sí"/>
    <s v="Entre 1 y 3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sin ayuda"/>
    <s v="Puedo hacerlo sin ayuda"/>
    <s v="Puedo hacerlo con dificultad"/>
    <s v="Puedo hacerlo con ayuda"/>
    <s v="Puedo hacerlo con dificultad"/>
    <s v="Preparación para entrevista"/>
    <s v="Falta de experiencia;Falta de información"/>
    <s v="Oficina de orientación laboral"/>
    <s v="Virtual"/>
    <s v="Fines de semana"/>
    <s v="Correo electrónico"/>
  </r>
  <r>
    <x v="179"/>
    <x v="0"/>
    <s v="SI, ACEPTO PARTICIPAR"/>
    <s v="Masculino"/>
    <s v="De 26 a 28 años"/>
    <n v="28"/>
    <s v="URBANA"/>
    <s v="Profesional"/>
    <s v="Actualmente no trabajo y estoy buscando empleo"/>
    <s v=""/>
    <s v=""/>
    <s v=""/>
    <s v=""/>
    <s v=""/>
    <s v=""/>
    <s v="Entre 1 y 3 meses"/>
    <s v="No"/>
    <s v="No"/>
    <s v="Portales de empleo"/>
    <s v="Falta de formación"/>
    <s v="Sí"/>
    <s v=""/>
    <s v=""/>
    <s v=""/>
    <s v=""/>
    <s v=""/>
    <s v="Puedo hacerlo con ayuda"/>
    <s v="Puedo hacerlo con ayuda"/>
    <s v="Puedo hacerlo sin ayuda"/>
    <s v="Puedo hacerlo con dificultad"/>
    <s v="Puedo hacerlo con dificultad"/>
    <s v="Comunicación"/>
    <s v="Falta de experiencia;Falta de información"/>
    <s v="Ferias de empleo"/>
    <s v="Presencial y virtual"/>
    <s v="Diurno"/>
    <s v="Celular"/>
  </r>
  <r>
    <x v="180"/>
    <x v="0"/>
    <s v="SI, ACEPTO PARTICIPAR"/>
    <s v="Femenino"/>
    <s v="De 18 a 20 años"/>
    <n v="18"/>
    <s v="URBANA"/>
    <s v="Tecnólogo"/>
    <s v="Trabajo actualmente como empleado"/>
    <s v="Empleado con contrato"/>
    <s v="De 7 a 12 meses"/>
    <s v="Parcialmente"/>
    <s v="4- Muy insatisfecho/a"/>
    <s v="Trabajar en un área relacionada con mi formación"/>
    <s v="No"/>
    <s v="Todavía no he iniciado una búsqueda activa"/>
    <s v="Tengo una pero necesito actualizarla"/>
    <s v="Sí"/>
    <s v="Familiares o conocidos;Empresas directamente"/>
    <s v="Dificultades con la hoja de vida"/>
    <s v="No"/>
    <s v=""/>
    <s v=""/>
    <s v=""/>
    <s v=""/>
    <s v=""/>
    <s v="Puedo hacerlo sin ayuda"/>
    <s v="Puedo hacerlo sin ayuda"/>
    <s v="No puedo hacerlo"/>
    <s v="Puedo hacerlo con dificultad"/>
    <s v="Puedo hacerlo sin ayuda"/>
    <s v="Liderazgo"/>
    <s v="Costos de transporte;Distancia"/>
    <s v="No conozco ninguno"/>
    <s v="Me es indiferente"/>
    <s v="Nocturno"/>
    <s v="WhatsApp"/>
  </r>
  <r>
    <x v="181"/>
    <x v="0"/>
    <s v="SI, ACEPTO PARTICIPAR"/>
    <s v="Femenino"/>
    <s v="De 20 a 22 años"/>
    <n v="20"/>
    <s v="URBANA"/>
    <s v="Tecnólogo"/>
    <s v="Trabajo de manera independiente"/>
    <s v="Trabajo independiente"/>
    <s v="De 7 a 12 meses"/>
    <s v="Sí, completamente"/>
    <s v="3- Insatisfecho/a"/>
    <s v="Salario"/>
    <s v="Sí"/>
    <s v="Menos de 1 mes"/>
    <s v="No"/>
    <s v="Sí"/>
    <s v="Portales de empleo"/>
    <s v="Falta de formación"/>
    <s v="Sí"/>
    <s v=""/>
    <s v=""/>
    <s v=""/>
    <s v=""/>
    <s v=""/>
    <s v="No puedo hacerlo"/>
    <s v="No puedo hacerlo"/>
    <s v="Puedo hacerlo con ayuda"/>
    <s v="Puedo hacerlo sin ayuda"/>
    <s v="Puedo hacerlo sin ayuda"/>
    <s v="Emprendimiento"/>
    <s v="Costos de transporte;Distancia"/>
    <s v="Ferias de empleo"/>
    <s v="Presencial"/>
    <s v="Fines de semana"/>
    <s v="Redes sociales"/>
  </r>
  <r>
    <x v="182"/>
    <x v="0"/>
    <s v="SI, ACEPTO PARTICIPAR"/>
    <s v="Masculino"/>
    <s v="De 22 a 24 años"/>
    <n v="22"/>
    <s v="URBANA"/>
    <s v="Profesional"/>
    <s v="Busco mi primer empleo"/>
    <s v=""/>
    <s v=""/>
    <s v=""/>
    <s v=""/>
    <s v=""/>
    <s v=""/>
    <s v="Más de 6 meses"/>
    <s v="Sí"/>
    <s v="No"/>
    <s v="Portales de empleo;Redes sociales"/>
    <s v="Falta de experiencia"/>
    <s v="Sí"/>
    <s v=""/>
    <s v=""/>
    <s v=""/>
    <s v=""/>
    <s v=""/>
    <s v="Puedo hacerlo con dificultad"/>
    <s v="Puedo hacerlo con dificultad"/>
    <s v="Puedo hacerlo sin ayuda"/>
    <s v="No puedo hacerlo"/>
    <s v="No puedo hacerlo"/>
    <s v="Herramientas digitales"/>
    <s v="Costos de transporte;Distancia"/>
    <s v="Programas de emprendimiento"/>
    <s v="Virtual"/>
    <s v="Diurno"/>
    <s v="WhatsApp"/>
  </r>
  <r>
    <x v="183"/>
    <x v="0"/>
    <s v="SI, ACEPTO PARTICIPAR"/>
    <s v="Masculino"/>
    <s v="De 24 a 26 años"/>
    <n v="24"/>
    <s v="URBANA"/>
    <s v="Profesional"/>
    <s v="Trabajo actualmente como empleado"/>
    <s v="Empleado con contrato"/>
    <s v="Más de un año"/>
    <s v="No"/>
    <s v="4- Muy insatisfecho/a"/>
    <s v="Trabajar en un área relacionada con mi formación"/>
    <s v="No estoy seguro/a"/>
    <s v="Entre 4 y 6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sin ayuda"/>
    <s v="Puedo hacerlo sin ayuda"/>
    <s v="No puedo hacerlo"/>
    <s v="Puedo hacerlo con ayuda"/>
    <s v="Puedo hacerlo con ayuda"/>
    <s v="Educación financiera"/>
    <s v="Falta de información"/>
    <s v="Oficina de orientación laboral"/>
    <s v="Presencial y virtual"/>
    <s v="Nocturno"/>
    <s v="Correo electrónico"/>
  </r>
  <r>
    <x v="184"/>
    <x v="0"/>
    <s v="SI, ACEPTO PARTICIPAR"/>
    <s v="Femenino"/>
    <s v="De 26 a 28 años"/>
    <n v="26"/>
    <s v="URBANA"/>
    <s v="Bachiller"/>
    <s v="Trabajo de manera independiente"/>
    <s v="Trabajo independiente"/>
    <s v="Más de un año"/>
    <s v="Parcialmente"/>
    <s v="3- Insatisfecho/a"/>
    <s v="Salario"/>
    <s v="Sí"/>
    <s v="Más de 6 meses"/>
    <s v="No"/>
    <s v="No"/>
    <s v="Portales de empleo"/>
    <s v="Falta de formación"/>
    <s v="Sí"/>
    <s v=""/>
    <s v=""/>
    <s v=""/>
    <s v=""/>
    <s v=""/>
    <s v="Puedo hacerlo con ayuda"/>
    <s v="Puedo hacerlo con ayuda"/>
    <s v="Puedo hacerlo con ayuda"/>
    <s v="Puedo hacerlo con ayuda"/>
    <s v="Puedo hacerlo con ayuda"/>
    <s v="Crear una hoja de vida;Preparación para entrevista"/>
    <s v="Falta de información"/>
    <s v="Programas de emprendimiento"/>
    <s v="Me es indiferente"/>
    <s v="Fines de semana"/>
    <s v="Celular"/>
  </r>
  <r>
    <x v="185"/>
    <x v="0"/>
    <s v="SI, ACEPTO PARTICIPAR"/>
    <s v="Femenino"/>
    <s v="De 18 a 20 años"/>
    <n v="19"/>
    <s v="URBANA"/>
    <s v="Bachiller"/>
    <s v="Estudio y quiero comenzar a trabajar"/>
    <s v=""/>
    <s v=""/>
    <s v=""/>
    <s v=""/>
    <s v=""/>
    <s v=""/>
    <s v="Menos de 1 mes"/>
    <s v="Tengo una pero necesito actualizarla"/>
    <s v="Sí"/>
    <s v="Institución educativa"/>
    <s v="Internet"/>
    <s v="Sí"/>
    <s v=""/>
    <s v=""/>
    <s v=""/>
    <s v=""/>
    <s v=""/>
    <s v="Puedo hacerlo sin ayuda"/>
    <s v="Puedo hacerlo sin ayuda"/>
    <s v="Puedo hacerlo sin ayuda"/>
    <s v="Puedo hacerlo con dificultad"/>
    <s v="Puedo hacerlo con dificultad"/>
    <s v="Comunicación;Liderazgo"/>
    <s v="Falta de información"/>
    <s v="No conozco ninguno"/>
    <s v="Presencial"/>
    <s v="Diurno"/>
    <s v="WhatsApp"/>
  </r>
  <r>
    <x v="186"/>
    <x v="0"/>
    <s v="SI, ACEPTO PARTICIPAR"/>
    <s v="Masculino"/>
    <s v="De 20 a 22 años"/>
    <n v="21"/>
    <s v="URBANA"/>
    <s v="Bachiller"/>
    <s v="Trabajo actualmente como empleado"/>
    <s v="Empleado sin contrato formal"/>
    <s v="Menos de 3 meses"/>
    <s v="Sí, completamente"/>
    <s v="1- Muy satisfecho/a"/>
    <s v="Salario"/>
    <s v="Sí"/>
    <s v="Menos de 1 mes"/>
    <s v="Tengo una pero necesito actualizarla"/>
    <s v="Sí"/>
    <s v="Portales de empleo"/>
    <s v="Horarios disponibles"/>
    <s v="Sí"/>
    <s v=""/>
    <s v=""/>
    <s v=""/>
    <s v=""/>
    <s v=""/>
    <s v="No puedo hacerlo"/>
    <s v="No puedo hacerlo"/>
    <s v="No puedo hacerlo"/>
    <s v="Puedo hacerlo sin ayuda"/>
    <s v="Puedo hacerlo con dificultad"/>
    <s v="Herramientas digitales;Educación financiera"/>
    <s v="Horarios"/>
    <s v="Ferias de empleo"/>
    <s v="Virtual"/>
    <s v="Nocturno"/>
    <s v="Redes sociales"/>
  </r>
  <r>
    <x v="187"/>
    <x v="0"/>
    <s v="SI, ACEPTO PARTICIPAR"/>
    <s v="Femenino"/>
    <s v="De 22 a 24 años"/>
    <n v="23"/>
    <s v="URBANA"/>
    <s v="Técnico"/>
    <s v="Actualmente no trabajo y estoy buscando empleo"/>
    <s v=""/>
    <s v=""/>
    <s v=""/>
    <s v=""/>
    <s v=""/>
    <s v=""/>
    <s v="Menos de 1 mes"/>
    <s v="No"/>
    <s v="Sí"/>
    <s v="Portales de empleo"/>
    <s v="Dificultades con la hoja de vida"/>
    <s v="Sí"/>
    <s v=""/>
    <s v=""/>
    <s v=""/>
    <s v=""/>
    <s v=""/>
    <s v="Puedo hacerlo con dificultad"/>
    <s v="Puedo hacerlo con dificultad"/>
    <s v="Puedo hacerlo con ayuda"/>
    <s v="No puedo hacerlo"/>
    <s v="Puedo hacerlo sin ayuda"/>
    <s v="Crear una hoja de vida"/>
    <s v="Horarios"/>
    <s v="No conozco ninguno"/>
    <s v="Presencial y virtual"/>
    <s v="Fines de semana"/>
    <s v="Celular"/>
  </r>
  <r>
    <x v="188"/>
    <x v="0"/>
    <s v="SI, ACEPTO PARTICIPAR"/>
    <s v="Femenino"/>
    <s v="De 24 a 26 años"/>
    <n v="25"/>
    <s v="URBANA"/>
    <s v="Técnico"/>
    <s v="Estudio y quiero comenzar a trabajar"/>
    <s v=""/>
    <s v=""/>
    <s v=""/>
    <s v=""/>
    <s v=""/>
    <s v=""/>
    <s v="Más de 6 meses"/>
    <s v="Sí"/>
    <s v="No"/>
    <s v="No sé dónde buscar"/>
    <s v="Internet"/>
    <s v="No"/>
    <s v=""/>
    <s v=""/>
    <s v=""/>
    <s v=""/>
    <s v=""/>
    <s v="Puedo hacerlo sin ayuda"/>
    <s v="Puedo hacerlo sin ayuda"/>
    <s v="Puedo hacerlo sin ayuda"/>
    <s v="No puedo hacerlo"/>
    <s v="No puedo hacerlo"/>
    <s v="Preparación para entrevista"/>
    <s v="Horarios"/>
    <s v="Oficina de orientación laboral"/>
    <s v="Me es indiferente"/>
    <s v="Diurno"/>
    <s v="Correo electrónico"/>
  </r>
  <r>
    <x v="189"/>
    <x v="0"/>
    <s v="SI, ACEPTO PARTICIPAR"/>
    <s v="Masculino"/>
    <s v="De 26 a 28 años"/>
    <n v="27"/>
    <s v="URBANA"/>
    <s v="Tecnólogo"/>
    <s v="Trabajo actualmente como empleado"/>
    <s v="Empleado con contrato"/>
    <s v="De 3 a 6 meses"/>
    <s v="Parcialmente"/>
    <s v="1- Muy satisfecho/a"/>
    <s v="Salario"/>
    <s v="No"/>
    <s v="Todavía no he iniciado una búsqueda activa"/>
    <s v="Tengo una pero necesito actualizarla"/>
    <s v="No"/>
    <s v="Portales de empleo"/>
    <s v="Horarios disponibles"/>
    <s v="Sí"/>
    <s v=""/>
    <s v=""/>
    <s v=""/>
    <s v=""/>
    <s v=""/>
    <s v="Puedo hacerlo con ayuda"/>
    <s v="Puedo hacerlo con ayuda"/>
    <s v="No puedo hacerlo"/>
    <s v="Puedo hacerlo con ayuda"/>
    <s v="No puedo hacerlo"/>
    <s v="Comunicación"/>
    <s v="Costos de transporte"/>
    <s v="Programas de emprendimiento"/>
    <s v="Virtual"/>
    <s v="Mañana entre semana"/>
    <s v="Redes sociales"/>
  </r>
  <r>
    <x v="190"/>
    <x v="0"/>
    <s v="SI, ACEPTO PARTICIPAR"/>
    <s v="Masculino"/>
    <s v="De 18 a 20 años"/>
    <n v="18"/>
    <s v="URBANA"/>
    <s v="Técnico"/>
    <s v="Actualmente no trabajo y estoy buscando empleo"/>
    <s v=""/>
    <s v=""/>
    <s v=""/>
    <s v=""/>
    <s v=""/>
    <s v=""/>
    <s v="Más de 6 meses"/>
    <s v="No"/>
    <s v="No"/>
    <s v="Redes sociales"/>
    <s v="Dificultades con la hoja de vida"/>
    <s v="No"/>
    <s v=""/>
    <s v=""/>
    <s v=""/>
    <s v=""/>
    <s v=""/>
    <s v="Puedo hacerlo sin ayuda"/>
    <s v="Puedo hacerlo sin ayuda"/>
    <s v="Puedo hacerlo con ayuda"/>
    <s v="Puedo hacerlo con dificultad"/>
    <s v="Puedo hacerlo con ayuda"/>
    <s v="Liderazgo"/>
    <s v="Costos de transporte"/>
    <s v="Oficina de orientación laboral"/>
    <s v="Presencial y virtual"/>
    <s v="Fines de semana"/>
    <s v="WhatsApp"/>
  </r>
  <r>
    <x v="191"/>
    <x v="0"/>
    <s v="SI, ACEPTO PARTICIPAR"/>
    <s v="Femenino"/>
    <s v="De 20 a 22 años"/>
    <n v="20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financiación"/>
    <s v="Falta de financiación"/>
    <s v="No conozco programas de ese tipo"/>
    <s v="No puedo hacerlo"/>
    <s v="No puedo hacerlo"/>
    <s v="Puedo hacerlo sin ayuda"/>
    <s v="Puedo hacerlo sin ayuda"/>
    <s v="Puedo hacerlo con ayuda"/>
    <s v="Emprendimiento"/>
    <s v="Costos de transporte"/>
    <s v="Ferias de empleo"/>
    <s v="Me es indiferente"/>
    <s v="Diurno"/>
    <s v="Correo electrónico"/>
  </r>
  <r>
    <x v="192"/>
    <x v="0"/>
    <s v="SI, ACEPTO PARTICIPAR"/>
    <s v="Femenino"/>
    <s v="De 22 a 24 años"/>
    <n v="22"/>
    <s v="URBANA"/>
    <s v="Tecnólogo"/>
    <s v="Trabajo de manera independiente"/>
    <s v="Trabajo independiente"/>
    <s v="Menos de 3 meses"/>
    <s v="No"/>
    <s v="3- Insatisfecho/a"/>
    <s v="Salario"/>
    <s v="Sí"/>
    <s v="Entre 1 y 3 meses"/>
    <s v="No"/>
    <s v="Sí"/>
    <s v="Portales de empleo"/>
    <s v="Dificultades con la hoja de vida"/>
    <s v="Sí"/>
    <s v=""/>
    <s v=""/>
    <s v=""/>
    <s v=""/>
    <s v=""/>
    <s v="Puedo hacerlo con dificultad"/>
    <s v="Puedo hacerlo con dificultad"/>
    <s v="No puedo hacerlo"/>
    <s v="Puedo hacerlo sin ayuda"/>
    <s v="Puedo hacerlo con dificultad"/>
    <s v="Herramientas digitales"/>
    <s v="Horarios;Falta de información"/>
    <s v="No conozco ninguno"/>
    <s v="Presencial"/>
    <s v="Mañana entre semana"/>
    <s v="Celular"/>
  </r>
  <r>
    <x v="193"/>
    <x v="0"/>
    <s v="SI, ACEPTO PARTICIPAR"/>
    <s v="Masculino"/>
    <s v="De 24 a 26 años"/>
    <n v="24"/>
    <s v="URBANA"/>
    <s v="Profesional"/>
    <s v="Busco mi primer empleo"/>
    <s v=""/>
    <s v=""/>
    <s v=""/>
    <s v=""/>
    <s v=""/>
    <s v=""/>
    <s v="Entre 4 y 6 meses"/>
    <s v="Sí"/>
    <s v="No"/>
    <s v="Portales de empleo;Redes sociales"/>
    <s v="Falta de experiencia"/>
    <s v="Sí"/>
    <s v=""/>
    <s v=""/>
    <s v=""/>
    <s v=""/>
    <s v=""/>
    <s v="Puedo hacerlo sin ayuda"/>
    <s v="Puedo hacerlo sin ayuda"/>
    <s v="Puedo hacerlo con ayuda"/>
    <s v="No puedo hacerlo"/>
    <s v="Puedo hacerlo sin ayuda"/>
    <s v="Educación financiera"/>
    <s v="Horarios;Falta de información"/>
    <s v="Ferias de empleo"/>
    <s v="Virtual"/>
    <s v="Fines de semana"/>
    <s v="WhatsApp"/>
  </r>
  <r>
    <x v="194"/>
    <x v="0"/>
    <s v="SI, ACEPTO PARTICIPAR"/>
    <s v="Femenino"/>
    <s v="De 26 a 28 años"/>
    <n v="28"/>
    <s v="URBANA"/>
    <s v="Profesional"/>
    <s v="Trabajo actualmente como empleado"/>
    <s v="Empleado con contrato"/>
    <s v="De 7 a 12 meses"/>
    <s v="No"/>
    <s v="1- Muy satisfecho/a"/>
    <s v="Salario"/>
    <s v="No"/>
    <s v="Todavía no he iniciado una búsqueda activa"/>
    <s v="Tengo una pero necesito actualizarla"/>
    <s v="Sí"/>
    <s v="Portales de empleo"/>
    <s v="Horarios disponibles"/>
    <s v="Sí"/>
    <s v=""/>
    <s v=""/>
    <s v=""/>
    <s v=""/>
    <s v=""/>
    <s v="Puedo hacerlo con ayuda"/>
    <s v="Puedo hacerlo con ayuda"/>
    <s v="Puedo hacerlo sin ayuda"/>
    <s v="Puedo hacerlo con ayuda"/>
    <s v="Puedo hacerlo sin ayuda"/>
    <s v="Crear una hoja de vida;Preparación para entrevista"/>
    <s v="Horarios;Falta de información"/>
    <s v="Programas de emprendimiento"/>
    <s v="Presencial y virtual"/>
    <s v="Diurno"/>
    <s v="Redes sociales"/>
  </r>
  <r>
    <x v="195"/>
    <x v="0"/>
    <s v="SI, ACEPTO PARTICIPAR"/>
    <s v="Femenino"/>
    <s v="De 18 a 20 años"/>
    <n v="19"/>
    <s v="URBANA"/>
    <s v="Bachiller"/>
    <s v="Trabajo de manera independiente"/>
    <s v="Trabajo independiente"/>
    <s v="De 3 a 6 meses"/>
    <s v="Sí, completamente"/>
    <s v="4- Muy insatisfecho/a"/>
    <s v="Salario"/>
    <s v="No"/>
    <s v="Todavía no he iniciado una búsqueda activa"/>
    <s v="No"/>
    <s v="No"/>
    <s v="Redes sociales"/>
    <s v="Dificultades con la hoja de vida"/>
    <s v="No"/>
    <s v=""/>
    <s v=""/>
    <s v=""/>
    <s v=""/>
    <s v=""/>
    <s v="Puedo hacerlo sin ayuda"/>
    <s v="Puedo hacerlo sin ayuda"/>
    <s v="No puedo hacerlo"/>
    <s v="Puedo hacerlo con dificultad"/>
    <s v="No puedo hacerlo"/>
    <s v="Comunicación;Liderazgo"/>
    <s v="Ninguna"/>
    <s v="Oficina de orientación laboral"/>
    <s v="Me es indiferente"/>
    <s v="Mañana entre semana"/>
    <s v="Celular"/>
  </r>
  <r>
    <x v="196"/>
    <x v="0"/>
    <s v="SI, ACEPTO PARTICIPAR"/>
    <s v="Masculino"/>
    <s v="De 20 a 22 años"/>
    <n v="21"/>
    <s v="URBANA"/>
    <s v="Bachiller"/>
    <s v="Busco mi primer empleo"/>
    <s v=""/>
    <s v=""/>
    <s v=""/>
    <s v=""/>
    <s v=""/>
    <s v=""/>
    <s v="Entre 1 y 3 meses"/>
    <s v="Sí"/>
    <s v="No"/>
    <s v="Familiares o conocidos;Empresas directamente"/>
    <s v="Falta de experiencia"/>
    <s v="No"/>
    <s v=""/>
    <s v=""/>
    <s v=""/>
    <s v=""/>
    <s v=""/>
    <s v="No puedo hacerlo"/>
    <s v="No puedo hacerlo"/>
    <s v="Puedo hacerlo con ayuda"/>
    <s v="Puedo hacerlo con dificultad"/>
    <s v="No puedo hacerlo"/>
    <s v="Herramientas digitales;Educación financiera"/>
    <s v="Ninguna"/>
    <s v="Programas de emprendimiento"/>
    <s v="Presencial"/>
    <s v="Fines de semana"/>
    <s v="Correo electrónico"/>
  </r>
  <r>
    <x v="197"/>
    <x v="0"/>
    <s v="SI, ACEPTO PARTICIPAR"/>
    <s v="Masculino"/>
    <s v="De 22 a 24 años"/>
    <n v="23"/>
    <s v="URBANA"/>
    <s v="Bachiller"/>
    <s v="Trabajo actualmente como empleado"/>
    <s v="Empleado con contrato"/>
    <s v="Más de un año"/>
    <s v="Sí, completamente"/>
    <s v="2- Satisfecho/a"/>
    <s v="Salario"/>
    <s v="No"/>
    <s v="Todavía no he iniciado una búsqueda activa"/>
    <s v="Sí"/>
    <s v="No"/>
    <s v="Redes sociales"/>
    <s v="Horarios disponibles"/>
    <s v="No"/>
    <s v=""/>
    <s v=""/>
    <s v=""/>
    <s v=""/>
    <s v=""/>
    <s v="Puedo hacerlo con dificultad"/>
    <s v="Puedo hacerlo con dificultad"/>
    <s v="Puedo hacerlo con dificultad"/>
    <s v="Puedo hacerlo sin ayuda"/>
    <s v="Puedo hacerlo con ayuda"/>
    <s v="Crear una hoja de vida"/>
    <s v="Ninguna"/>
    <s v="No conozco ninguno"/>
    <s v="Virtual"/>
    <s v="Diurno"/>
    <s v="Redes sociales"/>
  </r>
  <r>
    <x v="198"/>
    <x v="0"/>
    <s v="SI, ACEPTO PARTICIPAR"/>
    <s v="Femenino"/>
    <s v="De 24 a 26 años"/>
    <n v="25"/>
    <s v="URBANA"/>
    <s v="Bachiller"/>
    <s v="Actualmente no trabajo y estoy buscando empleo"/>
    <s v=""/>
    <s v=""/>
    <s v=""/>
    <s v=""/>
    <s v=""/>
    <s v=""/>
    <s v="Entre 4 y 6 meses"/>
    <s v="No"/>
    <s v="Sí"/>
    <s v="Redes sociales"/>
    <s v="Dificultades con la hoja de vida"/>
    <s v="No"/>
    <s v=""/>
    <s v=""/>
    <s v=""/>
    <s v=""/>
    <s v=""/>
    <s v="Puedo hacerlo sin ayuda"/>
    <s v="Puedo hacerlo sin ayuda"/>
    <s v="No puedo hacerlo"/>
    <s v="No puedo hacerlo"/>
    <s v="Puedo hacerlo con dificultad"/>
    <s v="Preparación para entrevista"/>
    <s v="Falta de experiencia"/>
    <s v="Ferias de empleo"/>
    <s v="Presencial y virtual"/>
    <s v="Mañana entre semana"/>
    <s v="WhatsApp"/>
  </r>
  <r>
    <x v="199"/>
    <x v="0"/>
    <s v="SI, ACEPTO PARTICIPAR"/>
    <s v="Femenino"/>
    <s v="De 26 a 28 años"/>
    <n v="26"/>
    <s v="URBANA"/>
    <s v="Técnico"/>
    <s v="Estudio y quiero comenzar a trabajar"/>
    <s v=""/>
    <s v=""/>
    <s v=""/>
    <s v=""/>
    <s v=""/>
    <s v=""/>
    <s v="Entre 1 y 3 meses"/>
    <s v="Sí"/>
    <s v="Sí"/>
    <s v="No sé dónde buscar"/>
    <s v="Internet"/>
    <s v="No"/>
    <s v=""/>
    <s v=""/>
    <s v=""/>
    <s v=""/>
    <s v=""/>
    <s v="Puedo hacerlo con ayuda"/>
    <s v="Puedo hacerlo con ayuda"/>
    <s v="Puedo hacerlo con ayuda"/>
    <s v="No puedo hacerlo"/>
    <s v="Puedo hacerlo con dificultad"/>
    <s v="Comunicación"/>
    <s v="Falta de experiencia"/>
    <s v="No conozco ninguno"/>
    <s v="Me es indiferente"/>
    <s v="Fines de semana"/>
    <s v="Correo electrónico"/>
  </r>
  <r>
    <x v="200"/>
    <x v="0"/>
    <s v="SI, ACEPTO PARTICIPAR"/>
    <s v="Masculino"/>
    <s v="De 18 a 20 años"/>
    <n v="18"/>
    <s v="URBANA"/>
    <s v="Bachiller"/>
    <s v="Trabajo actualmente como empleado"/>
    <s v="Empleado sin contrato formal"/>
    <s v="Menos de 3 meses"/>
    <s v="Parcialmente"/>
    <s v="2- Satisfecho/a"/>
    <s v="Salario"/>
    <s v="No estoy seguro/a"/>
    <s v="Entre 4 y 6 meses"/>
    <s v="Sí"/>
    <s v="Sí"/>
    <s v="Redes sociales"/>
    <s v="Transporte"/>
    <s v="No"/>
    <s v=""/>
    <s v=""/>
    <s v=""/>
    <s v=""/>
    <s v=""/>
    <s v="Puedo hacerlo con dificultad"/>
    <s v="Puedo hacerlo con dificultad"/>
    <s v="Puedo hacerlo con dificultad"/>
    <s v="Puedo hacerlo con ayuda"/>
    <s v="Puedo hacerlo sin ayuda"/>
    <s v="Liderazgo"/>
    <s v="Falta de experiencia"/>
    <s v="Oficina de orientación laboral"/>
    <s v="Presencial"/>
    <s v="Nocturno"/>
    <s v="Celular"/>
  </r>
  <r>
    <x v="201"/>
    <x v="0"/>
    <s v="SI, ACEPTO PARTICIPAR"/>
    <s v="Femenino"/>
    <s v="De 20 a 22 años"/>
    <n v="20"/>
    <s v="URBANA"/>
    <s v="Técnico"/>
    <s v="Actualmente no trabajo y estoy buscando empleo"/>
    <s v=""/>
    <s v=""/>
    <s v=""/>
    <s v=""/>
    <s v=""/>
    <s v=""/>
    <s v="Entre 1 y 3 meses"/>
    <s v="Tengo una pero necesito actualizarla"/>
    <s v="No"/>
    <s v="Redes sociales"/>
    <s v="Dificultades con la hoja de vida"/>
    <s v="No"/>
    <s v=""/>
    <s v=""/>
    <s v=""/>
    <s v=""/>
    <s v=""/>
    <s v="No puedo hacerlo"/>
    <s v="No puedo hacerlo"/>
    <s v="No puedo hacerlo"/>
    <s v="Puedo hacerlo con dificultad"/>
    <s v="No puedo hacerlo"/>
    <s v="Emprendimiento"/>
    <s v="Distancia"/>
    <s v="Programas de emprendimiento"/>
    <s v="Virtual"/>
    <s v="Mañana entre semana"/>
    <s v="WhatsApp"/>
  </r>
  <r>
    <x v="202"/>
    <x v="0"/>
    <s v="SI, ACEPTO PARTICIPAR"/>
    <s v="Femenino"/>
    <s v="De 22 a 24 años"/>
    <n v="22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conocimientos administrativos"/>
    <s v="Falta de conocimientos administrativos"/>
    <s v="No conozco programas de ese tipo"/>
    <s v="Puedo hacerlo con dificultad"/>
    <s v="Puedo hacerlo con dificultad"/>
    <s v="Puedo hacerlo con ayuda"/>
    <s v="Puedo hacerlo sin ayuda"/>
    <s v="No puedo hacerlo"/>
    <s v="Herramientas digitales"/>
    <s v="Distancia"/>
    <s v="Oficina de orientación laboral"/>
    <s v="Presencial y virtual"/>
    <s v="Fines de semana"/>
    <s v="Redes sociales"/>
  </r>
  <r>
    <x v="203"/>
    <x v="0"/>
    <s v="SI, ACEPTO PARTICIPAR"/>
    <s v="Masculino"/>
    <s v="De 24 a 26 años"/>
    <n v="24"/>
    <s v="URBANA"/>
    <s v="Tecnólogo"/>
    <s v="Trabajo de manera independiente"/>
    <s v="Trabajo independiente"/>
    <s v="De 7 a 12 meses"/>
    <s v="Parcialmente"/>
    <s v="4- Muy insatisfecho/a"/>
    <s v="Salario"/>
    <s v="No estoy seguro/a"/>
    <s v="Entre 4 y 6 meses"/>
    <s v="No"/>
    <s v="Sí"/>
    <s v="Redes sociales"/>
    <s v="Dificultades con la hoja de vida"/>
    <s v="No"/>
    <s v=""/>
    <s v=""/>
    <s v=""/>
    <s v=""/>
    <s v=""/>
    <s v="Puedo hacerlo sin ayuda"/>
    <s v="Puedo hacerlo sin ayuda"/>
    <s v="Puedo hacerlo con dificultad"/>
    <s v="Puedo hacerlo sin ayuda"/>
    <s v="Puedo hacerlo con ayuda"/>
    <s v="Educación financiera"/>
    <s v="Distancia"/>
    <s v="Ferias de empleo"/>
    <s v="Me es indiferente"/>
    <s v="Nocturno"/>
    <s v="Celular"/>
  </r>
  <r>
    <x v="204"/>
    <x v="0"/>
    <s v="SI, ACEPTO PARTICIPAR"/>
    <s v="Masculino"/>
    <s v="De 26 a 28 años"/>
    <n v="27"/>
    <s v="URBANA"/>
    <s v="Profesional"/>
    <s v="Busco mi primer empleo"/>
    <s v=""/>
    <s v=""/>
    <s v=""/>
    <s v=""/>
    <s v=""/>
    <s v=""/>
    <s v="Menos de 1 mes"/>
    <s v="No"/>
    <s v="No"/>
    <s v="Familiares o conocidos;Empresas directamente"/>
    <s v="Falta de formación"/>
    <s v="No"/>
    <s v=""/>
    <s v=""/>
    <s v=""/>
    <s v=""/>
    <s v=""/>
    <s v="Puedo hacerlo con ayuda"/>
    <s v="Puedo hacerlo con ayuda"/>
    <s v="No puedo hacerlo"/>
    <s v="No puedo hacerlo"/>
    <s v="Puedo hacerlo con ayuda"/>
    <s v="Crear una hoja de vida;Preparación para entrevista"/>
    <s v="Falta de experiencia;Falta de información"/>
    <s v="No conozco ninguno"/>
    <s v="Presencial"/>
    <s v="Mañana entre semana"/>
    <s v="Correo electrónico"/>
  </r>
  <r>
    <x v="205"/>
    <x v="0"/>
    <s v="SI, ACEPTO PARTICIPAR"/>
    <s v="Femenino"/>
    <s v="De 18 a 20 años"/>
    <n v="19"/>
    <s v="URBANA"/>
    <s v="Técnico"/>
    <s v="Trabajo actualmente como empleado"/>
    <s v="Empleado con contrato"/>
    <s v="De 3 a 6 meses"/>
    <s v="No"/>
    <s v="2- Satisfecho/a"/>
    <s v="Estabilidad laboral"/>
    <s v="Sí"/>
    <s v="Menos de 1 mes"/>
    <s v="Sí"/>
    <s v="No"/>
    <s v="Redes sociales"/>
    <s v="Transporte"/>
    <s v="No"/>
    <s v=""/>
    <s v=""/>
    <s v=""/>
    <s v=""/>
    <s v=""/>
    <s v="Puedo hacerlo con dificultad"/>
    <s v="Puedo hacerlo con dificultad"/>
    <s v="Puedo hacerlo con ayuda"/>
    <s v="Puedo hacerlo con ayuda"/>
    <s v="Puedo hacerlo con dificultad"/>
    <s v="Comunicación;Liderazgo"/>
    <s v="Falta de experiencia;Falta de información"/>
    <s v="Ferias de empleo"/>
    <s v="Presencial y virtual"/>
    <s v="Fines de semana"/>
    <s v="Redes sociales"/>
  </r>
  <r>
    <x v="206"/>
    <x v="0"/>
    <s v="SI, ACEPTO PARTICIPAR"/>
    <s v="Femenino"/>
    <s v="De 20 a 22 años"/>
    <n v="21"/>
    <s v="URBANA"/>
    <s v="Tecnólogo"/>
    <s v="Trabajo de manera independiente"/>
    <s v="Trabajo independiente"/>
    <s v="Más de un año"/>
    <s v="No"/>
    <s v="4- Muy insatisfecho/a"/>
    <s v="Estabilidad laboral"/>
    <s v="Sí"/>
    <s v="Menos de 1 mes"/>
    <s v="Tengo una pero necesito actualizarla"/>
    <s v="No"/>
    <s v="Redes sociales"/>
    <s v="Dificultades con la hoja de vida"/>
    <s v="No"/>
    <s v=""/>
    <s v=""/>
    <s v=""/>
    <s v=""/>
    <s v=""/>
    <s v="No puedo hacerlo"/>
    <s v="No puedo hacerlo"/>
    <s v="Puedo hacerlo con dificultad"/>
    <s v="Puedo hacerlo con dificultad"/>
    <s v="Puedo hacerlo sin ayuda"/>
    <s v="Herramientas digitales;Educación financiera"/>
    <s v="Falta de experiencia;Falta de información"/>
    <s v="Programas de emprendimiento"/>
    <s v="Me es indiferente"/>
    <s v="Nocturno"/>
    <s v="WhatsApp"/>
  </r>
  <r>
    <x v="207"/>
    <x v="0"/>
    <s v="SI, ACEPTO PARTICIPAR"/>
    <s v="Masculino"/>
    <s v="De 22 a 24 años"/>
    <n v="23"/>
    <s v="URBANA"/>
    <s v="Profesional"/>
    <s v="Busco mi primer empleo"/>
    <s v=""/>
    <s v=""/>
    <s v=""/>
    <s v=""/>
    <s v=""/>
    <s v=""/>
    <s v="Más de 6 meses"/>
    <s v="No"/>
    <s v="No"/>
    <s v="Familiares o conocidos;Empresas directamente"/>
    <s v="Falta de formación"/>
    <s v="No"/>
    <s v=""/>
    <s v=""/>
    <s v=""/>
    <s v=""/>
    <s v=""/>
    <s v="Puedo hacerlo con dificultad"/>
    <s v="Puedo hacerlo con dificultad"/>
    <s v="No puedo hacerlo"/>
    <s v="Puedo hacerlo con dificultad"/>
    <s v="Puedo hacerlo sin ayuda"/>
    <s v="Crear una hoja de vida"/>
    <s v="Costos de transporte;Distancia"/>
    <s v="Oficina de orientación laboral"/>
    <s v="Presencial"/>
    <s v="Mañana entre semana"/>
    <s v="Correo electrónico"/>
  </r>
  <r>
    <x v="208"/>
    <x v="0"/>
    <s v="SI, ACEPTO PARTICIPAR"/>
    <s v="Femenino"/>
    <s v="De 24 a 26 años"/>
    <n v="25"/>
    <s v="URBANA"/>
    <s v="Profesional"/>
    <s v="Trabajo actualmente como empleado"/>
    <s v="Empleado con contrato"/>
    <s v="De 7 a 12 meses"/>
    <s v="Sí, completamente"/>
    <s v="3- Insatisfecho/a"/>
    <s v="Estabilidad laboral"/>
    <s v="Sí"/>
    <s v="Más de 6 meses"/>
    <s v="Sí"/>
    <s v="Sí"/>
    <s v="Familiares o conocidos"/>
    <s v="Transporte"/>
    <s v="Sí"/>
    <s v=""/>
    <s v=""/>
    <s v=""/>
    <s v=""/>
    <s v=""/>
    <s v="Puedo hacerlo sin ayuda"/>
    <s v="Puedo hacerlo sin ayuda"/>
    <s v="Puedo hacerlo con ayuda"/>
    <s v="Puedo hacerlo sin ayuda"/>
    <s v="No puedo hacerlo"/>
    <s v="Preparación para entrevista"/>
    <s v="Costos de transporte;Distancia"/>
    <s v="Programas de emprendimiento"/>
    <s v="Virtual"/>
    <s v="Fines de semana"/>
    <s v="Celular"/>
  </r>
  <r>
    <x v="209"/>
    <x v="0"/>
    <s v="SI, ACEPTO PARTICIPAR"/>
    <s v="Femenino"/>
    <s v="De 26 a 28 años"/>
    <n v="28"/>
    <s v="URBANA"/>
    <s v="Posgrado"/>
    <s v="Actualmente no trabajo y estoy buscando empleo"/>
    <s v=""/>
    <s v=""/>
    <s v=""/>
    <s v=""/>
    <s v=""/>
    <s v=""/>
    <s v="Menos de 1 mes"/>
    <s v="Tengo una pero necesito actualizarla"/>
    <s v="Sí"/>
    <s v="Familiares o conocidos"/>
    <s v="Horarios disponibles"/>
    <s v="Sí"/>
    <s v=""/>
    <s v=""/>
    <s v=""/>
    <s v=""/>
    <s v=""/>
    <s v="Puedo hacerlo con ayuda"/>
    <s v="Puedo hacerlo con ayuda"/>
    <s v="Puedo hacerlo con dificultad"/>
    <s v="No puedo hacerlo"/>
    <s v="No puedo hacerlo"/>
    <s v="Comunicación"/>
    <s v="Costos de transporte;Distancia"/>
    <s v="No conozco ninguno"/>
    <s v="Presencial y virtual"/>
    <s v="Nocturno"/>
    <s v="WhatsApp"/>
  </r>
  <r>
    <x v="210"/>
    <x v="0"/>
    <s v="SI, ACEPTO PARTICIPAR"/>
    <s v="Masculino"/>
    <s v="De 18 a 20 años"/>
    <n v="18"/>
    <s v="URBANA"/>
    <s v="Bachiller"/>
    <s v="Estudio y quiero comenzar a trabajar"/>
    <s v=""/>
    <s v=""/>
    <s v=""/>
    <s v=""/>
    <s v=""/>
    <s v=""/>
    <s v="Todavía no he iniciado una búsqueda activa"/>
    <s v="Sí"/>
    <s v="No"/>
    <s v="No sé dónde buscar"/>
    <s v="Internet"/>
    <s v="No"/>
    <s v=""/>
    <s v=""/>
    <s v=""/>
    <s v=""/>
    <s v=""/>
    <s v="Puedo hacerlo con dificultad"/>
    <s v="Puedo hacerlo con dificultad"/>
    <s v="No puedo hacerlo"/>
    <s v="Puedo hacerlo con ayuda"/>
    <s v="Puedo hacerlo con ayuda"/>
    <s v="Liderazgo"/>
    <s v="Falta de información"/>
    <s v="Ferias de empleo"/>
    <s v="Me es indiferente"/>
    <s v="Mañana entre semana"/>
    <s v="Redes sociales"/>
  </r>
  <r>
    <x v="211"/>
    <x v="0"/>
    <s v="SI, ACEPTO PARTICIPAR"/>
    <s v="Masculino"/>
    <s v="De 20 a 22 años"/>
    <n v="20"/>
    <s v="URBANA"/>
    <s v="Bachiller"/>
    <s v="Trabajo actualmente como empleado"/>
    <s v="Empleado con contrato"/>
    <s v="Más de un año"/>
    <s v="Parcialmente"/>
    <s v="3- Insatisfecho/a"/>
    <s v="Estabilidad laboral"/>
    <s v="Sí"/>
    <s v="Entre 1 y 3 meses"/>
    <s v="Sí"/>
    <s v="No"/>
    <s v="Familiares o conocidos"/>
    <s v="Transporte"/>
    <s v="Sí"/>
    <s v=""/>
    <s v=""/>
    <s v=""/>
    <s v=""/>
    <s v=""/>
    <s v="No puedo hacerlo"/>
    <s v="No puedo hacerlo"/>
    <s v="Puedo hacerlo con ayuda"/>
    <s v="Puedo hacerlo con ayuda"/>
    <s v="Puedo hacerlo con dificultad"/>
    <s v="Emprendimiento"/>
    <s v="Falta de información"/>
    <s v="No conozco ninguno"/>
    <s v="Presencial"/>
    <s v="Diurno"/>
    <s v="Celular"/>
  </r>
  <r>
    <x v="212"/>
    <x v="0"/>
    <s v="SI, ACEPTO PARTICIPAR"/>
    <s v="Femenino"/>
    <s v="De 22 a 24 años"/>
    <n v="22"/>
    <s v="URBANA"/>
    <s v="Bachiller"/>
    <s v="Actualmente no trabajo y estoy buscando empleo"/>
    <s v=""/>
    <s v=""/>
    <s v=""/>
    <s v=""/>
    <s v=""/>
    <s v=""/>
    <s v="Más de 6 meses"/>
    <s v="Tengo una pero necesito actualizarla"/>
    <s v="No"/>
    <s v="Familiares o conocidos"/>
    <s v="Horarios disponibles"/>
    <s v="Sí"/>
    <s v=""/>
    <s v=""/>
    <s v=""/>
    <s v=""/>
    <s v=""/>
    <s v="Puedo hacerlo con dificultad"/>
    <s v="Puedo hacerlo con dificultad"/>
    <s v="Puedo hacerlo con dificultad"/>
    <s v="Puedo hacerlo con dificultad"/>
    <s v="Puedo hacerlo con dificultad"/>
    <s v="Herramientas digitales"/>
    <s v="Falta de información"/>
    <s v="Oficina de orientación laboral"/>
    <s v="Virtual"/>
    <s v="Nocturno"/>
    <s v="Correo electrónico"/>
  </r>
  <r>
    <x v="213"/>
    <x v="0"/>
    <s v="SI, ACEPTO PARTICIPAR"/>
    <s v="Femenino"/>
    <s v="De 24 a 26 años"/>
    <n v="24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conocimientos financieros"/>
    <s v="Falta de conocimientos financieros"/>
    <s v="Sí"/>
    <s v="Puedo hacerlo sin ayuda"/>
    <s v="Puedo hacerlo sin ayuda"/>
    <s v="Puedo hacerlo sin ayuda"/>
    <s v="Puedo hacerlo sin ayuda"/>
    <s v="Puedo hacerlo sin ayuda"/>
    <s v="Educación financiera"/>
    <s v="Horarios"/>
    <s v="Programas de emprendimiento"/>
    <s v="Presencial y virtual"/>
    <s v="Mañana entre semana"/>
    <s v="Redes sociales"/>
  </r>
  <r>
    <x v="214"/>
    <x v="0"/>
    <s v="SI, ACEPTO PARTICIPAR"/>
    <s v="Masculino"/>
    <s v="De 26 a 28 años"/>
    <n v="26"/>
    <s v="URBANA"/>
    <s v="Tecnólogo"/>
    <s v="Trabajo actualmente como empleado"/>
    <s v="Empleado sin contrato formal"/>
    <s v="Menos de 3 meses"/>
    <s v="No"/>
    <s v="3- Insatisfecho/a"/>
    <s v="Estabilidad laboral"/>
    <s v="No"/>
    <s v="Todavía no he iniciado una búsqueda activa"/>
    <s v="Sí"/>
    <s v="Sí"/>
    <s v="Familiares o conocidos"/>
    <s v="Internet"/>
    <s v="Sí"/>
    <s v=""/>
    <s v=""/>
    <s v=""/>
    <s v=""/>
    <s v=""/>
    <s v="Puedo hacerlo con ayuda"/>
    <s v="Puedo hacerlo con ayuda"/>
    <s v="Puedo hacerlo con ayuda"/>
    <s v="No puedo hacerlo"/>
    <s v="Puedo hacerlo sin ayuda"/>
    <s v="Crear una hoja de vida;Preparación para entrevista"/>
    <s v="Horarios"/>
    <s v="Oficina de orientación laboral"/>
    <s v="Me es indiferente"/>
    <s v="Diurno"/>
    <s v="WhatsApp"/>
  </r>
  <r>
    <x v="215"/>
    <x v="0"/>
    <s v="SI, ACEPTO PARTICIPAR"/>
    <s v="Femenino"/>
    <s v="De 18 a 20 años"/>
    <n v="19"/>
    <s v="URBANA"/>
    <s v="Bachiller"/>
    <s v="Actualmente no trabajo y estoy buscando empleo"/>
    <s v=""/>
    <s v=""/>
    <s v=""/>
    <s v=""/>
    <s v=""/>
    <s v=""/>
    <s v="Entre 4 y 6 meses"/>
    <s v="Tengo una pero necesito actualizarla"/>
    <s v="Sí"/>
    <s v="Familiares o conocidos"/>
    <s v="Horarios disponibles"/>
    <s v="Sí"/>
    <s v=""/>
    <s v=""/>
    <s v=""/>
    <s v=""/>
    <s v=""/>
    <s v="Puedo hacerlo con dificultad"/>
    <s v="Puedo hacerlo con dificultad"/>
    <s v="Puedo hacerlo con dificultad"/>
    <s v="No puedo hacerlo"/>
    <s v="No puedo hacerlo"/>
    <s v="Comunicación;Liderazgo"/>
    <s v="Horarios"/>
    <s v="Ferias de empleo"/>
    <s v="Presencial"/>
    <s v="Nocturno"/>
    <s v="Correo electrónico"/>
  </r>
  <r>
    <x v="216"/>
    <x v="0"/>
    <s v="SI, ACEPTO PARTICIPAR"/>
    <s v="Femenino"/>
    <s v="De 20 a 22 años"/>
    <n v="21"/>
    <s v="URBANA"/>
    <s v="Técnico"/>
    <s v="Trabajo actualmente como empleado"/>
    <s v="Empleado con contrato"/>
    <s v="De 3 a 6 meses"/>
    <s v="Sí, completamente"/>
    <s v="4- Muy insatisfecho/a"/>
    <s v="Estabilidad laboral"/>
    <s v="No estoy seguro/a"/>
    <s v="Entre 4 y 6 meses"/>
    <s v="Sí"/>
    <s v="No"/>
    <s v="Empresas directamente"/>
    <s v="Internet"/>
    <s v="No"/>
    <s v=""/>
    <s v=""/>
    <s v=""/>
    <s v=""/>
    <s v=""/>
    <s v="No puedo hacerlo"/>
    <s v="No puedo hacerlo"/>
    <s v="Puedo hacerlo sin ayuda"/>
    <s v="Puedo hacerlo con ayuda"/>
    <s v="Puedo hacerlo con ayuda"/>
    <s v="Herramientas digitales;Educación financiera"/>
    <s v="Costos de transporte"/>
    <s v="No conozco ninguno"/>
    <s v="Virtual"/>
    <s v="Mañana entre semana"/>
    <s v="Celular"/>
  </r>
  <r>
    <x v="217"/>
    <x v="0"/>
    <s v="SI, ACEPTO PARTICIPAR"/>
    <s v="Masculino"/>
    <s v="De 22 a 24 años"/>
    <n v="23"/>
    <s v="URBANA"/>
    <s v="Tecnólogo"/>
    <s v="Trabajo de manera independiente"/>
    <s v="Trabajo independiente"/>
    <s v="Menos de 3 meses"/>
    <s v="Sí, completamente"/>
    <s v="1- Muy satisfecho/a"/>
    <s v="Estabilidad laboral"/>
    <s v="No"/>
    <s v="Todavía no he iniciado una búsqueda activa"/>
    <s v="Tengo una pero necesito actualizarla"/>
    <s v="Sí"/>
    <s v="Familiares o conocidos"/>
    <s v="Horarios disponibles"/>
    <s v="Sí"/>
    <s v=""/>
    <s v=""/>
    <s v=""/>
    <s v=""/>
    <s v=""/>
    <s v="Puedo hacerlo con dificultad"/>
    <s v="Puedo hacerlo con dificultad"/>
    <s v="Puedo hacerlo con ayuda"/>
    <s v="Puedo hacerlo con dificultad"/>
    <s v="Puedo hacerlo con ayuda"/>
    <s v="Crear una hoja de vida"/>
    <s v="Costos de transporte"/>
    <s v="Ferias de empleo"/>
    <s v="Presencial y virtual"/>
    <s v="Diurno"/>
    <s v="WhatsApp"/>
  </r>
  <r>
    <x v="218"/>
    <x v="0"/>
    <s v="SI, ACEPTO PARTICIPAR"/>
    <s v="Masculino"/>
    <s v="De 24 a 26 años"/>
    <n v="25"/>
    <s v="URBANA"/>
    <s v="Profesional"/>
    <s v="Busco mi primer empleo"/>
    <s v=""/>
    <s v=""/>
    <s v=""/>
    <s v=""/>
    <s v=""/>
    <s v=""/>
    <s v="Entre 4 y 6 meses"/>
    <s v="No"/>
    <s v="No"/>
    <s v="Portales de empleo"/>
    <s v="Falta de formación"/>
    <s v="Sí"/>
    <s v=""/>
    <s v=""/>
    <s v=""/>
    <s v=""/>
    <s v=""/>
    <s v="Puedo hacerlo sin ayuda"/>
    <s v="Puedo hacerlo sin ayuda"/>
    <s v="Puedo hacerlo con dificultad"/>
    <s v="Puedo hacerlo sin ayuda"/>
    <s v="Puedo hacerlo con dificultad"/>
    <s v="Preparación para entrevista"/>
    <s v="Costos de transporte"/>
    <s v="Programas de emprendimiento"/>
    <s v="Me es indiferente"/>
    <s v="Nocturno"/>
    <s v="Redes sociales"/>
  </r>
  <r>
    <x v="219"/>
    <x v="0"/>
    <s v="SI, ACEPTO PARTICIPAR"/>
    <s v="Femenino"/>
    <s v="De 26 a 28 años"/>
    <n v="27"/>
    <s v="URBANA"/>
    <s v="Profesional"/>
    <s v="Trabajo actualmente como empleado"/>
    <s v="Empleado con contrato"/>
    <s v="De 7 a 12 meses"/>
    <s v="Parcialmente"/>
    <s v="4- Muy insatisfecho/a"/>
    <s v="Horario"/>
    <s v="Sí"/>
    <s v="Menos de 1 mes"/>
    <s v="No"/>
    <s v="Sí"/>
    <s v="Empresas directamente"/>
    <s v="Internet"/>
    <s v="No"/>
    <s v=""/>
    <s v=""/>
    <s v=""/>
    <s v=""/>
    <s v=""/>
    <s v="Puedo hacerlo con ayuda"/>
    <s v="Puedo hacerlo con ayuda"/>
    <s v="Puedo hacerlo sin ayuda"/>
    <s v="Puedo hacerlo sin ayuda"/>
    <s v="Puedo hacerlo con dificultad"/>
    <s v="Comunicación"/>
    <s v="Horarios;Falta de información"/>
    <s v="Oficina de orientación laboral"/>
    <s v="Presencial"/>
    <s v="Mañana entre semana"/>
    <s v="Celular"/>
  </r>
  <r>
    <x v="220"/>
    <x v="0"/>
    <s v="SI, ACEPTO PARTICIPAR"/>
    <s v="Femenino"/>
    <s v="De 18 a 20 años"/>
    <n v="18"/>
    <s v="URBANA"/>
    <s v="Tecnólogo"/>
    <s v="Trabajo de manera independiente"/>
    <s v="Trabajo independiente"/>
    <s v="De 3 a 6 meses"/>
    <s v="Parcialmente"/>
    <s v="1- Muy satisfecho/a"/>
    <s v="Estabilidad laboral"/>
    <s v="No"/>
    <s v="Todavía no he iniciado una búsqueda activa"/>
    <s v="Tengo una pero necesito actualizarla"/>
    <s v="No"/>
    <s v="Familiares o conocidos"/>
    <s v="Horarios disponibles"/>
    <s v="Sí"/>
    <s v=""/>
    <s v=""/>
    <s v=""/>
    <s v=""/>
    <s v=""/>
    <s v="Puedo hacerlo con dificultad"/>
    <s v="Puedo hacerlo con dificultad"/>
    <s v="Puedo hacerlo con ayuda"/>
    <s v="No puedo hacerlo"/>
    <s v="Puedo hacerlo sin ayuda"/>
    <s v="Liderazgo"/>
    <s v="Horarios;Falta de información"/>
    <s v="Programas de emprendimiento"/>
    <s v="Virtual"/>
    <s v="Diurno"/>
    <s v="Correo electrónico"/>
  </r>
  <r>
    <x v="221"/>
    <x v="0"/>
    <s v="SI, ACEPTO PARTICIPAR"/>
    <s v="Masculino"/>
    <s v="De 20 a 22 años"/>
    <n v="20"/>
    <s v="URBANA"/>
    <s v="Tecnólogo"/>
    <s v="Estudio y quiero comenzar a trabajar"/>
    <s v=""/>
    <s v=""/>
    <s v=""/>
    <s v=""/>
    <s v=""/>
    <s v=""/>
    <s v="Entre 4 y 6 meses"/>
    <s v="Sí"/>
    <s v="Sí"/>
    <s v="Portales de empleo;Redes sociales"/>
    <s v="Falta de experiencia"/>
    <s v="Sí"/>
    <s v=""/>
    <s v=""/>
    <s v=""/>
    <s v=""/>
    <s v=""/>
    <s v="No puedo hacerlo"/>
    <s v="No puedo hacerlo"/>
    <s v="Puedo hacerlo con dificultad"/>
    <s v="Puedo hacerlo con ayuda"/>
    <s v="No puedo hacerlo"/>
    <s v="Emprendimiento"/>
    <s v="Horarios;Falta de información"/>
    <s v="No conozco ninguno"/>
    <s v="Presencial y virtual"/>
    <s v="Nocturno"/>
    <s v="Redes sociales"/>
  </r>
  <r>
    <x v="222"/>
    <x v="0"/>
    <s v="SI, ACEPTO PARTICIPAR"/>
    <s v="Femenino"/>
    <s v="De 22 a 24 años"/>
    <n v="22"/>
    <s v="URBANA"/>
    <s v="Profesional"/>
    <s v="Trabajo actualmente como empleado"/>
    <s v="Empleado con contrato"/>
    <s v="Más de un año"/>
    <s v="No"/>
    <s v="4- Muy insatisfecho/a"/>
    <s v="Horario"/>
    <s v="Sí"/>
    <s v="Más de 6 meses"/>
    <s v="No"/>
    <s v="No"/>
    <s v="Empresas directamente"/>
    <s v="Internet"/>
    <s v="No"/>
    <s v=""/>
    <s v=""/>
    <s v=""/>
    <s v=""/>
    <s v=""/>
    <s v="Puedo hacerlo con dificultad"/>
    <s v="Puedo hacerlo con dificultad"/>
    <s v="Puedo hacerlo sin ayuda"/>
    <s v="Puedo hacerlo con dificultad"/>
    <s v="No puedo hacerlo"/>
    <s v="Herramientas digitales"/>
    <s v="Ninguna"/>
    <s v="Ferias de empleo"/>
    <s v="Presencial"/>
    <s v="Mañana entre semana"/>
    <s v="WhatsApp"/>
  </r>
  <r>
    <x v="223"/>
    <x v="0"/>
    <s v="SI, ACEPTO PARTICIPAR"/>
    <s v="Femenino"/>
    <s v="De 24 a 26 años"/>
    <n v="24"/>
    <s v="URBANA"/>
    <s v="Posgrado"/>
    <s v="Actualmente no trabajo y estoy buscando empleo"/>
    <s v=""/>
    <s v=""/>
    <s v=""/>
    <s v=""/>
    <s v=""/>
    <s v=""/>
    <s v="Entre 1 y 3 meses"/>
    <s v="Tengo una pero necesito actualizarla"/>
    <s v="No"/>
    <s v="Empresas directamente"/>
    <s v="Horarios disponibles"/>
    <s v="No"/>
    <s v=""/>
    <s v=""/>
    <s v=""/>
    <s v=""/>
    <s v=""/>
    <s v="Puedo hacerlo sin ayuda"/>
    <s v="Puedo hacerlo sin ayuda"/>
    <s v="Puedo hacerlo con ayuda"/>
    <s v="Puedo hacerlo con dificultad"/>
    <s v="Puedo hacerlo con ayuda"/>
    <s v="Educación financiera"/>
    <s v="Ninguna"/>
    <s v="No conozco ninguno"/>
    <s v="Virtual"/>
    <s v="Diurno"/>
    <s v="Correo electrónico"/>
  </r>
  <r>
    <x v="224"/>
    <x v="0"/>
    <s v="SI, ACEPTO PARTICIPAR"/>
    <s v="Masculino"/>
    <s v="De 26 a 28 años"/>
    <n v="28"/>
    <s v="URBANA"/>
    <s v="Técnico"/>
    <s v="Estudio y quiero comenzar a trabajar"/>
    <s v=""/>
    <s v=""/>
    <s v=""/>
    <s v=""/>
    <s v=""/>
    <s v=""/>
    <s v="Menos de 1 mes"/>
    <s v="Sí"/>
    <s v="No"/>
    <s v="Portales de empleo;Redes sociales"/>
    <s v="Falta de experiencia"/>
    <s v="Sí"/>
    <s v=""/>
    <s v=""/>
    <s v=""/>
    <s v=""/>
    <s v=""/>
    <s v="Puedo hacerlo con ayuda"/>
    <s v="Puedo hacerlo con ayuda"/>
    <s v="Puedo hacerlo con dificultad"/>
    <s v="Puedo hacerlo sin ayuda"/>
    <s v="Puedo hacerlo con dificultad"/>
    <s v="Crear una hoja de vida;Preparación para entrevista"/>
    <s v="Ninguna"/>
    <s v="Oficina de orientación laboral"/>
    <s v="Presencial y virtual"/>
    <s v="Nocturno"/>
    <s v="Celular"/>
  </r>
  <r>
    <x v="225"/>
    <x v="0"/>
    <s v="SI, ACEPTO PARTICIPAR"/>
    <s v="Masculino"/>
    <s v="De 18 a 20 años"/>
    <n v="19"/>
    <s v="URBANA"/>
    <s v="Bachiller"/>
    <s v="Trabajo actualmente como empleado"/>
    <s v="Empleado sin contrato formal"/>
    <s v="Menos de 3 meses"/>
    <s v="Sí, completamente"/>
    <s v="1- Muy satisfecho/a"/>
    <s v="Horario"/>
    <s v="No"/>
    <s v="Todavía no he iniciado una búsqueda activa"/>
    <s v="No"/>
    <s v="Sí"/>
    <s v="Ferias de empleo"/>
    <s v="Falta de experiencia"/>
    <s v="Sí"/>
    <s v=""/>
    <s v=""/>
    <s v=""/>
    <s v=""/>
    <s v=""/>
    <s v="Puedo hacerlo con dificultad"/>
    <s v="Puedo hacerlo con dificultad"/>
    <s v="Puedo hacerlo sin ayuda"/>
    <s v="No puedo hacerlo"/>
    <s v="Puedo hacerlo con dificultad"/>
    <s v="Comunicación;Liderazgo"/>
    <s v="Falta de experiencia"/>
    <s v="Programas de emprendimiento"/>
    <s v="Me es indiferente"/>
    <s v="Fines de semana"/>
    <s v="WhatsApp"/>
  </r>
  <r>
    <x v="226"/>
    <x v="0"/>
    <s v="SI, ACEPTO PARTICIPAR"/>
    <s v="Femenino"/>
    <s v="De 20 a 22 años"/>
    <n v="21"/>
    <s v="URBANA"/>
    <s v="Bachiller"/>
    <s v="Actualmente no trabajo y estoy buscando empleo"/>
    <s v=""/>
    <s v=""/>
    <s v=""/>
    <s v=""/>
    <s v=""/>
    <s v=""/>
    <s v="Menos de 1 mes"/>
    <s v="Tengo una pero necesito actualizarla"/>
    <s v="Sí"/>
    <s v="Empresas directamente"/>
    <s v="Transporte"/>
    <s v="No"/>
    <s v=""/>
    <s v=""/>
    <s v=""/>
    <s v=""/>
    <s v=""/>
    <s v="No puedo hacerlo"/>
    <s v="No puedo hacerlo"/>
    <s v="No puedo hacerlo"/>
    <s v="Puedo hacerlo con ayuda"/>
    <s v="Puedo hacerlo sin ayuda"/>
    <s v="Herramientas digitales;Educación financiera"/>
    <s v="Falta de experiencia"/>
    <s v="Oficina de orientación laboral"/>
    <s v="Presencial"/>
    <s v="Diurno"/>
    <s v="Redes sociales"/>
  </r>
  <r>
    <x v="227"/>
    <x v="0"/>
    <s v="SI, ACEPTO PARTICIPAR"/>
    <s v="Femenino"/>
    <s v="De 22 a 24 años"/>
    <n v="23"/>
    <s v="URBANA"/>
    <s v="Técnic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tiempo"/>
    <s v="Falta de tiempo"/>
    <s v="Sí"/>
    <s v="Puedo hacerlo con dificultad"/>
    <s v="Puedo hacerlo con dificultad"/>
    <s v="Puedo hacerlo con dificultad"/>
    <s v="Puedo hacerlo con ayuda"/>
    <s v="Puedo hacerlo sin ayuda"/>
    <s v="Crear una hoja de vida"/>
    <s v="Falta de experiencia"/>
    <s v="Ferias de empleo"/>
    <s v="Virtual"/>
    <s v="Nocturno"/>
    <s v="WhatsApp"/>
  </r>
  <r>
    <x v="228"/>
    <x v="0"/>
    <s v="SI, ACEPTO PARTICIPAR"/>
    <s v="Masculino"/>
    <s v="De 24 a 26 años"/>
    <n v="25"/>
    <s v="URBANA"/>
    <s v="Tecnólogo"/>
    <s v="Trabajo de manera independiente"/>
    <s v="Trabajo independiente"/>
    <s v="De 7 a 12 meses"/>
    <s v="No"/>
    <s v="1- Muy satisfecho/a"/>
    <s v="Estabilidad laboral"/>
    <s v="No"/>
    <s v="Todavía no he iniciado una búsqueda activa"/>
    <s v="Tengo una pero necesito actualizarla"/>
    <s v="Sí"/>
    <s v="Familiares o conocidos"/>
    <s v="Horarios disponibles"/>
    <s v="Sí"/>
    <s v=""/>
    <s v=""/>
    <s v=""/>
    <s v=""/>
    <s v=""/>
    <s v="Puedo hacerlo sin ayuda"/>
    <s v="Puedo hacerlo sin ayuda"/>
    <s v="Puedo hacerlo sin ayuda"/>
    <s v="Puedo hacerlo con dificultad"/>
    <s v="No puedo hacerlo"/>
    <s v="Preparación para entrevista"/>
    <s v="Distancia"/>
    <s v="No conozco ninguno"/>
    <s v="Presencial y virtual"/>
    <s v="Fines de semana"/>
    <s v="Correo electrónico"/>
  </r>
  <r>
    <x v="229"/>
    <x v="0"/>
    <s v="SI, ACEPTO PARTICIPAR"/>
    <s v="Femenino"/>
    <s v="De 26 a 28 años"/>
    <n v="26"/>
    <s v="URBANA"/>
    <s v="Profesional"/>
    <s v="Busco mi primer empleo"/>
    <s v=""/>
    <s v=""/>
    <s v=""/>
    <s v=""/>
    <s v=""/>
    <s v=""/>
    <s v="Entre 1 y 3 meses"/>
    <s v="No"/>
    <s v="No"/>
    <s v="Portales de empleo"/>
    <s v="Falta de formación"/>
    <s v="Sí"/>
    <s v=""/>
    <s v=""/>
    <s v=""/>
    <s v=""/>
    <s v=""/>
    <s v="Puedo hacerlo con ayuda"/>
    <s v="Puedo hacerlo con ayuda"/>
    <s v="No puedo hacerlo"/>
    <s v="Puedo hacerlo sin ayuda"/>
    <s v="Puedo hacerlo con ayuda"/>
    <s v="Comunicación"/>
    <s v="Distancia"/>
    <s v="Ferias de empleo"/>
    <s v="Me es indiferente"/>
    <s v="Diurno"/>
    <s v="Celular"/>
  </r>
  <r>
    <x v="230"/>
    <x v="0"/>
    <s v="SI, ACEPTO PARTICIPAR"/>
    <s v="Femenino"/>
    <s v="De 18 a 20 años"/>
    <n v="18"/>
    <s v="URBANA"/>
    <s v="Técnico"/>
    <s v="Trabajo actualmente como empleado"/>
    <s v="Empleado con contrato"/>
    <s v="De 3 a 6 meses"/>
    <s v="Parcialmente"/>
    <s v="1- Muy satisfecho/a"/>
    <s v="Horario"/>
    <s v="No"/>
    <s v="Todavía no he iniciado una búsqueda activa"/>
    <s v="No"/>
    <s v="No"/>
    <s v="Ferias de empleo"/>
    <s v="Falta de experiencia"/>
    <s v="Sí"/>
    <s v=""/>
    <s v=""/>
    <s v=""/>
    <s v=""/>
    <s v=""/>
    <s v="Puedo hacerlo con dificultad"/>
    <s v="Puedo hacerlo con dificultad"/>
    <s v="Puedo hacerlo con dificultad"/>
    <s v="No puedo hacerlo"/>
    <s v="Puedo hacerlo con ayuda"/>
    <s v="Liderazgo"/>
    <s v="Distancia"/>
    <s v="Programas de emprendimiento"/>
    <s v="Presencial"/>
    <s v="Nocturno"/>
    <s v="WhatsApp"/>
  </r>
  <r>
    <x v="231"/>
    <x v="0"/>
    <s v="SI, ACEPTO PARTICIPAR"/>
    <s v="Masculino"/>
    <s v="De 20 a 22 años"/>
    <n v="20"/>
    <s v="URBANA"/>
    <s v="Tecnólogo"/>
    <s v="Trabajo de manera independiente"/>
    <s v="Trabajo independiente"/>
    <s v="Más de un año"/>
    <s v="Sí, completamente"/>
    <s v="2- Satisfecho/a"/>
    <s v="Estabilidad laboral"/>
    <s v="No estoy seguro/a"/>
    <s v="Entre 4 y 6 meses"/>
    <s v="Tengo una pero necesito actualizarla"/>
    <s v="No"/>
    <s v="Empresas directamente"/>
    <s v="Horarios disponibles"/>
    <s v="No"/>
    <s v=""/>
    <s v=""/>
    <s v=""/>
    <s v=""/>
    <s v=""/>
    <s v="No puedo hacerlo"/>
    <s v="No puedo hacerlo"/>
    <s v="Puedo hacerlo sin ayuda"/>
    <s v="No puedo hacerlo"/>
    <s v="Puedo hacerlo con dificultad"/>
    <s v="Emprendimiento"/>
    <s v="Falta de experiencia;Falta de información"/>
    <s v="Oficina de orientación laboral"/>
    <s v="Virtual"/>
    <s v="Fines de semana"/>
    <s v="Redes sociales"/>
  </r>
  <r>
    <x v="232"/>
    <x v="0"/>
    <s v="SI, ACEPTO PARTICIPAR"/>
    <s v="Masculino"/>
    <s v="De 22 a 24 años"/>
    <n v="22"/>
    <s v="URBANA"/>
    <s v="Tecnólogo"/>
    <s v="Busco mi primer empleo"/>
    <s v=""/>
    <s v=""/>
    <s v=""/>
    <s v=""/>
    <s v=""/>
    <s v=""/>
    <s v="Menos de 1 mes"/>
    <s v="No"/>
    <s v="No"/>
    <s v="Portales de empleo"/>
    <s v="Dificultades con la hoja de vida"/>
    <s v="Sí"/>
    <s v=""/>
    <s v=""/>
    <s v=""/>
    <s v=""/>
    <s v=""/>
    <s v="Puedo hacerlo con dificultad"/>
    <s v="Puedo hacerlo con dificultad"/>
    <s v="No puedo hacerlo"/>
    <s v="Puedo hacerlo con ayuda"/>
    <s v="Puedo hacerlo con dificultad"/>
    <s v="Herramientas digitales"/>
    <s v="Falta de experiencia;Falta de información"/>
    <s v="Programas de emprendimiento"/>
    <s v="Presencial y virtual"/>
    <s v="Diurno"/>
    <s v="Celular"/>
  </r>
  <r>
    <x v="233"/>
    <x v="0"/>
    <s v="SI, ACEPTO PARTICIPAR"/>
    <s v="Femenino"/>
    <s v="De 24 a 26 años"/>
    <n v="24"/>
    <s v="URBANA"/>
    <s v="Profesional"/>
    <s v="Trabajo actualmente como empleado"/>
    <s v="Empleado con contrato"/>
    <s v="De 7 a 12 meses"/>
    <s v="No"/>
    <s v="1- Muy satisfecho/a"/>
    <s v="Horario"/>
    <s v="No estoy seguro/a"/>
    <s v="Entre 4 y 6 meses"/>
    <s v="No"/>
    <s v="Sí"/>
    <s v="Ferias de empleo"/>
    <s v="Falta de experiencia"/>
    <s v="Sí"/>
    <s v=""/>
    <s v=""/>
    <s v=""/>
    <s v=""/>
    <s v=""/>
    <s v="Puedo hacerlo sin ayuda"/>
    <s v="Puedo hacerlo sin ayuda"/>
    <s v="Puedo hacerlo con dificultad"/>
    <s v="Puedo hacerlo con dificultad"/>
    <s v="Puedo hacerlo sin ayuda"/>
    <s v="Educación financiera"/>
    <s v="Falta de experiencia;Falta de información"/>
    <s v="No conozco ninguno"/>
    <s v="Me es indiferente"/>
    <s v="Nocturno"/>
    <s v="Correo electrónico"/>
  </r>
  <r>
    <x v="234"/>
    <x v="0"/>
    <s v="SI, ACEPTO PARTICIPAR"/>
    <s v="Femenino"/>
    <s v="De 26 a 28 años"/>
    <n v="27"/>
    <s v="URBANA"/>
    <s v="Posgrado"/>
    <s v="Actualmente no trabajo y estoy buscando empleo"/>
    <s v=""/>
    <s v=""/>
    <s v=""/>
    <s v=""/>
    <s v=""/>
    <s v=""/>
    <s v="Más de 6 meses"/>
    <s v="Tengo una pero necesito actualizarla"/>
    <s v="No"/>
    <s v="Empresas directamente"/>
    <s v="Transporte"/>
    <s v="No"/>
    <s v=""/>
    <s v=""/>
    <s v=""/>
    <s v=""/>
    <s v=""/>
    <s v="Puedo hacerlo con ayuda"/>
    <s v="Puedo hacerlo con ayuda"/>
    <s v="Puedo hacerlo sin ayuda"/>
    <s v="Puedo hacerlo sin ayuda"/>
    <s v="No puedo hacerlo"/>
    <s v="Crear una hoja de vida;Preparación para entrevista"/>
    <s v="Costos de transporte;Distancia"/>
    <s v="Ferias de empleo"/>
    <s v="Presencial"/>
    <s v="Fines de semana"/>
    <s v="Redes sociales"/>
  </r>
  <r>
    <x v="235"/>
    <x v="0"/>
    <s v="SI, ACEPTO PARTICIPAR"/>
    <s v="Masculino"/>
    <s v="De 18 a 20 años"/>
    <n v="19"/>
    <s v="URBANA"/>
    <s v="Bachiller"/>
    <s v="Estudio y quiero comenzar a trabajar"/>
    <s v=""/>
    <s v=""/>
    <s v=""/>
    <s v=""/>
    <s v=""/>
    <s v=""/>
    <s v="Más de 6 meses"/>
    <s v="Sí"/>
    <s v="Sí"/>
    <s v="Portales de empleo;Redes sociales"/>
    <s v="Falta de experiencia"/>
    <s v="Sí"/>
    <s v=""/>
    <s v=""/>
    <s v=""/>
    <s v=""/>
    <s v=""/>
    <s v="Puedo hacerlo con dificultad"/>
    <s v="Puedo hacerlo con dificultad"/>
    <s v="No puedo hacerlo"/>
    <s v="Puedo hacerlo sin ayuda"/>
    <s v="No puedo hacerlo"/>
    <s v="Comunicación;Liderazgo"/>
    <s v="Costos de transporte;Distancia"/>
    <s v="No conozco ninguno"/>
    <s v="Virtual"/>
    <s v="Diurno"/>
    <s v="WhatsApp"/>
  </r>
  <r>
    <x v="236"/>
    <x v="0"/>
    <s v="SI, ACEPTO PARTICIPAR"/>
    <s v="Femenino"/>
    <s v="De 20 a 22 años"/>
    <n v="21"/>
    <s v="URBANA"/>
    <s v="Bachiller"/>
    <s v="Trabajo actualmente como empleado"/>
    <s v="Empleado con contrato"/>
    <s v="Más de un año"/>
    <s v="Sí, completamente"/>
    <s v="2- Satisfecho/a"/>
    <s v="Acceso a prestaciones"/>
    <s v="Sí"/>
    <s v="Menos de 1 mes"/>
    <s v="No"/>
    <s v="No"/>
    <s v="Instituciones públicas"/>
    <s v="Falta de experiencia"/>
    <s v="No"/>
    <s v=""/>
    <s v=""/>
    <s v=""/>
    <s v=""/>
    <s v=""/>
    <s v="No puedo hacerlo"/>
    <s v="No puedo hacerlo"/>
    <s v="Puedo hacerlo con dificultad"/>
    <s v="No puedo hacerlo"/>
    <s v="Puedo hacerlo con ayuda"/>
    <s v="Herramientas digitales;Educación financiera"/>
    <s v="Costos de transporte;Distancia"/>
    <s v="Oficina de orientación laboral"/>
    <s v="Presencial y virtual"/>
    <s v="Mañana entre semana"/>
    <s v="Correo electrónico"/>
  </r>
  <r>
    <x v="237"/>
    <x v="0"/>
    <s v="SI, ACEPTO PARTICIPAR"/>
    <s v="Femenino"/>
    <s v="De 22 a 24 años"/>
    <n v="23"/>
    <s v="URBANA"/>
    <s v="Bachiller"/>
    <s v="Actualmente no trabajo y estoy buscando empleo"/>
    <s v=""/>
    <s v=""/>
    <s v=""/>
    <s v=""/>
    <s v=""/>
    <s v=""/>
    <s v="Entre 4 y 6 meses"/>
    <s v="Sí"/>
    <s v="Sí"/>
    <s v="Ferias de empleo"/>
    <s v="Transporte"/>
    <s v="Sí"/>
    <s v=""/>
    <s v=""/>
    <s v=""/>
    <s v=""/>
    <s v=""/>
    <s v="Puedo hacerlo con dificultad"/>
    <s v="Puedo hacerlo con dificultad"/>
    <s v="Puedo hacerlo sin ayuda"/>
    <s v="Puedo hacerlo con ayuda"/>
    <s v="Puedo hacerlo con ayuda"/>
    <s v="Crear una hoja de vida"/>
    <s v="Falta de información"/>
    <s v="Programas de emprendimiento"/>
    <s v="Me es indiferente"/>
    <s v="Fines de semana"/>
    <s v="Celular"/>
  </r>
  <r>
    <x v="238"/>
    <x v="0"/>
    <s v="SI, ACEPTO PARTICIPAR"/>
    <s v="Masculino"/>
    <s v="De 24 a 26 años"/>
    <n v="25"/>
    <s v="URBANA"/>
    <s v="Bachiller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herramientas"/>
    <s v="Falta de herramientas"/>
    <s v="No"/>
    <s v="Puedo hacerlo sin ayuda"/>
    <s v="Puedo hacerlo sin ayuda"/>
    <s v="No puedo hacerlo"/>
    <s v="Puedo hacerlo con ayuda"/>
    <s v="Puedo hacerlo con dificultad"/>
    <s v="Preparación para entrevista"/>
    <s v="Falta de información"/>
    <s v="Oficina de orientación laboral"/>
    <s v="Virtual"/>
    <s v="Diurno"/>
    <s v="WhatsApp"/>
  </r>
  <r>
    <x v="239"/>
    <x v="0"/>
    <s v="SI, ACEPTO PARTICIPAR"/>
    <s v="Masculino"/>
    <s v="De 26 a 28 años"/>
    <n v="28"/>
    <s v="URBANA"/>
    <s v="Tecnólogo"/>
    <s v="Trabajo de manera independiente"/>
    <s v="Trabajo independiente"/>
    <s v="Menos de 3 meses"/>
    <s v="Parcialmente"/>
    <s v="2- Satisfecho/a"/>
    <s v="Horario"/>
    <s v="Sí"/>
    <s v="Menos de 1 mes"/>
    <s v="Tengo una pero necesito actualizarla"/>
    <s v="Sí"/>
    <s v="Empresas directamente"/>
    <s v="Transporte"/>
    <s v="No"/>
    <s v=""/>
    <s v=""/>
    <s v=""/>
    <s v=""/>
    <s v=""/>
    <s v="Puedo hacerlo con ayuda"/>
    <s v="Puedo hacerlo con ayuda"/>
    <s v="Puedo hacerlo con dificultad"/>
    <s v="Puedo hacerlo con dificultad"/>
    <s v="Puedo hacerlo sin ayuda"/>
    <s v="Comunicación"/>
    <s v="Falta de información"/>
    <s v="Ferias de empleo"/>
    <s v="Presencial y virtual"/>
    <s v="Mañana entre semana"/>
    <s v="Redes sociales"/>
  </r>
  <r>
    <x v="240"/>
    <x v="0"/>
    <s v="SI, ACEPTO PARTICIPAR"/>
    <s v="Femenino"/>
    <s v="De 18 a 20 años"/>
    <n v="18"/>
    <s v="URBANA"/>
    <s v="Bachiller"/>
    <s v="Busco mi primer empleo"/>
    <s v=""/>
    <s v=""/>
    <s v=""/>
    <s v=""/>
    <s v=""/>
    <s v=""/>
    <s v="Más de 6 meses"/>
    <s v="No"/>
    <s v="No"/>
    <s v="Redes sociales"/>
    <s v="Dificultades con la hoja de vida"/>
    <s v="No"/>
    <s v=""/>
    <s v=""/>
    <s v=""/>
    <s v=""/>
    <s v=""/>
    <s v="Puedo hacerlo con dificultad"/>
    <s v="Puedo hacerlo con dificultad"/>
    <s v="Puedo hacerlo sin ayuda"/>
    <s v="Puedo hacerlo sin ayuda"/>
    <s v="Puedo hacerlo sin ayuda"/>
    <s v="Liderazgo"/>
    <s v="Horarios"/>
    <s v="No conozco ninguno"/>
    <s v="Me es indiferente"/>
    <s v="Fines de semana"/>
    <s v="Celular"/>
  </r>
  <r>
    <x v="241"/>
    <x v="0"/>
    <s v="SI, ACEPTO PARTICIPAR"/>
    <s v="Femenino"/>
    <s v="De 20 a 22 años"/>
    <n v="20"/>
    <s v="URBANA"/>
    <s v="Técnico"/>
    <s v="Trabajo actualmente como empleado"/>
    <s v="Empleado sin contrato formal"/>
    <s v="Menos de 3 meses"/>
    <s v="Parcialmente"/>
    <s v="2- Satisfecho/a"/>
    <s v="Acceso a prestaciones"/>
    <s v="No"/>
    <s v="Todavía no he iniciado una búsqueda activa"/>
    <s v="No"/>
    <s v="Sí"/>
    <s v="Instituciones públicas"/>
    <s v="Falta de formación"/>
    <s v="No"/>
    <s v=""/>
    <s v=""/>
    <s v=""/>
    <s v=""/>
    <s v=""/>
    <s v="No puedo hacerlo"/>
    <s v="No puedo hacerlo"/>
    <s v="No puedo hacerlo"/>
    <s v="No puedo hacerlo"/>
    <s v="No puedo hacerlo"/>
    <s v="Emprendimiento"/>
    <s v="Horarios"/>
    <s v="Oficina de orientación laboral"/>
    <s v="Presencial"/>
    <s v="Diurno"/>
    <s v="Correo electrónico"/>
  </r>
  <r>
    <x v="242"/>
    <x v="0"/>
    <s v="SI, ACEPTO PARTICIPAR"/>
    <s v="Masculino"/>
    <s v="De 22 a 24 años"/>
    <n v="22"/>
    <s v="URBANA"/>
    <s v="Tecnólogo"/>
    <s v="Trabajo de manera independiente"/>
    <s v="Trabajo independiente"/>
    <s v="De 3 a 6 meses"/>
    <s v="No"/>
    <s v="2- Satisfecho/a"/>
    <s v="Horario"/>
    <s v="No"/>
    <s v="Todavía no he iniciado una búsqueda activa"/>
    <s v="Tengo una pero necesito actualizarla"/>
    <s v="No"/>
    <s v="Empresas directamente"/>
    <s v="Transporte"/>
    <s v="No"/>
    <s v=""/>
    <s v=""/>
    <s v=""/>
    <s v=""/>
    <s v=""/>
    <s v="Puedo hacerlo con ayuda"/>
    <s v="Puedo hacerlo con ayuda"/>
    <s v="Puedo hacerlo con ayuda"/>
    <s v="No puedo hacerlo"/>
    <s v="Puedo hacerlo con ayuda"/>
    <s v="Herramientas digitales"/>
    <s v="Horarios"/>
    <s v="Programas de emprendimiento"/>
    <s v="Virtual"/>
    <s v="Mañana entre semana"/>
    <s v="Redes sociales"/>
  </r>
  <r>
    <x v="243"/>
    <x v="0"/>
    <s v="SI, ACEPTO PARTICIPAR"/>
    <s v="Femenino"/>
    <s v="De 24 a 26 años"/>
    <n v="24"/>
    <s v="URBANA"/>
    <s v="Tecnólogo"/>
    <s v="Busco mi primer empleo"/>
    <s v=""/>
    <s v=""/>
    <s v=""/>
    <s v=""/>
    <s v=""/>
    <s v=""/>
    <s v="Entre 4 y 6 meses"/>
    <s v="No"/>
    <s v="No"/>
    <s v="Redes sociales"/>
    <s v="Dificultades con la hoja de vida"/>
    <s v="No"/>
    <s v=""/>
    <s v=""/>
    <s v=""/>
    <s v=""/>
    <s v=""/>
    <s v="Puedo hacerlo sin ayuda"/>
    <s v="Puedo hacerlo sin ayuda"/>
    <s v="Puedo hacerlo sin ayuda"/>
    <s v="Puedo hacerlo con ayuda"/>
    <s v="Puedo hacerlo con ayuda"/>
    <s v="Educación financiera"/>
    <s v="Costos de transporte"/>
    <s v="Oficina de orientación laboral"/>
    <s v="Presencial y virtual"/>
    <s v="Fines de semana"/>
    <s v="WhatsApp"/>
  </r>
  <r>
    <x v="244"/>
    <x v="0"/>
    <s v="SI, ACEPTO PARTICIPAR"/>
    <s v="Femenino"/>
    <s v="De 26 a 28 años"/>
    <n v="26"/>
    <s v="URBANA"/>
    <s v="Profesional"/>
    <s v="Trabajo actualmente como empleado"/>
    <s v="Empleado sin contrato formal"/>
    <s v="De 3 a 6 meses"/>
    <s v="No"/>
    <s v="2- Satisfecho/a"/>
    <s v="Acceso a prestaciones"/>
    <s v="No"/>
    <s v="Todavía no he iniciado una búsqueda activa"/>
    <s v="Tengo una pero necesito actualizarla"/>
    <s v="No"/>
    <s v="Instituciones públicas"/>
    <s v="Falta de formación"/>
    <s v="No"/>
    <s v=""/>
    <s v=""/>
    <s v=""/>
    <s v=""/>
    <s v=""/>
    <s v="Puedo hacerlo con ayuda"/>
    <s v="Puedo hacerlo con ayuda"/>
    <s v="No puedo hacerlo"/>
    <s v="Puedo hacerlo con dificultad"/>
    <s v="Puedo hacerlo con dificultad"/>
    <s v="Crear una hoja de vida;Preparación para entrevista"/>
    <s v="Costos de transporte"/>
    <s v="Ferias de empleo"/>
    <s v="Me es indiferente"/>
    <s v="Diurno"/>
    <s v="Correo electrónico"/>
  </r>
  <r>
    <x v="245"/>
    <x v="0"/>
    <s v="SI, ACEPTO PARTICIPAR"/>
    <s v="Masculino"/>
    <s v="De 18 a 20 años"/>
    <n v="19"/>
    <s v="URBANA"/>
    <s v="Tecnólogo"/>
    <s v="Actualmente no trabajo y estoy buscando empleo"/>
    <s v=""/>
    <s v=""/>
    <s v=""/>
    <s v=""/>
    <s v=""/>
    <s v=""/>
    <s v="Entre 1 y 3 meses"/>
    <s v="Sí"/>
    <s v="No"/>
    <s v="Ferias de empleo"/>
    <s v="Transporte"/>
    <s v="Sí"/>
    <s v=""/>
    <s v=""/>
    <s v=""/>
    <s v=""/>
    <s v=""/>
    <s v="Puedo hacerlo con dificultad"/>
    <s v="Puedo hacerlo con dificultad"/>
    <s v="Puedo hacerlo con ayuda"/>
    <s v="Puedo hacerlo sin ayuda"/>
    <s v="Puedo hacerlo con dificultad"/>
    <s v="Comunicación;Liderazgo"/>
    <s v="Costos de transporte"/>
    <s v="No conozco ninguno"/>
    <s v="Presencial"/>
    <s v="Mañana entre semana"/>
    <s v="Celular"/>
  </r>
  <r>
    <x v="246"/>
    <x v="0"/>
    <s v="SI, ACEPTO PARTICIPAR"/>
    <s v="Masculino"/>
    <s v="De 20 a 22 años"/>
    <n v="21"/>
    <s v="URBANA"/>
    <s v="Tecnólogo"/>
    <s v="Estudio y quiero comenzar a trabajar"/>
    <s v=""/>
    <s v=""/>
    <s v=""/>
    <s v=""/>
    <s v=""/>
    <s v=""/>
    <s v="Entre 1 y 3 meses"/>
    <s v="Sí"/>
    <s v="No"/>
    <s v="Familiares o conocidos;Empresas directamente"/>
    <s v="Falta de experiencia"/>
    <s v="No"/>
    <s v=""/>
    <s v=""/>
    <s v=""/>
    <s v=""/>
    <s v=""/>
    <s v="No puedo hacerlo"/>
    <s v="No puedo hacerlo"/>
    <s v="Puedo hacerlo sin ayuda"/>
    <s v="Puedo hacerlo sin ayuda"/>
    <s v="Puedo hacerlo sin ayuda"/>
    <s v="Herramientas digitales;Educación financiera"/>
    <s v="Horarios;Falta de información"/>
    <s v="Ferias de empleo"/>
    <s v="Virtual"/>
    <s v="Fines de semana"/>
    <s v="WhatsApp"/>
  </r>
  <r>
    <x v="247"/>
    <x v="0"/>
    <s v="SI, ACEPTO PARTICIPAR"/>
    <s v="Femenino"/>
    <s v="De 22 a 24 años"/>
    <n v="23"/>
    <s v="URBANA"/>
    <s v="Profesional"/>
    <s v="Trabajo actualmente como empleado"/>
    <s v="Empleado con contrato"/>
    <s v="De 7 a 12 meses"/>
    <s v="Sí, completamente"/>
    <s v="3- Insatisfecho/a"/>
    <s v="Acceso a prestaciones"/>
    <s v="No"/>
    <s v="Todavía no he iniciado una búsqueda activa"/>
    <s v="Tengo una pero necesito actualizarla"/>
    <s v="Sí"/>
    <s v="Institución educativa"/>
    <s v="Falta de formación"/>
    <s v="Sí"/>
    <s v=""/>
    <s v=""/>
    <s v=""/>
    <s v=""/>
    <s v=""/>
    <s v="Puedo hacerlo con ayuda"/>
    <s v="Puedo hacerlo con ayuda"/>
    <s v="No puedo hacerlo"/>
    <s v="No puedo hacerlo"/>
    <s v="No puedo hacerlo"/>
    <s v="Crear una hoja de vida"/>
    <s v="Horarios;Falta de información"/>
    <s v="Programas de emprendimiento"/>
    <s v="Presencial y virtual"/>
    <s v="Nocturno"/>
    <s v="Redes sociales"/>
  </r>
  <r>
    <x v="248"/>
    <x v="0"/>
    <s v="SI, ACEPTO PARTICIPAR"/>
    <s v="Femenino"/>
    <s v="De 24 a 26 años"/>
    <n v="25"/>
    <s v="URBANA"/>
    <s v="Profesional"/>
    <s v="Actualmente no trabajo y estoy buscando empleo"/>
    <s v=""/>
    <s v=""/>
    <s v=""/>
    <s v=""/>
    <s v=""/>
    <s v=""/>
    <s v="Menos de 1 mes"/>
    <s v="Sí"/>
    <s v="Sí"/>
    <s v="Ferias de empleo"/>
    <s v="Internet"/>
    <s v="Sí"/>
    <s v=""/>
    <s v=""/>
    <s v=""/>
    <s v=""/>
    <s v=""/>
    <s v="Puedo hacerlo sin ayuda"/>
    <s v="Puedo hacerlo sin ayuda"/>
    <s v="Puedo hacerlo con ayuda"/>
    <s v="Puedo hacerlo con ayuda"/>
    <s v="No puedo hacerlo"/>
    <s v="Preparación para entrevista"/>
    <s v="Horarios;Falta de información"/>
    <s v="Oficina de orientación laboral"/>
    <s v="Me es indiferente"/>
    <s v="Mañana entre semana"/>
    <s v="Celular"/>
  </r>
  <r>
    <x v="249"/>
    <x v="0"/>
    <s v="SI, ACEPTO PARTICIPAR"/>
    <s v="Masculino"/>
    <s v="De 26 a 28 años"/>
    <n v="27"/>
    <s v="URBANA"/>
    <s v="Bachiller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financiación"/>
    <s v="Falta de financiación"/>
    <s v="No"/>
    <s v="Puedo hacerlo con ayuda"/>
    <s v="Puedo hacerlo con ayuda"/>
    <s v="Puedo hacerlo sin ayuda"/>
    <s v="Puedo hacerlo con dificultad"/>
    <s v="Puedo hacerlo con ayuda"/>
    <s v="Comunicación"/>
    <s v="Ninguna"/>
    <s v="Programas de emprendimiento"/>
    <s v="Presencial"/>
    <s v="Fines de semana"/>
    <s v="Correo electrónico"/>
  </r>
  <r>
    <x v="250"/>
    <x v="0"/>
    <s v="SI, ACEPTO PARTICIPAR"/>
    <s v="Femenino"/>
    <s v="De 18 a 20 años"/>
    <n v="18"/>
    <s v="URBANA"/>
    <s v="Bachiller"/>
    <s v="Trabajo actualmente como empleado"/>
    <s v="Empleado con contrato"/>
    <s v="Más de un año"/>
    <s v="Parcialmente"/>
    <s v="3- Insatisfecho/a"/>
    <s v="Acceso a prestaciones"/>
    <s v="No estoy seguro/a"/>
    <s v="Entre 4 y 6 meses"/>
    <s v="Tengo una pero necesito actualizarla"/>
    <s v="No"/>
    <s v="Institución educativa"/>
    <s v="Falta de formación"/>
    <s v="Sí"/>
    <s v=""/>
    <s v=""/>
    <s v=""/>
    <s v=""/>
    <s v=""/>
    <s v="Puedo hacerlo con dificultad"/>
    <s v="Puedo hacerlo con dificultad"/>
    <s v="No puedo hacerlo"/>
    <s v="Puedo hacerlo con dificultad"/>
    <s v="Puedo hacerlo con ayuda"/>
    <s v="Liderazgo"/>
    <s v="Ninguna"/>
    <s v="No conozco ninguno"/>
    <s v="Virtual"/>
    <s v="Nocturno"/>
    <s v="Redes sociales"/>
  </r>
  <r>
    <x v="251"/>
    <x v="0"/>
    <s v="SI, ACEPTO PARTICIPAR"/>
    <s v="Femenino"/>
    <s v="De 20 a 22 años"/>
    <n v="20"/>
    <s v="URBANA"/>
    <s v="Bachiller"/>
    <s v="Actualmente no trabajo y estoy buscando empleo"/>
    <s v=""/>
    <s v=""/>
    <s v=""/>
    <s v=""/>
    <s v=""/>
    <s v=""/>
    <s v="Más de 6 meses"/>
    <s v="Sí"/>
    <s v="No"/>
    <s v="Instituciones públicas"/>
    <s v="Internet"/>
    <s v="No"/>
    <s v=""/>
    <s v=""/>
    <s v=""/>
    <s v=""/>
    <s v=""/>
    <s v="No puedo hacerlo"/>
    <s v="No puedo hacerlo"/>
    <s v="Puedo hacerlo con ayuda"/>
    <s v="Puedo hacerlo sin ayuda"/>
    <s v="Puedo hacerlo con dificultad"/>
    <s v="Emprendimiento"/>
    <s v="Ninguna"/>
    <s v="Ferias de empleo"/>
    <s v="Presencial y virtual"/>
    <s v="Mañana entre semana"/>
    <s v="WhatsApp"/>
  </r>
  <r>
    <x v="252"/>
    <x v="0"/>
    <s v="SI, ACEPTO PARTICIPAR"/>
    <s v="Masculino"/>
    <s v="De 22 a 24 años"/>
    <n v="22"/>
    <s v="URBANA"/>
    <s v="Técnico"/>
    <s v="Trabajo actualmente como empleado"/>
    <s v="Empleado sin contrato formal"/>
    <s v="Menos de 3 meses"/>
    <s v="No"/>
    <s v="3- Insatisfecho/a"/>
    <s v="Oportunidades de crecimiento"/>
    <s v="Sí"/>
    <s v="Menos de 1 mes"/>
    <s v="Tengo una pero necesito actualizarla"/>
    <s v="Sí"/>
    <s v="Institución educativa"/>
    <s v="Dificultades con la hoja de vida"/>
    <s v="Sí"/>
    <s v=""/>
    <s v=""/>
    <s v=""/>
    <s v=""/>
    <s v=""/>
    <s v="Puedo hacerlo con ayuda"/>
    <s v="Puedo hacerlo con ayuda"/>
    <s v="Puedo hacerlo sin ayuda"/>
    <s v="No puedo hacerlo"/>
    <s v="Puedo hacerlo sin ayuda"/>
    <s v="Herramientas digitales"/>
    <s v="Falta de experiencia"/>
    <s v="No conozco ninguno"/>
    <s v="Me es indiferente"/>
    <s v="Fines de semana"/>
    <s v="Correo electrónico"/>
  </r>
  <r>
    <x v="253"/>
    <x v="0"/>
    <s v="SI, ACEPTO PARTICIPAR"/>
    <s v="Masculino"/>
    <s v="De 24 a 26 años"/>
    <n v="24"/>
    <s v="URBANA"/>
    <s v="Técnico"/>
    <s v="Trabajo de manera independiente"/>
    <s v="Trabajo independiente"/>
    <s v="De 7 a 12 meses"/>
    <s v="Sí, completamente"/>
    <s v="3- Insatisfecho/a"/>
    <s v="Horario"/>
    <s v="Sí"/>
    <s v="Entre 1 y 3 meses"/>
    <s v="Sí"/>
    <s v="Sí"/>
    <s v="Ferias de empleo"/>
    <s v="Transporte"/>
    <s v="Sí"/>
    <s v=""/>
    <s v=""/>
    <s v=""/>
    <s v=""/>
    <s v=""/>
    <s v="Puedo hacerlo sin ayuda"/>
    <s v="Puedo hacerlo sin ayuda"/>
    <s v="No puedo hacerlo"/>
    <s v="Puedo hacerlo con ayuda"/>
    <s v="Puedo hacerlo sin ayuda"/>
    <s v="Educación financiera"/>
    <s v="Falta de experiencia"/>
    <s v="Oficina de orientación laboral"/>
    <s v="Presencial"/>
    <s v="Nocturno"/>
    <s v="Celular"/>
  </r>
  <r>
    <x v="254"/>
    <x v="0"/>
    <s v="SI, ACEPTO PARTICIPAR"/>
    <s v="Femenino"/>
    <s v="De 26 a 28 años"/>
    <n v="28"/>
    <s v="URBANA"/>
    <s v="Profesional"/>
    <s v="Busco mi primer empleo"/>
    <s v=""/>
    <s v=""/>
    <s v=""/>
    <s v=""/>
    <s v=""/>
    <s v=""/>
    <s v="Entre 1 y 3 meses"/>
    <s v="Tengo una pero necesito actualizarla"/>
    <s v="No"/>
    <s v="Redes sociales"/>
    <s v="Dificultades con la hoja de vida"/>
    <s v="No"/>
    <s v=""/>
    <s v=""/>
    <s v=""/>
    <s v=""/>
    <s v=""/>
    <s v="Puedo hacerlo con ayuda"/>
    <s v="Puedo hacerlo con ayuda"/>
    <s v="Puedo hacerlo con ayuda"/>
    <s v="Puedo hacerlo con ayuda"/>
    <s v="No puedo hacerlo"/>
    <s v="Crear una hoja de vida;Preparación para entrevista"/>
    <s v="Falta de experiencia"/>
    <s v="Programas de emprendimiento"/>
    <s v="Virtual"/>
    <s v="Mañana entre semana"/>
    <s v="WhatsApp"/>
  </r>
  <r>
    <x v="255"/>
    <x v="0"/>
    <s v="SI, ACEPTO PARTICIPAR"/>
    <s v="Femenino"/>
    <s v="De 18 a 20 años"/>
    <n v="19"/>
    <s v="URBANA"/>
    <s v="Técnico"/>
    <s v="Trabajo actualmente como empleado"/>
    <s v="Empleado sin contrato formal"/>
    <s v="De 3 a 6 meses"/>
    <s v="Sí, completamente"/>
    <s v="4- Muy insatisfecho/a"/>
    <s v="Oportunidades de crecimiento"/>
    <s v="Sí"/>
    <s v="Más de 6 meses"/>
    <s v="Tengo una pero necesito actualizarla"/>
    <s v="No"/>
    <s v="No sé dónde buscar"/>
    <s v="Dificultades con la hoja de vida"/>
    <s v="No"/>
    <s v=""/>
    <s v=""/>
    <s v=""/>
    <s v=""/>
    <s v=""/>
    <s v="Puedo hacerlo con dificultad"/>
    <s v="Puedo hacerlo con dificultad"/>
    <s v="Puedo hacerlo sin ayuda"/>
    <s v="Puedo hacerlo con dificultad"/>
    <s v="No puedo hacerlo"/>
    <s v="Comunicación;Liderazgo"/>
    <s v="Distancia"/>
    <s v="Oficina de orientación laboral"/>
    <s v="Me es indiferente"/>
    <s v="Fines de semana"/>
    <s v="Redes sociales"/>
  </r>
  <r>
    <x v="256"/>
    <x v="1"/>
    <s v="SI, ACEPTO PARTICIPAR"/>
    <s v="Masculino"/>
    <s v="De 20 a 22 años"/>
    <n v="21"/>
    <s v="URBANO PERIFERICO"/>
    <s v="Técnico"/>
    <s v="Trabajo de manera independiente"/>
    <s v="Trabajo independiente"/>
    <s v="Más de un año"/>
    <s v="Parcialmente"/>
    <s v="3- Insatisfecho/a"/>
    <s v="Horario"/>
    <s v="No"/>
    <s v="Todavía no he iniciado una búsqueda activa"/>
    <s v="Sí"/>
    <s v="No"/>
    <s v="Ferias de empleo"/>
    <s v="Transporte"/>
    <s v="Sí"/>
    <s v=""/>
    <s v=""/>
    <s v=""/>
    <s v=""/>
    <s v=""/>
    <s v="No puedo hacerlo"/>
    <s v="No puedo hacerlo"/>
    <s v="No puedo hacerlo"/>
    <s v="Puedo hacerlo sin ayuda"/>
    <s v="Puedo hacerlo con ayuda"/>
    <s v="Herramientas digitales;Educación financiera"/>
    <s v="Distancia"/>
    <s v="Ferias de empleo"/>
    <s v="Presencial"/>
    <s v="Nocturno"/>
    <s v="Celular"/>
  </r>
  <r>
    <x v="257"/>
    <x v="1"/>
    <s v="SI, ACEPTO PARTICIPAR"/>
    <s v="Femenino"/>
    <s v="De 22 a 24 años"/>
    <n v="23"/>
    <s v="URBANO PERIFERICO"/>
    <s v="Tecnólogo"/>
    <s v="Estudio y quiero comenzar a trabajar"/>
    <s v=""/>
    <s v=""/>
    <s v=""/>
    <s v=""/>
    <s v=""/>
    <s v=""/>
    <s v="Todavía no he iniciado una búsqueda activa"/>
    <s v="No"/>
    <s v="Sí"/>
    <s v="Familiares o conocidos;Empresas directamente"/>
    <s v="Falta de formación"/>
    <s v="No"/>
    <s v=""/>
    <s v=""/>
    <s v=""/>
    <s v=""/>
    <s v=""/>
    <s v="Puedo hacerlo con ayuda"/>
    <s v="Puedo hacerlo con ayuda"/>
    <s v="Puedo hacerlo con ayuda"/>
    <s v="No puedo hacerlo"/>
    <s v="Puedo hacerlo con dificultad"/>
    <s v="Crear una hoja de vida"/>
    <s v="Distancia"/>
    <s v="No conozco ninguno"/>
    <s v="Virtual"/>
    <s v="Mañana entre semana"/>
    <s v="Correo electrónico"/>
  </r>
  <r>
    <x v="258"/>
    <x v="1"/>
    <s v="SI, ACEPTO PARTICIPAR"/>
    <s v="Femenino"/>
    <s v="De 24 a 26 años"/>
    <n v="25"/>
    <s v="URBANO PERIFERICO"/>
    <s v="Profesional"/>
    <s v="Trabajo actualmente como empleado"/>
    <s v="Empleado con contrato"/>
    <s v="De 7 a 12 meses"/>
    <s v="Parcialmente"/>
    <s v="4- Muy insatisfecho/a"/>
    <s v="Oportunidades de crecimiento"/>
    <s v="Sí"/>
    <s v="Entre 1 y 3 meses"/>
    <s v="Tengo una pero necesito actualizarla"/>
    <s v="Sí"/>
    <s v="No sé dónde buscar"/>
    <s v="Dificultades con la hoja de vida"/>
    <s v="No"/>
    <s v=""/>
    <s v=""/>
    <s v=""/>
    <s v=""/>
    <s v=""/>
    <s v="Puedo hacerlo sin ayuda"/>
    <s v="Puedo hacerlo sin ayuda"/>
    <s v="Puedo hacerlo con dificultad"/>
    <s v="No puedo hacerlo"/>
    <s v="Puedo hacerlo con dificultad"/>
    <s v="Preparación para entrevista"/>
    <s v="Falta de experiencia;Falta de información"/>
    <s v="Ferias de empleo"/>
    <s v="Presencial y virtual"/>
    <s v="Fines de semana"/>
    <s v="Redes sociales"/>
  </r>
  <r>
    <x v="259"/>
    <x v="1"/>
    <s v="SI, ACEPTO PARTICIPAR"/>
    <s v="Masculino"/>
    <s v="De 26 a 28 años"/>
    <n v="26"/>
    <s v="URBANO PERIFERICO"/>
    <s v="Profesional"/>
    <s v="Actualmente no trabajo y estoy buscando empleo"/>
    <s v=""/>
    <s v=""/>
    <s v=""/>
    <s v=""/>
    <s v=""/>
    <s v=""/>
    <s v="Entre 4 y 6 meses"/>
    <s v="Sí"/>
    <s v="Sí"/>
    <s v="Instituciones públicas"/>
    <s v="Internet"/>
    <s v="No"/>
    <s v=""/>
    <s v=""/>
    <s v=""/>
    <s v=""/>
    <s v=""/>
    <s v="Puedo hacerlo con ayuda"/>
    <s v="Puedo hacerlo con ayuda"/>
    <s v="No puedo hacerlo"/>
    <s v="Puedo hacerlo con ayuda"/>
    <s v="Puedo hacerlo sin ayuda"/>
    <s v="Comunicación"/>
    <s v="Falta de experiencia;Falta de información"/>
    <s v="Programas de emprendimiento"/>
    <s v="Me es indiferente"/>
    <s v="Nocturno"/>
    <s v="WhatsApp"/>
  </r>
  <r>
    <x v="260"/>
    <x v="1"/>
    <s v="SI, ACEPTO PARTICIPAR"/>
    <s v="Masculino"/>
    <s v="De 18 a 20 años"/>
    <n v="18"/>
    <s v="URBANO PERIFERICO"/>
    <s v="Bachiller"/>
    <s v="Estudio y quiero comenzar a trabajar"/>
    <s v=""/>
    <s v=""/>
    <s v=""/>
    <s v=""/>
    <s v=""/>
    <s v=""/>
    <s v="Entre 4 y 6 meses"/>
    <s v="No"/>
    <s v="No"/>
    <s v="Familiares o conocidos;Empresas directamente"/>
    <s v="Falta de formación"/>
    <s v="No"/>
    <s v=""/>
    <s v=""/>
    <s v=""/>
    <s v=""/>
    <s v=""/>
    <s v="Puedo hacerlo con dificultad"/>
    <s v="Puedo hacerlo con dificultad"/>
    <s v="Puedo hacerlo con ayuda"/>
    <s v="Puedo hacerlo con dificultad"/>
    <s v="Puedo hacerlo sin ayuda"/>
    <s v="Liderazgo"/>
    <s v="Falta de experiencia;Falta de información"/>
    <s v="Oficina de orientación laboral"/>
    <s v="Presencial"/>
    <s v="Mañana entre semana"/>
    <s v="Correo electrónico"/>
  </r>
  <r>
    <x v="261"/>
    <x v="1"/>
    <s v="SI, ACEPTO PARTICIPAR"/>
    <s v="Femenino"/>
    <s v="De 20 a 22 años"/>
    <n v="20"/>
    <s v="URBANO PERIFERICO"/>
    <s v="Bachiller"/>
    <s v="Trabajo actualmente como empleado"/>
    <s v="Empleado con contrato"/>
    <s v="Más de un año"/>
    <s v="No"/>
    <s v="4- Muy insatisfecho/a"/>
    <s v="Oportunidades de crecimiento"/>
    <s v="No"/>
    <s v="Todavía no he iniciado una búsqueda activa"/>
    <s v="Tengo una pero necesito actualizarla"/>
    <s v="No"/>
    <s v="No sé dónde buscar"/>
    <s v="Dificultades con la hoja de vida"/>
    <s v="No"/>
    <s v=""/>
    <s v=""/>
    <s v=""/>
    <s v=""/>
    <s v=""/>
    <s v="No puedo hacerlo"/>
    <s v="No puedo hacerlo"/>
    <s v="Puedo hacerlo con dificultad"/>
    <s v="Puedo hacerlo sin ayuda"/>
    <s v="No puedo hacerlo"/>
    <s v="Emprendimiento"/>
    <s v="Costos de transporte;Distancia"/>
    <s v="Programas de emprendimiento"/>
    <s v="Virtual"/>
    <s v="Diurno"/>
    <s v="Celular"/>
  </r>
  <r>
    <x v="262"/>
    <x v="1"/>
    <s v="SI, ACEPTO PARTICIPAR"/>
    <s v="Femenino"/>
    <s v="De 22 a 24 años"/>
    <n v="22"/>
    <s v="URBANO PERIFERICO"/>
    <s v="Bachiller"/>
    <s v="Actualmente no trabajo y estoy buscando empleo"/>
    <s v=""/>
    <s v=""/>
    <s v=""/>
    <s v=""/>
    <s v=""/>
    <s v=""/>
    <s v="Entre 1 y 3 meses"/>
    <s v="Sí"/>
    <s v="No"/>
    <s v="Instituciones públicas"/>
    <s v="Internet"/>
    <s v="No"/>
    <s v=""/>
    <s v=""/>
    <s v=""/>
    <s v=""/>
    <s v=""/>
    <s v="Puedo hacerlo con ayuda"/>
    <s v="Puedo hacerlo con ayuda"/>
    <s v="No puedo hacerlo"/>
    <s v="Puedo hacerlo sin ayuda"/>
    <s v="Puedo hacerlo con ayuda"/>
    <s v="Herramientas digitales"/>
    <s v="Costos de transporte;Distancia"/>
    <s v="No conozco ninguno"/>
    <s v="Presencial y virtual"/>
    <s v="Nocturno"/>
    <s v="WhatsApp"/>
  </r>
  <r>
    <x v="263"/>
    <x v="1"/>
    <s v="SI, ACEPTO PARTICIPAR"/>
    <s v="Masculino"/>
    <s v="De 24 a 26 años"/>
    <n v="24"/>
    <s v="URBANO PERIFERICO"/>
    <s v="Bachiller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conocimientos administrativos"/>
    <s v="Falta de conocimientos administrativos"/>
    <s v="No conozco programas de ese tipo"/>
    <s v="Puedo hacerlo sin ayuda"/>
    <s v="Puedo hacerlo sin ayuda"/>
    <s v="Puedo hacerlo con ayuda"/>
    <s v="No puedo hacerlo"/>
    <s v="Puedo hacerlo con ayuda"/>
    <s v="Educación financiera"/>
    <s v="Costos de transporte;Distancia"/>
    <s v="Ferias de empleo"/>
    <s v="Me es indiferente"/>
    <s v="Mañana entre semana"/>
    <s v="Redes sociales"/>
  </r>
  <r>
    <x v="264"/>
    <x v="1"/>
    <s v="SI, ACEPTO PARTICIPAR"/>
    <s v="Femenino"/>
    <s v="De 26 a 28 años"/>
    <n v="27"/>
    <s v="URBANO PERIFERICO"/>
    <s v="Técnico"/>
    <s v="Trabajo de manera independiente"/>
    <s v="Trabajo independiente"/>
    <s v="Menos de 3 meses"/>
    <s v="No"/>
    <s v="3- Insatisfecho/a"/>
    <s v="Horario"/>
    <s v="No estoy seguro/a"/>
    <s v="Entre 4 y 6 meses"/>
    <s v="Sí"/>
    <s v="Sí"/>
    <s v="Ferias de empleo"/>
    <s v="Internet"/>
    <s v="Sí"/>
    <s v=""/>
    <s v=""/>
    <s v=""/>
    <s v=""/>
    <s v=""/>
    <s v="Puedo hacerlo con ayuda"/>
    <s v="Puedo hacerlo con ayuda"/>
    <s v="Puedo hacerlo con dificultad"/>
    <s v="Puedo hacerlo con ayuda"/>
    <s v="Puedo hacerlo con dificultad"/>
    <s v="Crear una hoja de vida;Preparación para entrevista"/>
    <s v="Falta de información"/>
    <s v="No conozco ninguno"/>
    <s v="Presencial"/>
    <s v="Diurno"/>
    <s v="Celular"/>
  </r>
  <r>
    <x v="265"/>
    <x v="1"/>
    <s v="SI, ACEPTO PARTICIPAR"/>
    <s v="Femenino"/>
    <s v="De 18 a 20 años"/>
    <n v="19"/>
    <s v="URBANO PERIFERICO"/>
    <s v="Bachiller"/>
    <s v="Busco mi primer empleo"/>
    <s v=""/>
    <s v=""/>
    <s v=""/>
    <s v=""/>
    <s v=""/>
    <s v=""/>
    <s v="Menos de 1 mes"/>
    <s v="Tengo una pero necesito actualizarla"/>
    <s v="No"/>
    <s v="Familiares o conocidos"/>
    <s v="Horarios disponibles"/>
    <s v="Sí"/>
    <s v=""/>
    <s v=""/>
    <s v=""/>
    <s v=""/>
    <s v=""/>
    <s v="Puedo hacerlo con dificultad"/>
    <s v="Puedo hacerlo con dificultad"/>
    <s v="No puedo hacerlo"/>
    <s v="Puedo hacerlo con dificultad"/>
    <s v="Puedo hacerlo sin ayuda"/>
    <s v="Comunicación;Liderazgo"/>
    <s v="Falta de información"/>
    <s v="Oficina de orientación laboral"/>
    <s v="Virtual"/>
    <s v="Nocturno"/>
    <s v="Correo electrónico"/>
  </r>
  <r>
    <x v="266"/>
    <x v="1"/>
    <s v="SI, ACEPTO PARTICIPAR"/>
    <s v="Masculino"/>
    <s v="De 20 a 22 años"/>
    <n v="21"/>
    <s v="URBANO PERIFERICO"/>
    <s v="Técnico"/>
    <s v="Trabajo actualmente como empleado"/>
    <s v="Empleado sin contrato formal"/>
    <s v="Menos de 3 meses"/>
    <s v="Sí, completamente"/>
    <s v="1- Muy satisfecho/a"/>
    <s v="Oportunidades de crecimiento"/>
    <s v="No estoy seguro/a"/>
    <s v="Entre 4 y 6 meses"/>
    <s v="Sí"/>
    <s v="Sí"/>
    <s v="Portales de empleo;Redes sociales"/>
    <s v="Horarios disponibles"/>
    <s v="Sí"/>
    <s v=""/>
    <s v=""/>
    <s v=""/>
    <s v=""/>
    <s v=""/>
    <s v="No puedo hacerlo"/>
    <s v="No puedo hacerlo"/>
    <s v="Puedo hacerlo con ayuda"/>
    <s v="Puedo hacerlo con dificultad"/>
    <s v="Puedo hacerlo sin ayuda"/>
    <s v="Herramientas digitales;Educación financiera"/>
    <s v="Falta de información"/>
    <s v="Programas de emprendimiento"/>
    <s v="Presencial y virtual"/>
    <s v="Mañana entre semana"/>
    <s v="Redes sociales"/>
  </r>
  <r>
    <x v="267"/>
    <x v="1"/>
    <s v="SI, ACEPTO PARTICIPAR"/>
    <s v="Masculino"/>
    <s v="De 22 a 24 años"/>
    <n v="23"/>
    <s v="URBANO PERIFERICO"/>
    <s v="Técnico"/>
    <s v="Trabajo de manera independiente"/>
    <s v="Trabajo independiente"/>
    <s v="De 3 a 6 meses"/>
    <s v="Sí, completamente"/>
    <s v="4- Muy insatisfecho/a"/>
    <s v="Acceso a prestaciones"/>
    <s v="Sí"/>
    <s v="Menos de 1 mes"/>
    <s v="Sí"/>
    <s v="No"/>
    <s v="Instituciones públicas"/>
    <s v="Internet"/>
    <s v="No"/>
    <s v=""/>
    <s v=""/>
    <s v=""/>
    <s v=""/>
    <s v=""/>
    <s v="Puedo hacerlo con ayuda"/>
    <s v="Puedo hacerlo con ayuda"/>
    <s v="Puedo hacerlo con dificultad"/>
    <s v="Puedo hacerlo sin ayuda"/>
    <s v="No puedo hacerlo"/>
    <s v="Crear una hoja de vida"/>
    <s v="Horarios"/>
    <s v="Oficina de orientación laboral"/>
    <s v="Me es indiferente"/>
    <s v="Diurno"/>
    <s v="WhatsApp"/>
  </r>
  <r>
    <x v="268"/>
    <x v="1"/>
    <s v="SI, ACEPTO PARTICIPAR"/>
    <s v="Femenino"/>
    <s v="De 24 a 26 años"/>
    <n v="25"/>
    <s v="URBANO PERIFERICO"/>
    <s v="Tecnólogo"/>
    <s v="Estudio y quiero comenzar a trabajar"/>
    <s v=""/>
    <s v=""/>
    <s v=""/>
    <s v=""/>
    <s v=""/>
    <s v=""/>
    <s v="Menos de 1 mes"/>
    <s v="No"/>
    <s v="Sí"/>
    <s v="Portales de empleo"/>
    <s v="Falta de formación"/>
    <s v="Sí"/>
    <s v=""/>
    <s v=""/>
    <s v=""/>
    <s v=""/>
    <s v=""/>
    <s v="Puedo hacerlo sin ayuda"/>
    <s v="Puedo hacerlo sin ayuda"/>
    <s v="No puedo hacerlo"/>
    <s v="No puedo hacerlo"/>
    <s v="No puedo hacerlo"/>
    <s v="Preparación para entrevista"/>
    <s v="Horarios"/>
    <s v="Ferias de empleo"/>
    <s v="Presencial"/>
    <s v="Nocturno"/>
    <s v="Correo electrónico"/>
  </r>
  <r>
    <x v="269"/>
    <x v="1"/>
    <s v="SI, ACEPTO PARTICIPAR"/>
    <s v="Femenino"/>
    <s v="De 26 a 28 años"/>
    <n v="28"/>
    <s v="URBANO PERIFERICO"/>
    <s v="Profesional"/>
    <s v="Trabajo actualmente como empleado"/>
    <s v="Empleado sin contrato formal"/>
    <s v="De 3 a 6 meses"/>
    <s v="Parcialmente"/>
    <s v="1- Muy satisfecho/a"/>
    <s v="Trabajar en un área relacionada con mi formación"/>
    <s v="Sí"/>
    <s v="Menos de 1 mes"/>
    <s v="Sí"/>
    <s v="No"/>
    <s v="Portales de empleo;Redes sociales"/>
    <s v="Horarios disponibles"/>
    <s v="Sí"/>
    <s v=""/>
    <s v=""/>
    <s v=""/>
    <s v=""/>
    <s v=""/>
    <s v="Puedo hacerlo con ayuda"/>
    <s v="Puedo hacerlo con ayuda"/>
    <s v="Puedo hacerlo con ayuda"/>
    <s v="Puedo hacerlo con ayuda"/>
    <s v="Puedo hacerlo con ayuda"/>
    <s v="Comunicación"/>
    <s v="Horarios"/>
    <s v="No conozco ninguno"/>
    <s v="Virtual"/>
    <s v="Mañana entre semana"/>
    <s v="Celular"/>
  </r>
  <r>
    <x v="270"/>
    <x v="1"/>
    <s v="SI, ACEPTO PARTICIPAR"/>
    <s v="Masculino"/>
    <s v="De 18 a 20 años"/>
    <n v="18"/>
    <s v="URBANO PERIFERICO"/>
    <s v="Técnico"/>
    <s v="Actualmente no trabajo y estoy buscando empleo"/>
    <s v=""/>
    <s v=""/>
    <s v=""/>
    <s v=""/>
    <s v=""/>
    <s v=""/>
    <s v="Menos de 1 mes"/>
    <s v="Sí"/>
    <s v="Sí"/>
    <s v="Institución educativa"/>
    <s v="Falta de experiencia"/>
    <s v="Sí"/>
    <s v=""/>
    <s v=""/>
    <s v=""/>
    <s v=""/>
    <s v=""/>
    <s v="Puedo hacerlo con dificultad"/>
    <s v="Puedo hacerlo con dificultad"/>
    <s v="Puedo hacerlo con dificultad"/>
    <s v="Puedo hacerlo con ayuda"/>
    <s v="Puedo hacerlo con dificultad"/>
    <s v="Liderazgo"/>
    <s v="Costos de transporte"/>
    <s v="Ferias de empleo"/>
    <s v="Presencial y virtual"/>
    <s v="Diurno"/>
    <s v="Correo electrónico"/>
  </r>
  <r>
    <x v="271"/>
    <x v="1"/>
    <s v="SI, ACEPTO PARTICIPAR"/>
    <s v="Femenino"/>
    <s v="De 20 a 22 años"/>
    <n v="20"/>
    <s v="URBANO PERIFERICO"/>
    <s v="Tecnólogo"/>
    <s v="Estudio y quiero comenzar a trabajar"/>
    <s v=""/>
    <s v=""/>
    <s v=""/>
    <s v=""/>
    <s v=""/>
    <s v=""/>
    <s v="Más de 6 meses"/>
    <s v="No"/>
    <s v="No"/>
    <s v="Portales de empleo"/>
    <s v="Falta de formación"/>
    <s v="Sí"/>
    <s v=""/>
    <s v=""/>
    <s v=""/>
    <s v=""/>
    <s v=""/>
    <s v="No puedo hacerlo"/>
    <s v="No puedo hacerlo"/>
    <s v="Puedo hacerlo sin ayuda"/>
    <s v="Puedo hacerlo con dificultad"/>
    <s v="Puedo hacerlo con dificultad"/>
    <s v="Emprendimiento"/>
    <s v="Costos de transporte"/>
    <s v="Programas de emprendimiento"/>
    <s v="Presencial"/>
    <s v="Nocturno"/>
    <s v="Redes sociales"/>
  </r>
  <r>
    <x v="272"/>
    <x v="1"/>
    <s v="SI, ACEPTO PARTICIPAR"/>
    <s v="Femenino"/>
    <s v="De 22 a 24 años"/>
    <n v="22"/>
    <s v="URBANO PERIFERICO"/>
    <s v="Profesional"/>
    <s v="Trabajo actualmente como empleado"/>
    <s v="Empleado con contrato"/>
    <s v="De 7 a 12 meses"/>
    <s v="No"/>
    <s v="1- Muy satisfecho/a"/>
    <s v="Trabajar en un área relacionada con mi formación"/>
    <s v="No"/>
    <s v="Todavía no he iniciado una búsqueda activa"/>
    <s v="Sí"/>
    <s v="Sí"/>
    <s v="Portales de empleo;Redes sociales"/>
    <s v="Horarios disponibles"/>
    <s v="Sí"/>
    <s v=""/>
    <s v=""/>
    <s v=""/>
    <s v=""/>
    <s v=""/>
    <s v="Puedo hacerlo con ayuda"/>
    <s v="Puedo hacerlo con ayuda"/>
    <s v="Puedo hacerlo con ayuda"/>
    <s v="Puedo hacerlo sin ayuda"/>
    <s v="Puedo hacerlo sin ayuda"/>
    <s v="Herramientas digitales"/>
    <s v="Costos de transporte"/>
    <s v="Oficina de orientación laboral"/>
    <s v="Virtual"/>
    <s v="Fines de semana"/>
    <s v="WhatsApp"/>
  </r>
  <r>
    <x v="273"/>
    <x v="1"/>
    <s v="SI, ACEPTO PARTICIPAR"/>
    <s v="Masculino"/>
    <s v="De 24 a 26 años"/>
    <n v="24"/>
    <s v="URBANO PERIFERICO"/>
    <s v="Profesional"/>
    <s v="Actualmente no trabajo y estoy buscando empleo"/>
    <s v=""/>
    <s v=""/>
    <s v=""/>
    <s v=""/>
    <s v=""/>
    <s v=""/>
    <s v="Más de 6 meses"/>
    <s v="No"/>
    <s v="No"/>
    <s v="Institución educativa"/>
    <s v="Falta de experiencia"/>
    <s v="Sí"/>
    <s v=""/>
    <s v=""/>
    <s v=""/>
    <s v=""/>
    <s v=""/>
    <s v="Puedo hacerlo sin ayuda"/>
    <s v="Puedo hacerlo sin ayuda"/>
    <s v="Puedo hacerlo con dificultad"/>
    <s v="Puedo hacerlo sin ayuda"/>
    <s v="Puedo hacerlo sin ayuda"/>
    <s v="Educación financiera"/>
    <s v="Horarios;Falta de información"/>
    <s v="Programas de emprendimiento"/>
    <s v="Presencial y virtual"/>
    <s v="Diurno"/>
    <s v="Correo electrónico"/>
  </r>
  <r>
    <x v="274"/>
    <x v="1"/>
    <s v="SI, ACEPTO PARTICIPAR"/>
    <s v="Masculino"/>
    <s v="De 26 a 28 años"/>
    <n v="26"/>
    <s v="URBANO PERIFERICO"/>
    <s v="Bachiller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conocimientos financieros"/>
    <s v="Falta de conocimientos financieros"/>
    <s v="No conozco programas de ese tipo"/>
    <s v="Puedo hacerlo con ayuda"/>
    <s v="Puedo hacerlo con ayuda"/>
    <s v="Puedo hacerlo sin ayuda"/>
    <s v="No puedo hacerlo"/>
    <s v="No puedo hacerlo"/>
    <s v="Crear una hoja de vida;Preparación para entrevista"/>
    <s v="Horarios;Falta de información"/>
    <s v="No conozco ninguno"/>
    <s v="Me es indiferente"/>
    <s v="Nocturno"/>
    <s v="Celular"/>
  </r>
  <r>
    <x v="275"/>
    <x v="1"/>
    <s v="SI, ACEPTO PARTICIPAR"/>
    <s v="Femenino"/>
    <s v="De 18 a 20 años"/>
    <n v="19"/>
    <s v="URBANO PERIFERICO"/>
    <s v="Bachiller"/>
    <s v="Trabajo de manera independiente"/>
    <s v="Trabajo independiente"/>
    <s v="De 7 a 12 meses"/>
    <s v="Parcialmente"/>
    <s v="4- Muy insatisfecho/a"/>
    <s v="Acceso a prestaciones"/>
    <s v="Sí"/>
    <s v="Más de 6 meses"/>
    <s v="Sí"/>
    <s v="Sí"/>
    <s v="Instituciones públicas"/>
    <s v="Internet"/>
    <s v="No"/>
    <s v=""/>
    <s v=""/>
    <s v=""/>
    <s v=""/>
    <s v=""/>
    <s v="Puedo hacerlo con dificultad"/>
    <s v="Puedo hacerlo con dificultad"/>
    <s v="Puedo hacerlo con ayuda"/>
    <s v="Puedo hacerlo con ayuda"/>
    <s v="Puedo hacerlo con ayuda"/>
    <s v="Comunicación;Liderazgo"/>
    <s v="Horarios;Falta de información"/>
    <s v="Ferias de empleo"/>
    <s v="Presencial"/>
    <s v="Fines de semana"/>
    <s v="WhatsApp"/>
  </r>
  <r>
    <x v="276"/>
    <x v="1"/>
    <s v="SI, ACEPTO PARTICIPAR"/>
    <s v="Femenino"/>
    <s v="De 20 a 22 años"/>
    <n v="21"/>
    <s v="URBANO PERIFERICO"/>
    <s v="Bachiller"/>
    <s v="Busco mi primer empleo"/>
    <s v=""/>
    <s v=""/>
    <s v=""/>
    <s v=""/>
    <s v=""/>
    <s v=""/>
    <s v="Más de 6 meses"/>
    <s v="Tengo una pero necesito actualizarla"/>
    <s v="No"/>
    <s v="Familiares o conocidos"/>
    <s v="Horarios disponibles"/>
    <s v="Sí"/>
    <s v=""/>
    <s v=""/>
    <s v=""/>
    <s v=""/>
    <s v=""/>
    <s v="No puedo hacerlo"/>
    <s v="No puedo hacerlo"/>
    <s v="Puedo hacerlo con dificultad"/>
    <s v="Puedo hacerlo con dificultad"/>
    <s v="Puedo hacerlo con ayuda"/>
    <s v="Herramientas digitales;Educación financiera"/>
    <s v="Ninguna"/>
    <s v="No conozco ninguno"/>
    <s v="Virtual"/>
    <s v="Diurno"/>
    <s v="Redes sociales"/>
  </r>
  <r>
    <x v="277"/>
    <x v="1"/>
    <s v="SI, ACEPTO PARTICIPAR"/>
    <s v="Masculino"/>
    <s v="De 22 a 24 años"/>
    <n v="23"/>
    <s v="URBANO PERIFERICO"/>
    <s v="Bachiller"/>
    <s v="Trabajo actualmente como empleado"/>
    <s v="Empleado con contrato"/>
    <s v="Más de un año"/>
    <s v="Sí, completamente"/>
    <s v="2- Satisfecho/a"/>
    <s v="Oportunidades de crecimiento"/>
    <s v="No"/>
    <s v="Todavía no he iniciado una búsqueda activa"/>
    <s v="Sí"/>
    <s v="No"/>
    <s v="Familiares o conocidos;Empresas directamente"/>
    <s v="Horarios disponibles"/>
    <s v="No"/>
    <s v=""/>
    <s v=""/>
    <s v=""/>
    <s v=""/>
    <s v=""/>
    <s v="Puedo hacerlo con ayuda"/>
    <s v="Puedo hacerlo con ayuda"/>
    <s v="Puedo hacerlo sin ayuda"/>
    <s v="Puedo hacerlo con dificultad"/>
    <s v="Puedo hacerlo con dificultad"/>
    <s v="Crear una hoja de vida"/>
    <s v="Ninguna"/>
    <s v="Oficina de orientación laboral"/>
    <s v="Presencial y virtual"/>
    <s v="Nocturno"/>
    <s v="Celular"/>
  </r>
  <r>
    <x v="278"/>
    <x v="1"/>
    <s v="SI, ACEPTO PARTICIPAR"/>
    <s v="Femenino"/>
    <s v="De 24 a 26 años"/>
    <n v="25"/>
    <s v="URBANO PERIFERICO"/>
    <s v="Técnico"/>
    <s v="Trabajo de manera independiente"/>
    <s v="Trabajo independiente"/>
    <s v="Más de un año"/>
    <s v="No"/>
    <s v="4- Muy insatisfecho/a"/>
    <s v="Acceso a prestaciones"/>
    <s v="Sí"/>
    <s v="Entre 1 y 3 meses"/>
    <s v="Sí"/>
    <s v="No"/>
    <s v="Instituciones públicas"/>
    <s v="Internet"/>
    <s v="No"/>
    <s v=""/>
    <s v=""/>
    <s v=""/>
    <s v=""/>
    <s v=""/>
    <s v="Puedo hacerlo sin ayuda"/>
    <s v="Puedo hacerlo sin ayuda"/>
    <s v="Puedo hacerlo con ayuda"/>
    <s v="Puedo hacerlo sin ayuda"/>
    <s v="Puedo hacerlo con dificultad"/>
    <s v="Preparación para entrevista"/>
    <s v="Ninguna"/>
    <s v="Programas de emprendimiento"/>
    <s v="Me es indiferente"/>
    <s v="Fines de semana"/>
    <s v="Correo electrónico"/>
  </r>
  <r>
    <x v="279"/>
    <x v="1"/>
    <s v="SI, ACEPTO PARTICIPAR"/>
    <s v="Femenino"/>
    <s v="De 26 a 28 años"/>
    <n v="27"/>
    <s v="URBANO PERIFERICO"/>
    <s v="Tecnólogo"/>
    <s v="Busco mi primer empleo"/>
    <s v=""/>
    <s v=""/>
    <s v=""/>
    <s v=""/>
    <s v=""/>
    <s v=""/>
    <s v="Entre 4 y 6 meses"/>
    <s v="Tengo una pero necesito actualizarla"/>
    <s v="No"/>
    <s v="Familiares o conocidos"/>
    <s v="Horarios disponibles"/>
    <s v="Sí"/>
    <s v=""/>
    <s v=""/>
    <s v=""/>
    <s v=""/>
    <s v=""/>
    <s v="Puedo hacerlo con ayuda"/>
    <s v="Puedo hacerlo con ayuda"/>
    <s v="Puedo hacerlo con dificultad"/>
    <s v="No puedo hacerlo"/>
    <s v="Puedo hacerlo sin ayuda"/>
    <s v="Comunicación"/>
    <s v="Falta de experiencia"/>
    <s v="Oficina de orientación laboral"/>
    <s v="Presencial"/>
    <s v="Diurno"/>
    <s v="Redes sociales"/>
  </r>
  <r>
    <x v="280"/>
    <x v="1"/>
    <s v="SI, ACEPTO PARTICIPAR"/>
    <s v="Masculino"/>
    <s v="De 18 a 20 años"/>
    <n v="18"/>
    <s v="URBANO PERIFERICO"/>
    <s v="Bachiller"/>
    <s v="Trabajo actualmente como empleado"/>
    <s v="Empleado sin contrato formal"/>
    <s v="Menos de 3 meses"/>
    <s v="Parcialmente"/>
    <s v="2- Satisfecho/a"/>
    <s v="Trabajar en un área relacionada con mi formación"/>
    <s v="No"/>
    <s v="Todavía no he iniciado una búsqueda activa"/>
    <s v="Sí"/>
    <s v="Sí"/>
    <s v="Familiares o conocidos;Empresas directamente"/>
    <s v="Transporte"/>
    <s v="No"/>
    <s v=""/>
    <s v=""/>
    <s v=""/>
    <s v=""/>
    <s v=""/>
    <s v="Puedo hacerlo con dificultad"/>
    <s v="Puedo hacerlo con dificultad"/>
    <s v="Puedo hacerlo sin ayuda"/>
    <s v="Puedo hacerlo con ayuda"/>
    <s v="No puedo hacerlo"/>
    <s v="Liderazgo"/>
    <s v="Falta de experiencia"/>
    <s v="Ferias de empleo"/>
    <s v="Virtual"/>
    <s v="Nocturno"/>
    <s v="WhatsApp"/>
  </r>
  <r>
    <x v="281"/>
    <x v="1"/>
    <s v="SI, ACEPTO PARTICIPAR"/>
    <s v="Masculino"/>
    <s v="De 20 a 22 años"/>
    <n v="20"/>
    <s v="URBANO PERIFERICO"/>
    <s v="Técnico"/>
    <s v="Actualmente no trabajo y estoy buscando empleo"/>
    <s v=""/>
    <s v=""/>
    <s v=""/>
    <s v=""/>
    <s v=""/>
    <s v=""/>
    <s v="Entre 4 y 6 meses"/>
    <s v="No"/>
    <s v="Sí"/>
    <s v="Institución educativa"/>
    <s v="Falta de experiencia"/>
    <s v="Sí"/>
    <s v=""/>
    <s v=""/>
    <s v=""/>
    <s v=""/>
    <s v=""/>
    <s v="No puedo hacerlo"/>
    <s v="No puedo hacerlo"/>
    <s v="Puedo hacerlo con ayuda"/>
    <s v="Puedo hacerlo con ayuda"/>
    <s v="No puedo hacerlo"/>
    <s v="Emprendimiento"/>
    <s v="Falta de experiencia"/>
    <s v="No conozco ninguno"/>
    <s v="Presencial y virtual"/>
    <s v="Fines de semana"/>
    <s v="Correo electrónico"/>
  </r>
  <r>
    <x v="282"/>
    <x v="1"/>
    <s v="SI, ACEPTO PARTICIPAR"/>
    <s v="Femenino"/>
    <s v="De 22 a 24 años"/>
    <n v="22"/>
    <s v="URBANO PERIFERICO"/>
    <s v="Tecnólogo"/>
    <s v="Estudio y quiero comenzar a trabajar"/>
    <s v=""/>
    <s v=""/>
    <s v=""/>
    <s v=""/>
    <s v=""/>
    <s v=""/>
    <s v="Entre 1 y 3 meses"/>
    <s v="No"/>
    <s v="Sí"/>
    <s v="Portales de empleo"/>
    <s v="Dificultades con la hoja de vida"/>
    <s v="Sí"/>
    <s v=""/>
    <s v=""/>
    <s v=""/>
    <s v=""/>
    <s v=""/>
    <s v="Puedo hacerlo con ayuda"/>
    <s v="Puedo hacerlo con ayuda"/>
    <s v="Puedo hacerlo con dificultad"/>
    <s v="Puedo hacerlo con dificultad"/>
    <s v="Puedo hacerlo con ayuda"/>
    <s v="Herramientas digitales"/>
    <s v="Distancia"/>
    <s v="Ferias de empleo"/>
    <s v="Me es indiferente"/>
    <s v="Diurno"/>
    <s v="Celular"/>
  </r>
  <r>
    <x v="283"/>
    <x v="1"/>
    <s v="SI, ACEPTO PARTICIPAR"/>
    <s v="Femenino"/>
    <s v="De 24 a 26 años"/>
    <n v="24"/>
    <s v="URBANO PERIFERICO"/>
    <s v="Profesional"/>
    <s v="Trabajo actualmente como empleado"/>
    <s v="Empleado sin contrato formal"/>
    <s v="De 3 a 6 meses"/>
    <s v="No"/>
    <s v="2- Satisfecho/a"/>
    <s v="Trabajar en un área relacionada con mi formación"/>
    <s v="No estoy seguro/a"/>
    <s v="Entre 4 y 6 meses"/>
    <s v="Sí"/>
    <s v="No"/>
    <s v="Familiares o conocidos;Empresas directamente"/>
    <s v="Transporte"/>
    <s v="No"/>
    <s v=""/>
    <s v=""/>
    <s v=""/>
    <s v=""/>
    <s v=""/>
    <s v="Puedo hacerlo sin ayuda"/>
    <s v="Puedo hacerlo sin ayuda"/>
    <s v="Puedo hacerlo sin ayuda"/>
    <s v="Puedo hacerlo sin ayuda"/>
    <s v="Puedo hacerlo con dificultad"/>
    <s v="Educación financiera"/>
    <s v="Distancia"/>
    <s v="Programas de emprendimiento"/>
    <s v="Presencial"/>
    <s v="Mañana entre semana"/>
    <s v="WhatsApp"/>
  </r>
  <r>
    <x v="284"/>
    <x v="1"/>
    <s v="SI, ACEPTO PARTICIPAR"/>
    <s v="Masculino"/>
    <s v="De 26 a 28 años"/>
    <n v="28"/>
    <s v="URBANO PERIFERICO"/>
    <s v="Profesional"/>
    <s v="Actualmente no trabajo y estoy buscando empleo"/>
    <s v=""/>
    <s v=""/>
    <s v=""/>
    <s v=""/>
    <s v=""/>
    <s v=""/>
    <s v="Entre 1 y 3 meses"/>
    <s v="No"/>
    <s v="No"/>
    <s v="No sé dónde buscar"/>
    <s v="Falta de experiencia"/>
    <s v="No"/>
    <s v=""/>
    <s v=""/>
    <s v=""/>
    <s v=""/>
    <s v=""/>
    <s v="No puedo hacerlo"/>
    <s v="No puedo hacerlo"/>
    <s v="Puedo hacerlo con ayuda"/>
    <s v="No puedo hacerlo"/>
    <s v="Puedo hacerlo con dificultad"/>
    <s v="Crear una hoja de vida;Preparación para entrevista"/>
    <s v="Distancia"/>
    <s v="Oficina de orientación laboral"/>
    <s v="Virtual"/>
    <s v="Fines de semana"/>
    <s v="Redes sociales"/>
  </r>
  <r>
    <x v="285"/>
    <x v="1"/>
    <s v="SI, ACEPTO PARTICIPAR"/>
    <s v="Femenino"/>
    <s v="De 18 a 20 años"/>
    <n v="19"/>
    <s v="URBANO PERIFERICO"/>
    <s v="Tecnólog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tiempo"/>
    <s v="Falta de tiempo"/>
    <s v="Sí"/>
    <s v="Puedo hacerlo con dificultad"/>
    <s v="Puedo hacerlo con dificultad"/>
    <s v="Puedo hacerlo con dificultad"/>
    <s v="No puedo hacerlo"/>
    <s v="Puedo hacerlo sin ayuda"/>
    <s v="Comunicación;Liderazgo"/>
    <s v="Falta de experiencia;Falta de información"/>
    <s v="Programas de emprendimiento"/>
    <s v="Presencial y virtual"/>
    <s v="Diurno"/>
    <s v="Celular"/>
  </r>
  <r>
    <x v="286"/>
    <x v="1"/>
    <s v="SI, ACEPTO PARTICIPAR"/>
    <s v="Femenino"/>
    <s v="De 20 a 22 años"/>
    <n v="21"/>
    <s v="URBANO PERIFERICO"/>
    <s v="Tecnólogo"/>
    <s v="Trabajo actualmente como empleado"/>
    <s v="Empleado con contrato"/>
    <s v="De 7 a 12 meses"/>
    <s v="Sí, completamente"/>
    <s v="3- Insatisfecho/a"/>
    <s v="Salario"/>
    <s v="Sí"/>
    <s v="Menos de 1 mes"/>
    <s v="Sí"/>
    <s v="Sí"/>
    <s v="Portales de empleo"/>
    <s v="Transporte"/>
    <s v="Sí"/>
    <s v=""/>
    <s v=""/>
    <s v=""/>
    <s v=""/>
    <s v=""/>
    <s v="No puedo hacerlo"/>
    <s v="No puedo hacerlo"/>
    <s v="Puedo hacerlo sin ayuda"/>
    <s v="Puedo hacerlo con ayuda"/>
    <s v="Puedo hacerlo sin ayuda"/>
    <s v="Herramientas digitales;Educación financiera"/>
    <s v="Falta de experiencia;Falta de información"/>
    <s v="No conozco ninguno"/>
    <s v="Me es indiferente"/>
    <s v="Mañana entre semana"/>
    <s v="Correo electrónico"/>
  </r>
  <r>
    <x v="287"/>
    <x v="1"/>
    <s v="SI, ACEPTO PARTICIPAR"/>
    <s v="Masculino"/>
    <s v="De 22 a 24 años"/>
    <n v="23"/>
    <s v="URBANO PERIFERICO"/>
    <s v="Profesional"/>
    <s v="Actualmente no trabajo y estoy buscando empleo"/>
    <s v=""/>
    <s v=""/>
    <s v=""/>
    <s v=""/>
    <s v=""/>
    <s v=""/>
    <s v="Menos de 1 mes"/>
    <s v="No"/>
    <s v="Sí"/>
    <s v="No sé dónde buscar"/>
    <s v="Falta de formación"/>
    <s v="No"/>
    <s v=""/>
    <s v=""/>
    <s v=""/>
    <s v=""/>
    <s v=""/>
    <s v="Puedo hacerlo con ayuda"/>
    <s v="Puedo hacerlo con ayuda"/>
    <s v="No puedo hacerlo"/>
    <s v="Puedo hacerlo con dificultad"/>
    <s v="No puedo hacerlo"/>
    <s v="Crear una hoja de vida"/>
    <s v="Falta de experiencia;Falta de información"/>
    <s v="Ferias de empleo"/>
    <s v="Presencial"/>
    <s v="Fines de semana"/>
    <s v="Redes sociales"/>
  </r>
  <r>
    <x v="288"/>
    <x v="1"/>
    <s v="SI, ACEPTO PARTICIPAR"/>
    <s v="Masculino"/>
    <s v="De 24 a 26 años"/>
    <n v="25"/>
    <s v="URBANO PERIFERICO"/>
    <s v="Posgrado"/>
    <s v="Trabajo actualmente como empleado"/>
    <s v="Empleado con contrato"/>
    <s v="Más de un año"/>
    <s v="Parcialmente"/>
    <s v="3- Insatisfecho/a"/>
    <s v="Salario"/>
    <s v="Sí"/>
    <s v="Más de 6 meses"/>
    <s v="No"/>
    <s v="No"/>
    <s v="Portales de empleo"/>
    <s v="Transporte"/>
    <s v="Sí"/>
    <s v=""/>
    <s v=""/>
    <s v=""/>
    <s v=""/>
    <s v=""/>
    <s v="Puedo hacerlo sin ayuda"/>
    <s v="Puedo hacerlo sin ayuda"/>
    <s v="Puedo hacerlo con dificultad"/>
    <s v="Puedo hacerlo sin ayuda"/>
    <s v="Puedo hacerlo con ayuda"/>
    <s v="Preparación para entrevista"/>
    <s v="Costos de transporte;Distancia"/>
    <s v="No conozco ninguno"/>
    <s v="Presencial y virtual"/>
    <s v="Diurno"/>
    <s v="WhatsApp"/>
  </r>
  <r>
    <x v="289"/>
    <x v="1"/>
    <s v="SI, ACEPTO PARTICIPAR"/>
    <s v="Femenino"/>
    <s v="De 26 a 28 años"/>
    <n v="26"/>
    <s v="URBANO PERIFERICO"/>
    <s v="Técnico"/>
    <s v="Trabajo de manera independiente"/>
    <s v="Trabajo independiente"/>
    <s v="Menos de 3 meses"/>
    <s v="Sí, completamente"/>
    <s v="1- Muy satisfecho/a"/>
    <s v="Acceso a prestaciones"/>
    <s v="No"/>
    <s v="Todavía no he iniciado una búsqueda activa"/>
    <s v="Sí"/>
    <s v="Sí"/>
    <s v="Institución educativa"/>
    <s v="Falta de experiencia"/>
    <s v="Sí"/>
    <s v=""/>
    <s v=""/>
    <s v=""/>
    <s v=""/>
    <s v=""/>
    <s v="No puedo hacerlo"/>
    <s v="No puedo hacerlo"/>
    <s v="Puedo hacerlo sin ayuda"/>
    <s v="Puedo hacerlo sin ayuda"/>
    <s v="Puedo hacerlo con ayuda"/>
    <s v="Comunicación"/>
    <s v="Costos de transporte;Distancia"/>
    <s v="Oficina de orientación laboral"/>
    <s v="Me es indiferente"/>
    <s v="Mañana entre semana"/>
    <s v="Correo electrónico"/>
  </r>
  <r>
    <x v="290"/>
    <x v="1"/>
    <s v="SI, ACEPTO PARTICIPAR"/>
    <s v="Femenino"/>
    <s v="De 18 a 20 años"/>
    <n v="18"/>
    <s v="URBANO PERIFERICO"/>
    <s v="Bachiller"/>
    <s v="Busco mi primer empleo"/>
    <s v=""/>
    <s v=""/>
    <s v=""/>
    <s v=""/>
    <s v=""/>
    <s v=""/>
    <s v="Entre 1 y 3 meses"/>
    <s v="Tengo una pero necesito actualizarla"/>
    <s v="No"/>
    <s v="Empresas directamente"/>
    <s v="Horarios disponibles"/>
    <s v="No"/>
    <s v=""/>
    <s v=""/>
    <s v=""/>
    <s v=""/>
    <s v=""/>
    <s v="Puedo hacerlo con dificultad"/>
    <s v="Puedo hacerlo con dificultad"/>
    <s v="No puedo hacerlo"/>
    <s v="No puedo hacerlo"/>
    <s v="Puedo hacerlo con dificultad"/>
    <s v="Liderazgo"/>
    <s v="Costos de transporte;Distancia"/>
    <s v="Programas de emprendimiento"/>
    <s v="Presencial"/>
    <s v="Fines de semana"/>
    <s v="Celular"/>
  </r>
  <r>
    <x v="291"/>
    <x v="1"/>
    <s v="SI, ACEPTO PARTICIPAR"/>
    <s v="Masculino"/>
    <s v="De 20 a 22 años"/>
    <n v="20"/>
    <s v="URBANO PERIFERICO"/>
    <s v="Bachiller"/>
    <s v="Trabajo actualmente como empleado"/>
    <s v="Empleado sin contrato formal"/>
    <s v="Menos de 3 meses"/>
    <s v="No"/>
    <s v="3- Insatisfecho/a"/>
    <s v="Salario"/>
    <s v="Sí"/>
    <s v="Entre 1 y 3 meses"/>
    <s v="No"/>
    <s v="Sí"/>
    <s v="Portales de empleo"/>
    <s v="Internet"/>
    <s v="Sí"/>
    <s v=""/>
    <s v=""/>
    <s v=""/>
    <s v=""/>
    <s v=""/>
    <s v="No puedo hacerlo"/>
    <s v="No puedo hacerlo"/>
    <s v="Puedo hacerlo con dificultad"/>
    <s v="Puedo hacerlo con ayuda"/>
    <s v="Puedo hacerlo con dificultad"/>
    <s v="Emprendimiento"/>
    <s v="Falta de información"/>
    <s v="Oficina de orientación laboral"/>
    <s v="Virtual"/>
    <s v="Diurno"/>
    <s v="WhatsApp"/>
  </r>
  <r>
    <x v="292"/>
    <x v="1"/>
    <s v="SI, ACEPTO PARTICIPAR"/>
    <s v="Femenino"/>
    <s v="De 22 a 24 años"/>
    <n v="22"/>
    <s v="URBANO PERIFERICO"/>
    <s v="Técnico"/>
    <s v="Trabajo de manera independiente"/>
    <s v="Trabajo independiente"/>
    <s v="De 3 a 6 meses"/>
    <s v="Parcialmente"/>
    <s v="1- Muy satisfecho/a"/>
    <s v="Acceso a prestaciones"/>
    <s v="No estoy seguro/a"/>
    <s v="Entre 4 y 6 meses"/>
    <s v="No"/>
    <s v="No"/>
    <s v="Institución educativa"/>
    <s v="Falta de experiencia"/>
    <s v="Sí"/>
    <s v=""/>
    <s v=""/>
    <s v=""/>
    <s v=""/>
    <s v=""/>
    <s v="Puedo hacerlo con ayuda"/>
    <s v="Puedo hacerlo con ayuda"/>
    <s v="Puedo hacerlo sin ayuda"/>
    <s v="Puedo hacerlo con dificultad"/>
    <s v="Puedo hacerlo sin ayuda"/>
    <s v="Herramientas digitales"/>
    <s v="Falta de información"/>
    <s v="Ferias de empleo"/>
    <s v="Presencial y virtual"/>
    <s v="Mañana entre semana"/>
    <s v="Redes sociales"/>
  </r>
  <r>
    <x v="293"/>
    <x v="1"/>
    <s v="SI, ACEPTO PARTICIPAR"/>
    <s v="Femenino"/>
    <s v="De 24 a 26 años"/>
    <n v="24"/>
    <s v="URBANO PERIFERICO"/>
    <s v="Tecnólogo"/>
    <s v="Estudio y quiero comenzar a trabajar"/>
    <s v=""/>
    <s v=""/>
    <s v=""/>
    <s v=""/>
    <s v=""/>
    <s v=""/>
    <s v="Todavía no he iniciado una búsqueda activa"/>
    <s v="No"/>
    <s v="No"/>
    <s v="Redes sociales"/>
    <s v="Dificultades con la hoja de vida"/>
    <s v="No"/>
    <s v=""/>
    <s v=""/>
    <s v=""/>
    <s v=""/>
    <s v=""/>
    <s v="Puedo hacerlo sin ayuda"/>
    <s v="Puedo hacerlo sin ayuda"/>
    <s v="No puedo hacerlo"/>
    <s v="Puedo hacerlo con dificultad"/>
    <s v="No puedo hacerlo"/>
    <s v="Educación financiera"/>
    <s v="Falta de información"/>
    <s v="No conozco ninguno"/>
    <s v="Me es indiferente"/>
    <s v="Fines de semana"/>
    <s v="Celular"/>
  </r>
  <r>
    <x v="294"/>
    <x v="1"/>
    <s v="SI, ACEPTO PARTICIPAR"/>
    <s v="Masculino"/>
    <s v="De 26 a 28 años"/>
    <n v="27"/>
    <s v="URBANO PERIFERICO"/>
    <s v="Profesional"/>
    <s v="Trabajo actualmente como empleado"/>
    <s v="Empleado sin contrato formal"/>
    <s v="De 3 a 6 meses"/>
    <s v="Sí, completamente"/>
    <s v="4- Muy insatisfecho/a"/>
    <s v="Salario"/>
    <s v="No"/>
    <s v="Todavía no he iniciado una búsqueda activa"/>
    <s v="No"/>
    <s v="No"/>
    <s v="Redes sociales"/>
    <s v="Internet"/>
    <s v="No"/>
    <s v=""/>
    <s v=""/>
    <s v=""/>
    <s v=""/>
    <s v=""/>
    <s v="No puedo hacerlo"/>
    <s v="No puedo hacerlo"/>
    <s v="Puedo hacerlo con dificultad"/>
    <s v="Puedo hacerlo sin ayuda"/>
    <s v="No puedo hacerlo"/>
    <s v="Crear una hoja de vida;Preparación para entrevista"/>
    <s v="Horarios"/>
    <s v="Ferias de empleo"/>
    <s v="Presencial"/>
    <s v="Diurno"/>
    <s v="Correo electrónico"/>
  </r>
  <r>
    <x v="295"/>
    <x v="1"/>
    <s v="SI, ACEPTO PARTICIPAR"/>
    <s v="Masculino"/>
    <s v="De 18 a 20 años"/>
    <n v="19"/>
    <s v="URBANO PERIFERICO"/>
    <s v="Técnico"/>
    <s v="Actualmente no trabajo y estoy buscando empleo"/>
    <s v=""/>
    <s v=""/>
    <s v=""/>
    <s v=""/>
    <s v=""/>
    <s v=""/>
    <s v="Más de 6 meses"/>
    <s v="No"/>
    <s v="No"/>
    <s v="No sé dónde buscar"/>
    <s v="Falta de formación"/>
    <s v="No"/>
    <s v=""/>
    <s v=""/>
    <s v=""/>
    <s v=""/>
    <s v=""/>
    <s v="Puedo hacerlo con dificultad"/>
    <s v="Puedo hacerlo con dificultad"/>
    <s v="Puedo hacerlo sin ayuda"/>
    <s v="No puedo hacerlo"/>
    <s v="Puedo hacerlo con ayuda"/>
    <s v="Comunicación;Liderazgo"/>
    <s v="Horarios"/>
    <s v="Programas de emprendimiento"/>
    <s v="Virtual"/>
    <s v="Mañana entre semana"/>
    <s v="Redes sociales"/>
  </r>
  <r>
    <x v="296"/>
    <x v="1"/>
    <s v="SI, ACEPTO PARTICIPAR"/>
    <s v="Femenino"/>
    <s v="De 20 a 22 años"/>
    <n v="21"/>
    <s v="URBANO PERIFERICO"/>
    <s v="Tecnólogo"/>
    <s v="Estudio y quiero comenzar a trabajar"/>
    <s v=""/>
    <s v=""/>
    <s v=""/>
    <s v=""/>
    <s v=""/>
    <s v=""/>
    <s v="Entre 4 y 6 meses"/>
    <s v="No"/>
    <s v="Sí"/>
    <s v="Redes sociales"/>
    <s v="Dificultades con la hoja de vida"/>
    <s v="No"/>
    <s v=""/>
    <s v=""/>
    <s v=""/>
    <s v=""/>
    <s v=""/>
    <s v="No puedo hacerlo"/>
    <s v="No puedo hacerlo"/>
    <s v="No puedo hacerlo"/>
    <s v="Puedo hacerlo con ayuda"/>
    <s v="Puedo hacerlo con ayuda"/>
    <s v="Herramientas digitales;Educación financiera"/>
    <s v="Horarios"/>
    <s v="Oficina de orientación laboral"/>
    <s v="Presencial y virtual"/>
    <s v="Fines de semana"/>
    <s v="WhatsApp"/>
  </r>
  <r>
    <x v="297"/>
    <x v="1"/>
    <s v="SI, ACEPTO PARTICIPAR"/>
    <s v="Femenino"/>
    <s v="De 22 a 24 años"/>
    <n v="23"/>
    <s v="URBANO PERIFERICO"/>
    <s v="Tecnólogo"/>
    <s v="Trabajo actualmente como empleado"/>
    <s v="Empleado con contrato"/>
    <s v="De 7 a 12 meses"/>
    <s v="Parcialmente"/>
    <s v="4- Muy insatisfecho/a"/>
    <s v="Salario"/>
    <s v="No estoy seguro/a"/>
    <s v="Entre 4 y 6 meses"/>
    <s v="No"/>
    <s v="Sí"/>
    <s v="Redes sociales"/>
    <s v="Internet"/>
    <s v="No"/>
    <s v=""/>
    <s v=""/>
    <s v=""/>
    <s v=""/>
    <s v=""/>
    <s v="Puedo hacerlo con ayuda"/>
    <s v="Puedo hacerlo con ayuda"/>
    <s v="Puedo hacerlo con dificultad"/>
    <s v="Puedo hacerlo con ayuda"/>
    <s v="Puedo hacerlo con dificultad"/>
    <s v="Crear una hoja de vida"/>
    <s v="Costos de transporte"/>
    <s v="Programas de emprendimiento"/>
    <s v="Me es indiferente"/>
    <s v="Nocturno"/>
    <s v="Correo electrónico"/>
  </r>
  <r>
    <x v="298"/>
    <x v="1"/>
    <s v="SI, ACEPTO PARTICIPAR"/>
    <s v="Masculino"/>
    <s v="De 24 a 26 años"/>
    <n v="25"/>
    <s v="URBANO PERIFERICO"/>
    <s v="Profesional"/>
    <s v="Actualmente no trabajo y estoy buscando empleo"/>
    <s v=""/>
    <s v=""/>
    <s v=""/>
    <s v=""/>
    <s v=""/>
    <s v=""/>
    <s v="Entre 4 y 6 meses"/>
    <s v="No"/>
    <s v="Sí"/>
    <s v="Portales de empleo;Redes sociales"/>
    <s v="Falta de formación"/>
    <s v="Sí"/>
    <s v=""/>
    <s v=""/>
    <s v=""/>
    <s v=""/>
    <s v=""/>
    <s v="Puedo hacerlo sin ayuda"/>
    <s v="Puedo hacerlo sin ayuda"/>
    <s v="Puedo hacerlo sin ayuda"/>
    <s v="Puedo hacerlo con dificultad"/>
    <s v="Puedo hacerlo sin ayuda"/>
    <s v="Preparación para entrevista"/>
    <s v="Costos de transporte"/>
    <s v="No conozco ninguno"/>
    <s v="Presencial"/>
    <s v="Mañana entre semana"/>
    <s v="Celular"/>
  </r>
  <r>
    <x v="299"/>
    <x v="1"/>
    <s v="SI, ACEPTO PARTICIPAR"/>
    <s v="Femenino"/>
    <s v="De 26 a 28 años"/>
    <n v="28"/>
    <s v="URBANO PERIFERICO"/>
    <s v="Posgrad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herramientas"/>
    <s v="Falta de herramientas"/>
    <s v="Sí"/>
    <s v="No puedo hacerlo"/>
    <s v="No puedo hacerlo"/>
    <s v="No puedo hacerlo"/>
    <s v="Puedo hacerlo sin ayuda"/>
    <s v="Puedo hacerlo sin ayuda"/>
    <s v="Comunicación"/>
    <s v="Costos de transporte"/>
    <s v="Ferias de empleo"/>
    <s v="Virtual"/>
    <s v="Fines de semana"/>
    <s v="WhatsApp"/>
  </r>
  <r>
    <x v="300"/>
    <x v="1"/>
    <s v="SI, ACEPTO PARTICIPAR"/>
    <s v="Femenino"/>
    <s v="De 18 a 20 años"/>
    <n v="18"/>
    <s v="URBANO PERIFERICO"/>
    <s v="Bachiller"/>
    <s v="Trabajo de manera independiente"/>
    <s v="Trabajo independiente"/>
    <s v="De 7 a 12 meses"/>
    <s v="No"/>
    <s v="1- Muy satisfecho/a"/>
    <s v="Oportunidades de crecimiento"/>
    <s v="Sí"/>
    <s v="Menos de 1 mes"/>
    <s v="No"/>
    <s v="Sí"/>
    <s v="Institución educativa"/>
    <s v="Falta de experiencia"/>
    <s v="Sí"/>
    <s v=""/>
    <s v=""/>
    <s v=""/>
    <s v=""/>
    <s v=""/>
    <s v="Puedo hacerlo con dificultad"/>
    <s v="Puedo hacerlo con dificultad"/>
    <s v="Puedo hacerlo con dificultad"/>
    <s v="No puedo hacerlo"/>
    <s v="No puedo hacerlo"/>
    <s v="Liderazgo"/>
    <s v="Horarios;Falta de información"/>
    <s v="No conozco ninguno"/>
    <s v="Presencial y virtual"/>
    <s v="Nocturno"/>
    <s v="Redes sociales"/>
  </r>
  <r>
    <x v="301"/>
    <x v="1"/>
    <s v="SI, ACEPTO PARTICIPAR"/>
    <s v="Masculino"/>
    <s v="De 20 a 22 años"/>
    <n v="20"/>
    <s v="URBANO PERIFERICO"/>
    <s v="Bachiller"/>
    <s v="Busco mi primer empleo"/>
    <s v=""/>
    <s v=""/>
    <s v=""/>
    <s v=""/>
    <s v=""/>
    <s v=""/>
    <s v="Menos de 1 mes"/>
    <s v="Tengo una pero necesito actualizarla"/>
    <s v="No"/>
    <s v="Empresas directamente"/>
    <s v="Transporte"/>
    <s v="No"/>
    <s v=""/>
    <s v=""/>
    <s v=""/>
    <s v=""/>
    <s v=""/>
    <s v="No puedo hacerlo"/>
    <s v="No puedo hacerlo"/>
    <s v="Puedo hacerlo sin ayuda"/>
    <s v="No puedo hacerlo"/>
    <s v="No puedo hacerlo"/>
    <s v="Emprendimiento"/>
    <s v="Horarios;Falta de información"/>
    <s v="Oficina de orientación laboral"/>
    <s v="Me es indiferente"/>
    <s v="Mañana entre semana"/>
    <s v="Celular"/>
  </r>
  <r>
    <x v="302"/>
    <x v="1"/>
    <s v="SI, ACEPTO PARTICIPAR"/>
    <s v="Masculino"/>
    <s v="De 22 a 24 años"/>
    <n v="22"/>
    <s v="URBANO PERIFERICO"/>
    <s v="Bachiller"/>
    <s v="Trabajo actualmente como empleado"/>
    <s v="Empleado con contrato"/>
    <s v="Más de un año"/>
    <s v="No"/>
    <s v="4- Muy insatisfecho/a"/>
    <s v="Estabilidad laboral"/>
    <s v="Sí"/>
    <s v="Menos de 1 mes"/>
    <s v="No"/>
    <s v="No"/>
    <s v="Redes sociales"/>
    <s v="Internet"/>
    <s v="No"/>
    <s v=""/>
    <s v=""/>
    <s v=""/>
    <s v=""/>
    <s v=""/>
    <s v="Puedo hacerlo con ayuda"/>
    <s v="Puedo hacerlo con ayuda"/>
    <s v="No puedo hacerlo"/>
    <s v="Puedo hacerlo con ayuda"/>
    <s v="Puedo hacerlo con ayuda"/>
    <s v="Herramientas digitales"/>
    <s v="Horarios;Falta de información"/>
    <s v="Programas de emprendimiento"/>
    <s v="Presencial"/>
    <s v="Fines de semana"/>
    <s v="Correo electrónico"/>
  </r>
  <r>
    <x v="303"/>
    <x v="1"/>
    <s v="SI, ACEPTO PARTICIPAR"/>
    <s v="Femenino"/>
    <s v="De 24 a 26 años"/>
    <n v="24"/>
    <s v="URBANO PERIFERICO"/>
    <s v="Técnico"/>
    <s v="Trabajo de manera independiente"/>
    <s v="Trabajo independiente"/>
    <s v="Más de un año"/>
    <s v="Sí, completamente"/>
    <s v="2- Satisfecho/a"/>
    <s v="Oportunidades de crecimiento"/>
    <s v="No"/>
    <s v="Todavía no he iniciado una búsqueda activa"/>
    <s v="No"/>
    <s v="No"/>
    <s v="No sé dónde buscar"/>
    <s v="Falta de experiencia"/>
    <s v="No"/>
    <s v=""/>
    <s v=""/>
    <s v=""/>
    <s v=""/>
    <s v=""/>
    <s v="Puedo hacerlo sin ayuda"/>
    <s v="Puedo hacerlo sin ayuda"/>
    <s v="Puedo hacerlo con ayuda"/>
    <s v="Puedo hacerlo con dificultad"/>
    <s v="Puedo hacerlo con dificultad"/>
    <s v="Educación financiera"/>
    <s v="Ninguna"/>
    <s v="Oficina de orientación laboral"/>
    <s v="Virtual"/>
    <s v="Nocturno"/>
    <s v="Redes sociales"/>
  </r>
  <r>
    <x v="304"/>
    <x v="1"/>
    <s v="SI, ACEPTO PARTICIPAR"/>
    <s v="Femenino"/>
    <s v="De 26 a 28 años"/>
    <n v="26"/>
    <s v="URBANO PERIFERICO"/>
    <s v="Tecnólogo"/>
    <s v="Estudio y quiero comenzar a trabajar"/>
    <s v=""/>
    <s v=""/>
    <s v=""/>
    <s v=""/>
    <s v=""/>
    <s v=""/>
    <s v="Menos de 1 mes"/>
    <s v="Tengo una pero necesito actualizarla"/>
    <s v="No"/>
    <s v="Redes sociales"/>
    <s v="Dificultades con la hoja de vida"/>
    <s v="No"/>
    <s v=""/>
    <s v=""/>
    <s v=""/>
    <s v=""/>
    <s v=""/>
    <s v="No puedo hacerlo"/>
    <s v="No puedo hacerlo"/>
    <s v="Puedo hacerlo sin ayuda"/>
    <s v="Puedo hacerlo sin ayuda"/>
    <s v="Puedo hacerlo con dificultad"/>
    <s v="Crear una hoja de vida;Preparación para entrevista"/>
    <s v="Ninguna"/>
    <s v="Ferias de empleo"/>
    <s v="Presencial y virtual"/>
    <s v="Mañana entre semana"/>
    <s v="WhatsApp"/>
  </r>
  <r>
    <x v="305"/>
    <x v="1"/>
    <s v="SI, ACEPTO PARTICIPAR"/>
    <s v="Masculino"/>
    <s v="De 18 a 20 años"/>
    <n v="19"/>
    <s v="URBANO PERIFERICO"/>
    <s v="Bachiller"/>
    <s v="Trabajo actualmente como empleado"/>
    <s v="Empleado sin contrato formal"/>
    <s v="Menos de 3 meses"/>
    <s v="Sí, completamente"/>
    <s v="1- Muy satisfecho/a"/>
    <s v="Estabilidad laboral"/>
    <s v="No"/>
    <s v="Todavía no he iniciado una búsqueda activa"/>
    <s v="No"/>
    <s v="Sí"/>
    <s v="Familiares o conocidos"/>
    <s v="Falta de experiencia"/>
    <s v="Sí"/>
    <s v=""/>
    <s v=""/>
    <s v=""/>
    <s v=""/>
    <s v=""/>
    <s v="Puedo hacerlo con dificultad"/>
    <s v="Puedo hacerlo con dificultad"/>
    <s v="No puedo hacerlo"/>
    <s v="Puedo hacerlo sin ayuda"/>
    <s v="Puedo hacerlo sin ayuda"/>
    <s v="Comunicación;Liderazgo"/>
    <s v="Ninguna"/>
    <s v="No conozco ninguno"/>
    <s v="Presencial"/>
    <s v="Fines de semana"/>
    <s v="Correo electrónico"/>
  </r>
  <r>
    <x v="306"/>
    <x v="1"/>
    <s v="SI, ACEPTO PARTICIPAR"/>
    <s v="Femenino"/>
    <s v="De 20 a 22 años"/>
    <n v="21"/>
    <s v="URBANO PERIFERICO"/>
    <s v="Técnico"/>
    <s v="Actualmente no trabajo y estoy buscando empleo"/>
    <s v=""/>
    <s v=""/>
    <s v=""/>
    <s v=""/>
    <s v=""/>
    <s v=""/>
    <s v="Entre 1 y 3 meses"/>
    <s v="No"/>
    <s v="No"/>
    <s v="Portales de empleo;Redes sociales"/>
    <s v="Falta de formación"/>
    <s v="Sí"/>
    <s v=""/>
    <s v=""/>
    <s v=""/>
    <s v=""/>
    <s v=""/>
    <s v="No puedo hacerlo"/>
    <s v="No puedo hacerlo"/>
    <s v="Puedo hacerlo con ayuda"/>
    <s v="No puedo hacerlo"/>
    <s v="No puedo hacerlo"/>
    <s v="Herramientas digitales;Educación financiera"/>
    <s v="Falta de experiencia"/>
    <s v="Ferias de empleo"/>
    <s v="Virtual"/>
    <s v="Nocturno"/>
    <s v="Celular"/>
  </r>
  <r>
    <x v="307"/>
    <x v="1"/>
    <s v="SI, ACEPTO PARTICIPAR"/>
    <s v="Femenino"/>
    <s v="De 22 a 24 años"/>
    <n v="23"/>
    <s v="URBANO PERIFERICO"/>
    <s v="Tecnólogo"/>
    <s v="Estudio y quiero comenzar a trabajar"/>
    <s v=""/>
    <s v=""/>
    <s v=""/>
    <s v=""/>
    <s v=""/>
    <s v=""/>
    <s v="Más de 6 meses"/>
    <s v="Tengo una pero necesito actualizarla"/>
    <s v="Sí"/>
    <s v="Familiares o conocidos"/>
    <s v="Horarios disponibles"/>
    <s v="Sí"/>
    <s v=""/>
    <s v=""/>
    <s v=""/>
    <s v=""/>
    <s v=""/>
    <s v="Puedo hacerlo con ayuda"/>
    <s v="Puedo hacerlo con ayuda"/>
    <s v="Puedo hacerlo sin ayuda"/>
    <s v="Puedo hacerlo con ayuda"/>
    <s v="No puedo hacerlo"/>
    <s v="Crear una hoja de vida"/>
    <s v="Falta de experiencia"/>
    <s v="Programas de emprendimiento"/>
    <s v="Presencial y virtual"/>
    <s v="Mañana entre semana"/>
    <s v="WhatsApp"/>
  </r>
  <r>
    <x v="308"/>
    <x v="1"/>
    <s v="SI, ACEPTO PARTICIPAR"/>
    <s v="Masculino"/>
    <s v="De 24 a 26 años"/>
    <n v="25"/>
    <s v="URBANO PERIFERICO"/>
    <s v="Tecnólogo"/>
    <s v="Trabajo actualmente como empleado"/>
    <s v="Empleado sin contrato formal"/>
    <s v="De 3 a 6 meses"/>
    <s v="Parcialmente"/>
    <s v="1- Muy satisfecho/a"/>
    <s v="Estabilidad laboral"/>
    <s v="No"/>
    <s v="Todavía no he iniciado una búsqueda activa"/>
    <s v="No"/>
    <s v="No"/>
    <s v="Familiares o conocidos"/>
    <s v="Falta de experiencia"/>
    <s v="Sí"/>
    <s v=""/>
    <s v=""/>
    <s v=""/>
    <s v=""/>
    <s v=""/>
    <s v="Puedo hacerlo sin ayuda"/>
    <s v="Puedo hacerlo sin ayuda"/>
    <s v="No puedo hacerlo"/>
    <s v="Puedo hacerlo con dificultad"/>
    <s v="Puedo hacerlo con ayuda"/>
    <s v="Preparación para entrevista"/>
    <s v="Falta de experiencia"/>
    <s v="Oficina de orientación laboral"/>
    <s v="Me es indiferente"/>
    <s v="Diurno"/>
    <s v="Redes sociales"/>
  </r>
  <r>
    <x v="309"/>
    <x v="1"/>
    <s v="SI, ACEPTO PARTICIPAR"/>
    <s v="Masculino"/>
    <s v="De 26 a 28 años"/>
    <n v="27"/>
    <s v="URBANO PERIFERICO"/>
    <s v="Profesional"/>
    <s v="Actualmente no trabajo y estoy buscando empleo"/>
    <s v=""/>
    <s v=""/>
    <s v=""/>
    <s v=""/>
    <s v=""/>
    <s v=""/>
    <s v="Menos de 1 mes"/>
    <s v="Tengo una pero necesito actualizarla"/>
    <s v="Sí"/>
    <s v="Portales de empleo;Redes sociales"/>
    <s v="Dificultades con la hoja de vida"/>
    <s v="Sí"/>
    <s v=""/>
    <s v=""/>
    <s v=""/>
    <s v=""/>
    <s v=""/>
    <s v="No puedo hacerlo"/>
    <s v="No puedo hacerlo"/>
    <s v="Puedo hacerlo con ayuda"/>
    <s v="Puedo hacerlo con dificultad"/>
    <s v="Puedo hacerlo con ayuda"/>
    <s v="Comunicación"/>
    <s v="Distancia"/>
    <s v="Ferias de empleo"/>
    <s v="Presencial"/>
    <s v="Nocturno"/>
    <s v="Celular"/>
  </r>
  <r>
    <x v="310"/>
    <x v="1"/>
    <s v="SI, ACEPTO PARTICIPAR"/>
    <s v="Femenino"/>
    <s v="De 18 a 20 años"/>
    <n v="18"/>
    <s v="URBANO PERIFERICO"/>
    <s v="Tecnólog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financiación"/>
    <s v="Falta de financiación"/>
    <s v="No"/>
    <s v="Puedo hacerlo con dificultad"/>
    <s v="Puedo hacerlo con dificultad"/>
    <s v="Puedo hacerlo sin ayuda"/>
    <s v="Puedo hacerlo sin ayuda"/>
    <s v="Puedo hacerlo con dificultad"/>
    <s v="Liderazgo"/>
    <s v="Distancia"/>
    <s v="No conozco ninguno"/>
    <s v="Virtual"/>
    <s v="Mañana entre semana"/>
    <s v="Correo electrónico"/>
  </r>
  <r>
    <x v="311"/>
    <x v="1"/>
    <s v="SI, ACEPTO PARTICIPAR"/>
    <s v="Femenino"/>
    <s v="De 20 a 22 años"/>
    <n v="20"/>
    <s v="URBANO PERIFERICO"/>
    <s v="Tecnólogo"/>
    <s v="Trabajo de manera independiente"/>
    <s v="Trabajo independiente"/>
    <s v="Menos de 3 meses"/>
    <s v="Parcialmente"/>
    <s v="2- Satisfecho/a"/>
    <s v="Oportunidades de crecimiento"/>
    <s v="No"/>
    <s v="Todavía no he iniciado una búsqueda activa"/>
    <s v="No"/>
    <s v="Sí"/>
    <s v="No sé dónde buscar"/>
    <s v="Falta de formación"/>
    <s v="No"/>
    <s v=""/>
    <s v=""/>
    <s v=""/>
    <s v=""/>
    <s v=""/>
    <s v="No puedo hacerlo"/>
    <s v="No puedo hacerlo"/>
    <s v="No puedo hacerlo"/>
    <s v="No puedo hacerlo"/>
    <s v="Puedo hacerlo sin ayuda"/>
    <s v="Emprendimiento"/>
    <s v="Distancia"/>
    <s v="Ferias de empleo"/>
    <s v="Presencial y virtual"/>
    <s v="Diurno"/>
    <s v="Redes sociales"/>
  </r>
  <r>
    <x v="312"/>
    <x v="1"/>
    <s v="SI, ACEPTO PARTICIPAR"/>
    <s v="Masculino"/>
    <s v="De 22 a 24 años"/>
    <n v="22"/>
    <s v="URBANO PERIFERICO"/>
    <s v="Profesional"/>
    <s v="Busco mi primer empleo"/>
    <s v=""/>
    <s v=""/>
    <s v=""/>
    <s v=""/>
    <s v=""/>
    <s v=""/>
    <s v="Más de 6 meses"/>
    <s v="Tengo una pero necesito actualizarla"/>
    <s v="No"/>
    <s v="Empresas directamente"/>
    <s v="Transporte"/>
    <s v="No"/>
    <s v=""/>
    <s v=""/>
    <s v=""/>
    <s v=""/>
    <s v=""/>
    <s v="Puedo hacerlo con ayuda"/>
    <s v="Puedo hacerlo con ayuda"/>
    <s v="Puedo hacerlo con ayuda"/>
    <s v="No puedo hacerlo"/>
    <s v="Puedo hacerlo sin ayuda"/>
    <s v="Herramientas digitales"/>
    <s v="Falta de experiencia;Falta de información"/>
    <s v="Programas de emprendimiento"/>
    <s v="Me es indiferente"/>
    <s v="Nocturno"/>
    <s v="WhatsApp"/>
  </r>
  <r>
    <x v="313"/>
    <x v="1"/>
    <s v="SI, ACEPTO PARTICIPAR"/>
    <s v="Femenino"/>
    <s v="De 24 a 26 años"/>
    <n v="24"/>
    <s v="URBANO PERIFERICO"/>
    <s v="Profesional"/>
    <s v="Trabajo actualmente como empleado"/>
    <s v="Empleado con contrato"/>
    <s v="De 7 a 12 meses"/>
    <s v="No"/>
    <s v="1- Muy satisfecho/a"/>
    <s v="Estabilidad laboral"/>
    <s v="No"/>
    <s v="Todavía no he iniciado una búsqueda activa"/>
    <s v="Tengo una pero necesito actualizarla"/>
    <s v="Sí"/>
    <s v="Familiares o conocidos"/>
    <s v="Falta de experiencia"/>
    <s v="Sí"/>
    <s v=""/>
    <s v=""/>
    <s v=""/>
    <s v=""/>
    <s v=""/>
    <s v="Puedo hacerlo sin ayuda"/>
    <s v="Puedo hacerlo sin ayuda"/>
    <s v="Puedo hacerlo sin ayuda"/>
    <s v="Puedo hacerlo con ayuda"/>
    <s v="No puedo hacerlo"/>
    <s v="Educación financiera"/>
    <s v="Falta de experiencia;Falta de información"/>
    <s v="Oficina de orientación laboral"/>
    <s v="Presencial"/>
    <s v="Mañana entre semana"/>
    <s v="Redes sociales"/>
  </r>
  <r>
    <x v="314"/>
    <x v="1"/>
    <s v="SI, ACEPTO PARTICIPAR"/>
    <s v="Femenino"/>
    <s v="De 26 a 28 años"/>
    <n v="28"/>
    <s v="URBANO PERIFERICO"/>
    <s v="Técnico"/>
    <s v="Trabajo de manera independiente"/>
    <s v="Trabajo independiente"/>
    <s v="De 3 a 6 meses"/>
    <s v="No"/>
    <s v="2- Satisfecho/a"/>
    <s v="Oportunidades de crecimiento"/>
    <s v="No"/>
    <s v="Todavía no he iniciado una búsqueda activa"/>
    <s v="No"/>
    <s v="No"/>
    <s v="No sé dónde buscar"/>
    <s v="Falta de formación"/>
    <s v="No"/>
    <s v=""/>
    <s v=""/>
    <s v=""/>
    <s v=""/>
    <s v=""/>
    <s v="No puedo hacerlo"/>
    <s v="No puedo hacerlo"/>
    <s v="No puedo hacerlo"/>
    <s v="Puedo hacerlo con dificultad"/>
    <s v="No puedo hacerlo"/>
    <s v="Crear una hoja de vida;Preparación para entrevista"/>
    <s v="Falta de experiencia;Falta de información"/>
    <s v="Programas de emprendimiento"/>
    <s v="Virtual"/>
    <s v="Diurno"/>
    <s v="Celular"/>
  </r>
  <r>
    <x v="315"/>
    <x v="1"/>
    <s v="SI, ACEPTO PARTICIPAR"/>
    <s v="Masculino"/>
    <s v="De 18 a 20 años"/>
    <n v="19"/>
    <s v="URBANO PERIFERICO"/>
    <s v="Bachiller"/>
    <s v="Busco mi primer empleo"/>
    <s v=""/>
    <s v=""/>
    <s v=""/>
    <s v=""/>
    <s v=""/>
    <s v=""/>
    <s v="Entre 4 y 6 meses"/>
    <s v="Sí"/>
    <s v="No"/>
    <s v="Ferias de empleo"/>
    <s v="Transporte"/>
    <s v="Sí"/>
    <s v=""/>
    <s v=""/>
    <s v=""/>
    <s v=""/>
    <s v=""/>
    <s v="Puedo hacerlo con dificultad"/>
    <s v="Puedo hacerlo con dificultad"/>
    <s v="Puedo hacerlo con ayuda"/>
    <s v="Puedo hacerlo sin ayuda"/>
    <s v="Puedo hacerlo con ayuda"/>
    <s v="Comunicación;Liderazgo"/>
    <s v="Costos de transporte;Distancia"/>
    <s v="No conozco ninguno"/>
    <s v="Presencial y virtual"/>
    <s v="Nocturno"/>
    <s v="Correo electrónico"/>
  </r>
  <r>
    <x v="316"/>
    <x v="1"/>
    <s v="SI, ACEPTO PARTICIPAR"/>
    <s v="Masculino"/>
    <s v="De 20 a 22 años"/>
    <n v="21"/>
    <s v="URBANO PERIFERICO"/>
    <s v="Bachiller"/>
    <s v="Trabajo actualmente como empleado"/>
    <s v="Empleado con contrato"/>
    <s v="Más de un año"/>
    <s v="Sí, completamente"/>
    <s v="2- Satisfecho/a"/>
    <s v="Estabilidad laboral"/>
    <s v="No estoy seguro/a"/>
    <s v="Entre 4 y 6 meses"/>
    <s v="Tengo una pero necesito actualizarla"/>
    <s v="No"/>
    <s v="Empresas directamente"/>
    <s v="Falta de experiencia"/>
    <s v="No"/>
    <s v=""/>
    <s v=""/>
    <s v=""/>
    <s v=""/>
    <s v=""/>
    <s v="No puedo hacerlo"/>
    <s v="No puedo hacerlo"/>
    <s v="Puedo hacerlo con dificultad"/>
    <s v="Puedo hacerlo sin ayuda"/>
    <s v="Puedo hacerlo con dificultad"/>
    <s v="Herramientas digitales;Educación financiera"/>
    <s v="Costos de transporte;Distancia"/>
    <s v="Ferias de empleo"/>
    <s v="Me es indiferente"/>
    <s v="Mañana entre semana"/>
    <s v="Redes sociales"/>
  </r>
  <r>
    <x v="317"/>
    <x v="1"/>
    <s v="SI, ACEPTO PARTICIPAR"/>
    <s v="Femenino"/>
    <s v="De 22 a 24 años"/>
    <n v="23"/>
    <s v="URBANO PERIFERICO"/>
    <s v="Técnico"/>
    <s v="Actualmente no trabajo y estoy buscando empleo"/>
    <s v=""/>
    <s v=""/>
    <s v=""/>
    <s v=""/>
    <s v=""/>
    <s v=""/>
    <s v="Más de 6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con ayuda"/>
    <s v="Puedo hacerlo con ayuda"/>
    <s v="No puedo hacerlo"/>
    <s v="No puedo hacerlo"/>
    <s v="Puedo hacerlo con dificultad"/>
    <s v="Crear una hoja de vida"/>
    <s v="Costos de transporte;Distancia"/>
    <s v="No conozco ninguno"/>
    <s v="Presencial"/>
    <s v="Diurno"/>
    <s v="WhatsApp"/>
  </r>
  <r>
    <x v="318"/>
    <x v="1"/>
    <s v="SI, ACEPTO PARTICIPAR"/>
    <s v="Femenino"/>
    <s v="De 24 a 26 años"/>
    <n v="25"/>
    <s v="URBANO PERIFERICO"/>
    <s v="Técnico"/>
    <s v="Estudio y quiero comenzar a trabajar"/>
    <s v=""/>
    <s v=""/>
    <s v=""/>
    <s v=""/>
    <s v=""/>
    <s v=""/>
    <s v="Entre 1 y 3 meses"/>
    <s v="Tengo una pero necesito actualizarla"/>
    <s v="No"/>
    <s v="Familiares o conocidos"/>
    <s v="Horarios disponibles"/>
    <s v="Sí"/>
    <s v=""/>
    <s v=""/>
    <s v=""/>
    <s v=""/>
    <s v=""/>
    <s v="Puedo hacerlo sin ayuda"/>
    <s v="Puedo hacerlo sin ayuda"/>
    <s v="Puedo hacerlo con ayuda"/>
    <s v="Puedo hacerlo con ayuda"/>
    <s v="Puedo hacerlo sin ayuda"/>
    <s v="Preparación para entrevista"/>
    <s v="Falta de información"/>
    <s v="Oficina de orientación laboral"/>
    <s v="Virtual"/>
    <s v="Nocturno"/>
    <s v="Correo electrónico"/>
  </r>
  <r>
    <x v="319"/>
    <x v="1"/>
    <s v="SI, ACEPTO PARTICIPAR"/>
    <s v="Masculino"/>
    <s v="De 26 a 28 años"/>
    <n v="26"/>
    <s v="URBANO PERIFERICO"/>
    <s v="Profesional"/>
    <s v="Trabajo actualmente como empleado"/>
    <s v="Empleado sin contrato formal"/>
    <s v="Menos de 3 meses"/>
    <s v="Parcialmente"/>
    <s v="2- Satisfecho/a"/>
    <s v="Horario"/>
    <s v="Sí"/>
    <s v="Menos de 1 mes"/>
    <s v="Tengo una pero necesito actualizarla"/>
    <s v="Sí"/>
    <s v="Empresas directamente"/>
    <s v="Falta de formación"/>
    <s v="No"/>
    <s v=""/>
    <s v=""/>
    <s v=""/>
    <s v=""/>
    <s v=""/>
    <s v="No puedo hacerlo"/>
    <s v="No puedo hacerlo"/>
    <s v="Puedo hacerlo con dificultad"/>
    <s v="Puedo hacerlo con dificultad"/>
    <s v="Puedo hacerlo sin ayuda"/>
    <s v="Comunicación"/>
    <s v="Falta de información"/>
    <s v="Programas de emprendimiento"/>
    <s v="Presencial y virtual"/>
    <s v="Fines de semana"/>
    <s v="Celular"/>
  </r>
  <r>
    <x v="320"/>
    <x v="1"/>
    <s v="SI, ACEPTO PARTICIPAR"/>
    <s v="Femenino"/>
    <s v="De 18 a 20 años"/>
    <n v="18"/>
    <s v="URBANO PERIFERICO"/>
    <s v="Técnico"/>
    <s v="Actualmente no trabajo y estoy buscando empleo"/>
    <s v=""/>
    <s v=""/>
    <s v=""/>
    <s v=""/>
    <s v=""/>
    <s v=""/>
    <s v="Entre 4 y 6 meses"/>
    <s v="Tengo una pero necesito actualizarla"/>
    <s v="Sí"/>
    <s v="Familiares o conocidos;Empresas directamente"/>
    <s v="Dificultades con la hoja de vida"/>
    <s v="No"/>
    <s v=""/>
    <s v=""/>
    <s v=""/>
    <s v=""/>
    <s v=""/>
    <s v="Puedo hacerlo con dificultad"/>
    <s v="Puedo hacerlo con dificultad"/>
    <s v="No puedo hacerlo"/>
    <s v="Puedo hacerlo con dificultad"/>
    <s v="No puedo hacerlo"/>
    <s v="Liderazgo"/>
    <s v="Falta de información"/>
    <s v="Oficina de orientación laboral"/>
    <s v="Me es indiferente"/>
    <s v="Diurno"/>
    <s v="WhatsApp"/>
  </r>
  <r>
    <x v="321"/>
    <x v="1"/>
    <s v="SI, ACEPTO PARTICIPAR"/>
    <s v="Femenino"/>
    <s v="De 20 a 22 años"/>
    <n v="20"/>
    <s v="URBANO PERIFERICO"/>
    <s v="Técnic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conocimientos administrativos"/>
    <s v="Falta de conocimientos administrativos"/>
    <s v="No conozco programas de ese tipo"/>
    <s v="Puedo hacerlo sin ayuda"/>
    <s v="Puedo hacerlo sin ayuda"/>
    <s v="Puedo hacerlo con ayuda"/>
    <s v="Puedo hacerlo sin ayuda"/>
    <s v="Puedo hacerlo con ayuda"/>
    <s v="Emprendimiento"/>
    <s v="Horarios"/>
    <s v="Ferias de empleo"/>
    <s v="Virtual"/>
    <s v="Nocturno"/>
    <s v="Redes sociales"/>
  </r>
  <r>
    <x v="322"/>
    <x v="1"/>
    <s v="SI, ACEPTO PARTICIPAR"/>
    <s v="Masculino"/>
    <s v="De 22 a 24 años"/>
    <n v="22"/>
    <s v="URBANO PERIFERICO"/>
    <s v="Tecnólogo"/>
    <s v="Trabajo actualmente como empleado"/>
    <s v="Empleado sin contrato formal"/>
    <s v="De 3 a 6 meses"/>
    <s v="No"/>
    <s v="2- Satisfecho/a"/>
    <s v="Horario"/>
    <s v="No"/>
    <s v="Todavía no he iniciado una búsqueda activa"/>
    <s v="Tengo una pero necesito actualizarla"/>
    <s v="No"/>
    <s v="Empresas directamente"/>
    <s v="Falta de formación"/>
    <s v="No"/>
    <s v=""/>
    <s v=""/>
    <s v=""/>
    <s v=""/>
    <s v=""/>
    <s v="Puedo hacerlo con ayuda"/>
    <s v="Puedo hacerlo con ayuda"/>
    <s v="Puedo hacerlo con dificultad"/>
    <s v="No puedo hacerlo"/>
    <s v="Puedo hacerlo con ayuda"/>
    <s v="Herramientas digitales"/>
    <s v="Horarios"/>
    <s v="No conozco ninguno"/>
    <s v="Presencial y virtual"/>
    <s v="Fines de semana"/>
    <s v="Celular"/>
  </r>
  <r>
    <x v="323"/>
    <x v="1"/>
    <s v="SI, ACEPTO PARTICIPAR"/>
    <s v="Masculino"/>
    <s v="De 24 a 26 años"/>
    <n v="24"/>
    <s v="URBANO PERIFERICO"/>
    <s v="Profesional"/>
    <s v="Actualmente no trabajo y estoy buscando empleo"/>
    <s v=""/>
    <s v=""/>
    <s v=""/>
    <s v=""/>
    <s v=""/>
    <s v=""/>
    <s v="Entre 1 y 3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sin ayuda"/>
    <s v="Puedo hacerlo sin ayuda"/>
    <s v="No puedo hacerlo"/>
    <s v="Puedo hacerlo con ayuda"/>
    <s v="Puedo hacerlo con dificultad"/>
    <s v="Educación financiera"/>
    <s v="Horarios"/>
    <s v="Ferias de empleo"/>
    <s v="Me es indiferente"/>
    <s v="Diurno"/>
    <s v="Correo electrónico"/>
  </r>
  <r>
    <x v="324"/>
    <x v="1"/>
    <s v="SI, ACEPTO PARTICIPAR"/>
    <s v="Femenino"/>
    <s v="De 26 a 28 años"/>
    <n v="27"/>
    <s v="URBANO PERIFERICO"/>
    <s v="Posgrado"/>
    <s v="Trabajo actualmente como empleado"/>
    <s v="Empleado con contrato"/>
    <s v="De 7 a 12 meses"/>
    <s v="Sí, completamente"/>
    <s v="3- Insatisfecho/a"/>
    <s v="Horario"/>
    <s v="Sí"/>
    <s v="Entre 1 y 3 meses"/>
    <s v="Tengo una pero necesito actualizarla"/>
    <s v="Sí"/>
    <s v="Ferias de empleo"/>
    <s v="Falta de formación"/>
    <s v="Sí"/>
    <s v=""/>
    <s v=""/>
    <s v=""/>
    <s v=""/>
    <s v=""/>
    <s v="No puedo hacerlo"/>
    <s v="No puedo hacerlo"/>
    <s v="Puedo hacerlo con ayuda"/>
    <s v="Puedo hacerlo con ayuda"/>
    <s v="Puedo hacerlo sin ayuda"/>
    <s v="Crear una hoja de vida;Preparación para entrevista"/>
    <s v="Costos de transporte"/>
    <s v="Programas de emprendimiento"/>
    <s v="Presencial"/>
    <s v="Nocturno"/>
    <s v="Redes sociales"/>
  </r>
  <r>
    <x v="325"/>
    <x v="1"/>
    <s v="SI, ACEPTO PARTICIPAR"/>
    <s v="Femenino"/>
    <s v="De 18 a 20 años"/>
    <n v="19"/>
    <s v="URBANO PERIFERICO"/>
    <s v="Bachiller"/>
    <s v="Trabajo de manera independiente"/>
    <s v="Trabajo independiente"/>
    <s v="De 7 a 12 meses"/>
    <s v="Sí, completamente"/>
    <s v="3- Insatisfecho/a"/>
    <s v="Oportunidades de crecimiento"/>
    <s v="No estoy seguro/a"/>
    <s v="Entre 4 y 6 meses"/>
    <s v="No"/>
    <s v="Sí"/>
    <s v="Portales de empleo;Redes sociales"/>
    <s v="Falta de formación"/>
    <s v="Sí"/>
    <s v=""/>
    <s v=""/>
    <s v=""/>
    <s v=""/>
    <s v=""/>
    <s v="Puedo hacerlo con dificultad"/>
    <s v="Puedo hacerlo con dificultad"/>
    <s v="Puedo hacerlo con dificultad"/>
    <s v="Puedo hacerlo con dificultad"/>
    <s v="Puedo hacerlo sin ayuda"/>
    <s v="Comunicación;Liderazgo"/>
    <s v="Costos de transporte"/>
    <s v="Oficina de orientación laboral"/>
    <s v="Virtual"/>
    <s v="Fines de semana"/>
    <s v="WhatsApp"/>
  </r>
  <r>
    <x v="326"/>
    <x v="1"/>
    <s v="SI, ACEPTO PARTICIPAR"/>
    <s v="Masculino"/>
    <s v="De 20 a 22 años"/>
    <n v="21"/>
    <s v="URBANO PERIFERICO"/>
    <s v="Bachiller"/>
    <s v="Busco mi primer empleo"/>
    <s v=""/>
    <s v=""/>
    <s v=""/>
    <s v=""/>
    <s v=""/>
    <s v=""/>
    <s v="Entre 1 y 3 meses"/>
    <s v="Sí"/>
    <s v="No"/>
    <s v="Ferias de empleo"/>
    <s v="Transporte"/>
    <s v="Sí"/>
    <s v=""/>
    <s v=""/>
    <s v=""/>
    <s v=""/>
    <s v=""/>
    <s v="Puedo hacerlo sin ayuda"/>
    <s v="Puedo hacerlo sin ayuda"/>
    <s v="No puedo hacerlo"/>
    <s v="Puedo hacerlo sin ayuda"/>
    <s v="No puedo hacerlo"/>
    <s v="Herramientas digitales;Educación financiera"/>
    <s v="Costos de transporte"/>
    <s v="Programas de emprendimiento"/>
    <s v="Presencial y virtual"/>
    <s v="Diurno"/>
    <s v="Correo electrónico"/>
  </r>
  <r>
    <x v="327"/>
    <x v="1"/>
    <s v="SI, ACEPTO PARTICIPAR"/>
    <s v="Femenino"/>
    <s v="De 22 a 24 años"/>
    <n v="23"/>
    <s v="URBANO PERIFERICO"/>
    <s v="Bachiller"/>
    <s v="Trabajo actualmente como empleado"/>
    <s v="Empleado con contrato"/>
    <s v="Más de un año"/>
    <s v="Parcialmente"/>
    <s v="3- Insatisfecho/a"/>
    <s v="Horario"/>
    <s v="No"/>
    <s v="Todavía no he iniciado una búsqueda activa"/>
    <s v="Tengo una pero necesito actualizarla"/>
    <s v="No"/>
    <s v="Ferias de empleo"/>
    <s v="Falta de formación"/>
    <s v="Sí"/>
    <s v=""/>
    <s v=""/>
    <s v=""/>
    <s v=""/>
    <s v=""/>
    <s v="Puedo hacerlo con ayuda"/>
    <s v="Puedo hacerlo con ayuda"/>
    <s v="Puedo hacerlo con ayuda"/>
    <s v="No puedo hacerlo"/>
    <s v="No puedo hacerlo"/>
    <s v="Crear una hoja de vida"/>
    <s v="Horarios;Falta de información"/>
    <s v="No conozco ninguno"/>
    <s v="Me es indiferente"/>
    <s v="Nocturno"/>
    <s v="Celular"/>
  </r>
  <r>
    <x v="328"/>
    <x v="1"/>
    <s v="SI, ACEPTO PARTICIPAR"/>
    <s v="Femenino"/>
    <s v="De 24 a 26 años"/>
    <n v="25"/>
    <s v="URBANO PERIFERICO"/>
    <s v="Bachiller"/>
    <s v="Trabajo de manera independiente"/>
    <s v="Trabajo independiente"/>
    <s v="Más de un año"/>
    <s v="Parcialmente"/>
    <s v="3- Insatisfecho/a"/>
    <s v="Trabajar en un área relacionada con mi formación"/>
    <s v="Sí"/>
    <s v="Menos de 1 mes"/>
    <s v="No"/>
    <s v="No"/>
    <s v="Portales de empleo;Redes sociales"/>
    <s v="Falta de formación"/>
    <s v="Sí"/>
    <s v=""/>
    <s v=""/>
    <s v=""/>
    <s v=""/>
    <s v=""/>
    <s v="Puedo hacerlo sin ayuda"/>
    <s v="Puedo hacerlo sin ayuda"/>
    <s v="Puedo hacerlo con dificultad"/>
    <s v="No puedo hacerlo"/>
    <s v="Puedo hacerlo con ayuda"/>
    <s v="Preparación para entrevista"/>
    <s v="Horarios;Falta de información"/>
    <s v="Ferias de empleo"/>
    <s v="Presencial"/>
    <s v="Fines de semana"/>
    <s v="WhatsApp"/>
  </r>
  <r>
    <x v="329"/>
    <x v="1"/>
    <s v="SI, ACEPTO PARTICIPAR"/>
    <s v="Masculino"/>
    <s v="De 26 a 28 años"/>
    <n v="28"/>
    <s v="URBANO PERIFERICO"/>
    <s v="Tecnólogo"/>
    <s v="Estudio y quiero comenzar a trabajar"/>
    <s v=""/>
    <s v=""/>
    <s v=""/>
    <s v=""/>
    <s v=""/>
    <s v=""/>
    <s v="Todavía no he iniciado una búsqueda activa"/>
    <s v="Tengo una pero necesito actualizarla"/>
    <s v="Sí"/>
    <s v="Familiares o conocidos"/>
    <s v="Horarios disponibles"/>
    <s v="Sí"/>
    <s v=""/>
    <s v=""/>
    <s v=""/>
    <s v=""/>
    <s v=""/>
    <s v="No puedo hacerlo"/>
    <s v="No puedo hacerlo"/>
    <s v="No puedo hacerlo"/>
    <s v="Puedo hacerlo con ayuda"/>
    <s v="Puedo hacerlo con dificultad"/>
    <s v="Comunicación"/>
    <s v="Horarios;Falta de información"/>
    <s v="No conozco ninguno"/>
    <s v="Virtual"/>
    <s v="Diurno"/>
    <s v="Redes sociales"/>
  </r>
  <r>
    <x v="330"/>
    <x v="1"/>
    <s v="SI, ACEPTO PARTICIPAR"/>
    <s v="Masculino"/>
    <s v="De 18 a 20 años"/>
    <n v="18"/>
    <s v="URBANO PERIFERICO"/>
    <s v="Bachiller"/>
    <s v="Trabajo actualmente como empleado"/>
    <s v="Empleado con contrato"/>
    <s v="Menos de 3 meses"/>
    <s v="No"/>
    <s v="3- Insatisfecho/a"/>
    <s v="Horario"/>
    <s v="No estoy seguro/a"/>
    <s v="Entre 4 y 6 meses"/>
    <s v="Tengo una pero necesito actualizarla"/>
    <s v="Sí"/>
    <s v="Ferias de empleo"/>
    <s v="Dificultades con la hoja de vida"/>
    <s v="Sí"/>
    <s v=""/>
    <s v=""/>
    <s v=""/>
    <s v=""/>
    <s v=""/>
    <s v="Puedo hacerlo con dificultad"/>
    <s v="Puedo hacerlo con dificultad"/>
    <s v="Puedo hacerlo con ayuda"/>
    <s v="Puedo hacerlo con dificultad"/>
    <s v="Puedo hacerlo con dificultad"/>
    <s v="Liderazgo"/>
    <s v="Ninguna"/>
    <s v="Oficina de orientación laboral"/>
    <s v="Presencial y virtual"/>
    <s v="Nocturno"/>
    <s v="Celular"/>
  </r>
  <r>
    <x v="331"/>
    <x v="1"/>
    <s v="SI, ACEPTO PARTICIPAR"/>
    <s v="Femenino"/>
    <s v="De 20 a 22 años"/>
    <n v="20"/>
    <s v="URBANO PERIFERICO"/>
    <s v="Técnico"/>
    <s v="Actualmente no trabajo y estoy buscando empleo"/>
    <s v=""/>
    <s v=""/>
    <s v=""/>
    <s v=""/>
    <s v=""/>
    <s v=""/>
    <s v="Menos de 1 mes"/>
    <s v="Tengo una pero necesito actualizarla"/>
    <s v="Sí"/>
    <s v="Portales de empleo"/>
    <s v="Horarios disponibles"/>
    <s v="Sí"/>
    <s v=""/>
    <s v=""/>
    <s v=""/>
    <s v=""/>
    <s v=""/>
    <s v="Puedo hacerlo sin ayuda"/>
    <s v="Puedo hacerlo sin ayuda"/>
    <s v="Puedo hacerlo con dificultad"/>
    <s v="Puedo hacerlo sin ayuda"/>
    <s v="Puedo hacerlo sin ayuda"/>
    <s v="Emprendimiento"/>
    <s v="Ninguna"/>
    <s v="Programas de emprendimiento"/>
    <s v="Me es indiferente"/>
    <s v="Fines de semana"/>
    <s v="Correo electrónico"/>
  </r>
  <r>
    <x v="332"/>
    <x v="1"/>
    <s v="SI, ACEPTO PARTICIPAR"/>
    <s v="Femenino"/>
    <s v="De 22 a 24 años"/>
    <n v="22"/>
    <s v="URBANO PERIFERICO"/>
    <s v="Técnico"/>
    <s v="Estudio y quiero comenzar a trabajar"/>
    <s v=""/>
    <s v=""/>
    <s v=""/>
    <s v=""/>
    <s v=""/>
    <s v=""/>
    <s v="Entre 4 y 6 meses"/>
    <s v="Tengo una pero necesito actualizarla"/>
    <s v="No"/>
    <s v="Empresas directamente"/>
    <s v="Horarios disponibles"/>
    <s v="No"/>
    <s v=""/>
    <s v=""/>
    <s v=""/>
    <s v=""/>
    <s v=""/>
    <s v="Puedo hacerlo con ayuda"/>
    <s v="Puedo hacerlo con ayuda"/>
    <s v="Puedo hacerlo sin ayuda"/>
    <s v="Puedo hacerlo sin ayuda"/>
    <s v="Puedo hacerlo sin ayuda"/>
    <s v="Herramientas digitales"/>
    <s v="Ninguna"/>
    <s v="Oficina de orientación laboral"/>
    <s v="Presencial"/>
    <s v="Diurno"/>
    <s v="Redes sociales"/>
  </r>
  <r>
    <x v="333"/>
    <x v="1"/>
    <s v="SI, ACEPTO PARTICIPAR"/>
    <s v="Masculino"/>
    <s v="De 24 a 26 años"/>
    <n v="24"/>
    <s v="URBANO PERIFERICO"/>
    <s v="Tecnólogo"/>
    <s v="Trabajo actualmente como empleado"/>
    <s v="Empleado sin contrato formal"/>
    <s v="De 3 a 6 meses"/>
    <s v="Sí, completamente"/>
    <s v="4- Muy insatisfecho/a"/>
    <s v="Acceso a prestaciones"/>
    <s v="Sí"/>
    <s v="Menos de 1 mes"/>
    <s v="Sí"/>
    <s v="No"/>
    <s v="Instituciones públicas"/>
    <s v="Falta de experiencia"/>
    <s v="No"/>
    <s v=""/>
    <s v=""/>
    <s v=""/>
    <s v=""/>
    <s v=""/>
    <s v="Puedo hacerlo sin ayuda"/>
    <s v="Puedo hacerlo sin ayuda"/>
    <s v="Puedo hacerlo con ayuda"/>
    <s v="No puedo hacerlo"/>
    <s v="No puedo hacerlo"/>
    <s v="Educación financiera"/>
    <s v="Falta de experiencia"/>
    <s v="Ferias de empleo"/>
    <s v="Virtual"/>
    <s v="Mañana entre semana"/>
    <s v="WhatsApp"/>
  </r>
  <r>
    <x v="334"/>
    <x v="1"/>
    <s v="SI, ACEPTO PARTICIPAR"/>
    <s v="Femenino"/>
    <s v="De 26 a 28 años"/>
    <n v="26"/>
    <s v="URBANO PERIFERICO"/>
    <s v="Profesional"/>
    <s v="Actualmente no trabajo y estoy buscando empleo"/>
    <s v=""/>
    <s v=""/>
    <s v=""/>
    <s v=""/>
    <s v=""/>
    <s v=""/>
    <s v="Más de 6 meses"/>
    <s v="Tengo una pero necesito actualizarla"/>
    <s v="No"/>
    <s v="Portales de empleo"/>
    <s v="Horarios disponibles"/>
    <s v="Sí"/>
    <s v=""/>
    <s v=""/>
    <s v=""/>
    <s v=""/>
    <s v=""/>
    <s v="No puedo hacerlo"/>
    <s v="No puedo hacerlo"/>
    <s v="Puedo hacerlo con dificultad"/>
    <s v="Puedo hacerlo con ayuda"/>
    <s v="Puedo hacerlo con ayuda"/>
    <s v="Crear una hoja de vida;Preparación para entrevista"/>
    <s v="Falta de experiencia"/>
    <s v="No conozco ninguno"/>
    <s v="Presencial y virtual"/>
    <s v="Fines de semana"/>
    <s v="Correo electrónico"/>
  </r>
  <r>
    <x v="335"/>
    <x v="1"/>
    <s v="SI, ACEPTO PARTICIPAR"/>
    <s v="Femenino"/>
    <s v="De 18 a 20 años"/>
    <n v="19"/>
    <s v="URBANO PERIFERICO"/>
    <s v="Técnic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conocimientos financieros"/>
    <s v="Falta de conocimientos financieros"/>
    <s v="No conozco programas de ese tipo"/>
    <s v="Puedo hacerlo con dificultad"/>
    <s v="Puedo hacerlo con dificultad"/>
    <s v="Puedo hacerlo sin ayuda"/>
    <s v="Puedo hacerlo con dificultad"/>
    <s v="Puedo hacerlo con ayuda"/>
    <s v="Comunicación;Liderazgo"/>
    <s v="Falta de experiencia"/>
    <s v="Ferias de empleo"/>
    <s v="Me es indiferente"/>
    <s v="Diurno"/>
    <s v="Celular"/>
  </r>
  <r>
    <x v="336"/>
    <x v="1"/>
    <s v="SI, ACEPTO PARTICIPAR"/>
    <s v="Masculino"/>
    <s v="De 20 a 22 años"/>
    <n v="21"/>
    <s v="URBANO PERIFERICO"/>
    <s v="Tecnólogo"/>
    <s v="Trabajo de manera independiente"/>
    <s v="Trabajo independiente"/>
    <s v="Menos de 3 meses"/>
    <s v="No"/>
    <s v="3- Insatisfecho/a"/>
    <s v="Trabajar en un área relacionada con mi formación"/>
    <s v="Sí"/>
    <s v="Más de 6 meses"/>
    <s v="Tengo una pero necesito actualizarla"/>
    <s v="Sí"/>
    <s v="Portales de empleo;Redes sociales"/>
    <s v="Dificultades con la hoja de vida"/>
    <s v="Sí"/>
    <s v=""/>
    <s v=""/>
    <s v=""/>
    <s v=""/>
    <s v=""/>
    <s v="Puedo hacerlo sin ayuda"/>
    <s v="Puedo hacerlo sin ayuda"/>
    <s v="Puedo hacerlo con ayuda"/>
    <s v="Puedo hacerlo con dificultad"/>
    <s v="Puedo hacerlo con dificultad"/>
    <s v="Herramientas digitales;Educación financiera"/>
    <s v="Distancia"/>
    <s v="Programas de emprendimiento"/>
    <s v="Presencial"/>
    <s v="Mañana entre semana"/>
    <s v="WhatsApp"/>
  </r>
  <r>
    <x v="337"/>
    <x v="1"/>
    <s v="SI, ACEPTO PARTICIPAR"/>
    <s v="Masculino"/>
    <s v="De 22 a 24 años"/>
    <n v="23"/>
    <s v="URBANO PERIFERICO"/>
    <s v="Profesional"/>
    <s v="Busco mi primer empleo"/>
    <s v=""/>
    <s v=""/>
    <s v=""/>
    <s v=""/>
    <s v=""/>
    <s v=""/>
    <s v="Menos de 1 mes"/>
    <s v="Sí"/>
    <s v="No"/>
    <s v="Ferias de empleo"/>
    <s v="Internet"/>
    <s v="Sí"/>
    <s v=""/>
    <s v=""/>
    <s v=""/>
    <s v=""/>
    <s v=""/>
    <s v="Puedo hacerlo con ayuda"/>
    <s v="Puedo hacerlo con ayuda"/>
    <s v="Puedo hacerlo con dificultad"/>
    <s v="Puedo hacerlo sin ayuda"/>
    <s v="Puedo hacerlo con dificultad"/>
    <s v="Crear una hoja de vida"/>
    <s v="Distancia"/>
    <s v="Oficina de orientación laboral"/>
    <s v="Virtual"/>
    <s v="Fines de semana"/>
    <s v="Redes sociales"/>
  </r>
  <r>
    <x v="338"/>
    <x v="1"/>
    <s v="SI, ACEPTO PARTICIPAR"/>
    <s v="Femenino"/>
    <s v="De 24 a 26 años"/>
    <n v="25"/>
    <s v="URBANO PERIFERICO"/>
    <s v="Profesional"/>
    <s v="Trabajo actualmente como empleado"/>
    <s v="Empleado con contrato"/>
    <s v="De 7 a 12 meses"/>
    <s v="Parcialmente"/>
    <s v="4- Muy insatisfecho/a"/>
    <s v="Acceso a prestaciones"/>
    <s v="Sí"/>
    <s v="Más de 6 meses"/>
    <s v="Sí"/>
    <s v="Sí"/>
    <s v="Instituciones públicas"/>
    <s v="Falta de experiencia"/>
    <s v="No"/>
    <s v=""/>
    <s v=""/>
    <s v=""/>
    <s v=""/>
    <s v=""/>
    <s v="Puedo hacerlo sin ayuda"/>
    <s v="Puedo hacerlo sin ayuda"/>
    <s v="Puedo hacerlo sin ayuda"/>
    <s v="No puedo hacerlo"/>
    <s v="Puedo hacerlo sin ayuda"/>
    <s v="Preparación para entrevista"/>
    <s v="Distancia"/>
    <s v="Programas de emprendimiento"/>
    <s v="Me es indiferente"/>
    <s v="Diurno"/>
    <s v="Celular"/>
  </r>
  <r>
    <x v="339"/>
    <x v="1"/>
    <s v="SI, ACEPTO PARTICIPAR"/>
    <s v="Femenino"/>
    <s v="De 26 a 28 años"/>
    <n v="27"/>
    <s v="URBANO PERIFERICO"/>
    <s v="Bachiller"/>
    <s v="Trabajo de manera independiente"/>
    <s v="Trabajo independiente"/>
    <s v="De 3 a 6 meses"/>
    <s v="Sí, completamente"/>
    <s v="4- Muy insatisfecho/a"/>
    <s v="Oportunidades de crecimiento"/>
    <s v="Sí"/>
    <s v="Entre 1 y 3 meses"/>
    <s v="Tengo una pero necesito actualizarla"/>
    <s v="No"/>
    <s v="Familiares o conocidos;Empresas directamente"/>
    <s v="Dificultades con la hoja de vida"/>
    <s v="No"/>
    <s v=""/>
    <s v=""/>
    <s v=""/>
    <s v=""/>
    <s v=""/>
    <s v="No puedo hacerlo"/>
    <s v="No puedo hacerlo"/>
    <s v="Puedo hacerlo con ayuda"/>
    <s v="Puedo hacerlo con ayuda"/>
    <s v="No puedo hacerlo"/>
    <s v="Comunicación"/>
    <s v="Falta de experiencia;Falta de información"/>
    <s v="No conozco ninguno"/>
    <s v="Presencial"/>
    <s v="Mañana entre semana"/>
    <s v="Correo electrónico"/>
  </r>
  <r>
    <x v="340"/>
    <x v="1"/>
    <s v="SI, ACEPTO PARTICIPAR"/>
    <s v="Masculino"/>
    <s v="De 18 a 20 años"/>
    <n v="18"/>
    <s v="URBANO PERIFERICO"/>
    <s v="Bachiller"/>
    <s v="Estudio y quiero comenzar a trabajar"/>
    <s v=""/>
    <s v=""/>
    <s v=""/>
    <s v=""/>
    <s v=""/>
    <s v=""/>
    <s v="Menos de 1 mes"/>
    <s v="Tengo una pero necesito actualizarla"/>
    <s v="Sí"/>
    <s v="Empresas directamente"/>
    <s v="Transporte"/>
    <s v="No"/>
    <s v=""/>
    <s v=""/>
    <s v=""/>
    <s v=""/>
    <s v=""/>
    <s v="Puedo hacerlo con dificultad"/>
    <s v="Puedo hacerlo con dificultad"/>
    <s v="Puedo hacerlo con dificultad"/>
    <s v="Puedo hacerlo con ayuda"/>
    <s v="No puedo hacerlo"/>
    <s v="Liderazgo"/>
    <s v="Falta de experiencia;Falta de información"/>
    <s v="Ferias de empleo"/>
    <s v="Virtual"/>
    <s v="Fines de semana"/>
    <s v="Redes sociales"/>
  </r>
  <r>
    <x v="341"/>
    <x v="1"/>
    <s v="SI, ACEPTO PARTICIPAR"/>
    <s v="Femenino"/>
    <s v="De 20 a 22 años"/>
    <n v="20"/>
    <s v="URBANO PERIFERICO"/>
    <s v="Bachiller"/>
    <s v="Trabajo actualmente como empleado"/>
    <s v="Empleado con contrato"/>
    <s v="Más de un año"/>
    <s v="No"/>
    <s v="4- Muy insatisfecho/a"/>
    <s v="Acceso a prestaciones"/>
    <s v="Sí"/>
    <s v="Entre 1 y 3 meses"/>
    <s v="Sí"/>
    <s v="No"/>
    <s v="Instituciones públicas"/>
    <s v="Falta de experiencia"/>
    <s v="No"/>
    <s v=""/>
    <s v=""/>
    <s v=""/>
    <s v=""/>
    <s v=""/>
    <s v="Puedo hacerlo sin ayuda"/>
    <s v="Puedo hacerlo sin ayuda"/>
    <s v="Puedo hacerlo sin ayuda"/>
    <s v="Puedo hacerlo con dificultad"/>
    <s v="Puedo hacerlo con ayuda"/>
    <s v="Emprendimiento"/>
    <s v="Falta de experiencia;Falta de información"/>
    <s v="No conozco ninguno"/>
    <s v="Presencial y virtual"/>
    <s v="Diurno"/>
    <s v="WhatsApp"/>
  </r>
  <r>
    <x v="342"/>
    <x v="1"/>
    <s v="SI, ACEPTO PARTICIPAR"/>
    <s v="Femenino"/>
    <s v="De 22 a 24 años"/>
    <n v="22"/>
    <s v="URBANO PERIFERICO"/>
    <s v="Bachiller"/>
    <s v="Actualmente no trabajo y estoy buscando empleo"/>
    <s v=""/>
    <s v=""/>
    <s v=""/>
    <s v=""/>
    <s v=""/>
    <s v=""/>
    <s v="Entre 4 y 6 meses"/>
    <s v="Tengo una pero necesito actualizarla"/>
    <s v="Sí"/>
    <s v="Portales de empleo"/>
    <s v="Horarios disponibles"/>
    <s v="Sí"/>
    <s v=""/>
    <s v=""/>
    <s v=""/>
    <s v=""/>
    <s v=""/>
    <s v="Puedo hacerlo con ayuda"/>
    <s v="Puedo hacerlo con ayuda"/>
    <s v="Puedo hacerlo con ayuda"/>
    <s v="Puedo hacerlo sin ayuda"/>
    <s v="Puedo hacerlo con ayuda"/>
    <s v="Herramientas digitales"/>
    <s v="Costos de transporte;Distancia"/>
    <s v="Oficina de orientación laboral"/>
    <s v="Me es indiferente"/>
    <s v="Mañana entre semana"/>
    <s v="Correo electrónico"/>
  </r>
  <r>
    <x v="343"/>
    <x v="1"/>
    <s v="SI, ACEPTO PARTICIPAR"/>
    <s v="Masculino"/>
    <s v="De 24 a 26 años"/>
    <n v="24"/>
    <s v="URBANO PERIFERICO"/>
    <s v="Técnico"/>
    <s v="Estudio y quiero comenzar a trabajar"/>
    <s v=""/>
    <s v=""/>
    <s v=""/>
    <s v=""/>
    <s v=""/>
    <s v=""/>
    <s v="Más de 6 meses"/>
    <s v="Tengo una pero necesito actualizarla"/>
    <s v="No"/>
    <s v="Empresas directamente"/>
    <s v="Transporte"/>
    <s v="No"/>
    <s v=""/>
    <s v=""/>
    <s v=""/>
    <s v=""/>
    <s v=""/>
    <s v="Puedo hacerlo sin ayuda"/>
    <s v="Puedo hacerlo sin ayuda"/>
    <s v="Puedo hacerlo con dificultad"/>
    <s v="No puedo hacerlo"/>
    <s v="Puedo hacerlo con dificultad"/>
    <s v="Educación financiera"/>
    <s v="Costos de transporte;Distancia"/>
    <s v="Programas de emprendimiento"/>
    <s v="Presencial"/>
    <s v="Fines de semana"/>
    <s v="Celular"/>
  </r>
  <r>
    <x v="344"/>
    <x v="1"/>
    <s v="SI, ACEPTO PARTICIPAR"/>
    <s v="Masculino"/>
    <s v="De 26 a 28 años"/>
    <n v="28"/>
    <s v="URBANO PERIFERICO"/>
    <s v="Profesional"/>
    <s v="Trabajo actualmente como empleado"/>
    <s v="Empleado con contrato"/>
    <s v="Menos de 3 meses"/>
    <s v="Sí, completamente"/>
    <s v="1- Muy satisfecho/a"/>
    <s v="Acceso a prestaciones"/>
    <s v="No"/>
    <s v="Todavía no he iniciado una búsqueda activa"/>
    <s v="Sí"/>
    <s v="Sí"/>
    <s v="Institución educativa"/>
    <s v="Horarios disponibles"/>
    <s v="Sí"/>
    <s v=""/>
    <s v=""/>
    <s v=""/>
    <s v=""/>
    <s v=""/>
    <s v="No puedo hacerlo"/>
    <s v="No puedo hacerlo"/>
    <s v="Puedo hacerlo sin ayuda"/>
    <s v="No puedo hacerlo"/>
    <s v="Puedo hacerlo sin ayuda"/>
    <s v="Crear una hoja de vida;Preparación para entrevista"/>
    <s v="Costos de transporte;Distancia"/>
    <s v="Oficina de orientación laboral"/>
    <s v="Virtual"/>
    <s v="Nocturno"/>
    <s v="WhatsApp"/>
  </r>
  <r>
    <x v="345"/>
    <x v="1"/>
    <s v="SI, ACEPTO PARTICIPAR"/>
    <s v="Femenino"/>
    <s v="De 18 a 20 años"/>
    <n v="19"/>
    <s v="URBANO PERIFERICO"/>
    <s v="Bachiller"/>
    <s v="Actualmente no trabajo y estoy buscando empleo"/>
    <s v=""/>
    <s v=""/>
    <s v=""/>
    <s v=""/>
    <s v=""/>
    <s v=""/>
    <s v="Entre 1 y 3 meses"/>
    <s v="Sí"/>
    <s v="No"/>
    <s v="Redes sociales"/>
    <s v="Horarios disponibles"/>
    <s v="No"/>
    <s v=""/>
    <s v=""/>
    <s v=""/>
    <s v=""/>
    <s v=""/>
    <s v="Puedo hacerlo con dificultad"/>
    <s v="Puedo hacerlo con dificultad"/>
    <s v="Puedo hacerlo con ayuda"/>
    <s v="Puedo hacerlo con ayuda"/>
    <s v="Puedo hacerlo sin ayuda"/>
    <s v="Comunicación;Liderazgo"/>
    <s v="Falta de información"/>
    <s v="Ferias de empleo"/>
    <s v="Presencial y virtual"/>
    <s v="Mañana entre semana"/>
    <s v="Redes sociales"/>
  </r>
  <r>
    <x v="346"/>
    <x v="1"/>
    <s v="SI, ACEPTO PARTICIPAR"/>
    <s v="Otro"/>
    <s v="De 20 a 22 años"/>
    <n v="21"/>
    <s v="URBANO PERIFERICO"/>
    <s v="Técnic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tiempo"/>
    <s v="Falta de tiempo"/>
    <s v="Sí"/>
    <s v="Puedo hacerlo sin ayuda"/>
    <s v="Puedo hacerlo sin ayuda"/>
    <s v="Puedo hacerlo con dificultad"/>
    <s v="Puedo hacerlo con dificultad"/>
    <s v="No puedo hacerlo"/>
    <s v="Herramientas digitales;Educación financiera"/>
    <s v="Falta de información"/>
    <s v="No conozco ninguno"/>
    <s v="Me es indiferente"/>
    <s v="Fines de semana"/>
    <s v="Celular"/>
  </r>
  <r>
    <x v="347"/>
    <x v="1"/>
    <s v="SI, ACEPTO PARTICIPAR"/>
    <s v="Masculino"/>
    <s v="De 22 a 24 años"/>
    <n v="23"/>
    <s v="URBANO PERIFERICO"/>
    <s v="Tecnólogo"/>
    <s v="Trabajo de manera independiente"/>
    <s v="Trabajo independiente"/>
    <s v="De 7 a 12 meses"/>
    <s v="Parcialmente"/>
    <s v="4- Muy insatisfecho/a"/>
    <s v="Trabajar en un área relacionada con mi formación"/>
    <s v="No"/>
    <s v="Todavía no he iniciado una búsqueda activa"/>
    <s v="Tengo una pero necesito actualizarla"/>
    <s v="Sí"/>
    <s v="Familiares o conocidos;Empresas directamente"/>
    <s v="Dificultades con la hoja de vida"/>
    <s v="No"/>
    <s v=""/>
    <s v=""/>
    <s v=""/>
    <s v=""/>
    <s v=""/>
    <s v="Puedo hacerlo con ayuda"/>
    <s v="Puedo hacerlo con ayuda"/>
    <s v="Puedo hacerlo sin ayuda"/>
    <s v="Puedo hacerlo con dificultad"/>
    <s v="Puedo hacerlo con ayuda"/>
    <s v="Crear una hoja de vida"/>
    <s v="Falta de información"/>
    <s v="Ferias de empleo"/>
    <s v="Presencial"/>
    <s v="Nocturno"/>
    <s v="Correo electrónico"/>
  </r>
  <r>
    <x v="348"/>
    <x v="1"/>
    <s v="SI, ACEPTO PARTICIPAR"/>
    <s v="Femenino"/>
    <s v="De 24 a 26 años"/>
    <n v="25"/>
    <s v="URBANO PERIFERICO"/>
    <s v="Profesional"/>
    <s v="Busco mi primer empleo"/>
    <s v=""/>
    <s v=""/>
    <s v=""/>
    <s v=""/>
    <s v=""/>
    <s v=""/>
    <s v="Más de 6 meses"/>
    <s v="Sí"/>
    <s v="No"/>
    <s v="Instituciones públicas"/>
    <s v="Internet"/>
    <s v="No"/>
    <s v=""/>
    <s v=""/>
    <s v=""/>
    <s v=""/>
    <s v=""/>
    <s v="Puedo hacerlo sin ayuda"/>
    <s v="Puedo hacerlo sin ayuda"/>
    <s v="No puedo hacerlo"/>
    <s v="Puedo hacerlo sin ayuda"/>
    <s v="Puedo hacerlo con ayuda"/>
    <s v="Preparación para entrevista"/>
    <s v="Horarios"/>
    <s v="Programas de emprendimiento"/>
    <s v="Virtual"/>
    <s v="Mañana entre semana"/>
    <s v="Redes sociales"/>
  </r>
  <r>
    <x v="349"/>
    <x v="1"/>
    <s v="SI, ACEPTO PARTICIPAR"/>
    <s v="Femenino"/>
    <s v="De 26 a 28 años"/>
    <n v="26"/>
    <s v="URBANO PERIFERICO"/>
    <s v="Profesional"/>
    <s v="Trabajo actualmente como empleado"/>
    <s v="Empleado sin contrato formal"/>
    <s v="De 3 a 6 meses"/>
    <s v="Parcialmente"/>
    <s v="1- Muy satisfecho/a"/>
    <s v="Acceso a prestaciones"/>
    <s v="No estoy seguro/a"/>
    <s v="Entre 4 y 6 meses"/>
    <s v="Sí"/>
    <s v="No"/>
    <s v="Institución educativa"/>
    <s v="Horarios disponibles"/>
    <s v="Sí"/>
    <s v=""/>
    <s v=""/>
    <s v=""/>
    <s v=""/>
    <s v=""/>
    <s v="No puedo hacerlo"/>
    <s v="No puedo hacerlo"/>
    <s v="Puedo hacerlo con dificultad"/>
    <s v="No puedo hacerlo"/>
    <s v="Puedo hacerlo con dificultad"/>
    <s v="Comunicación"/>
    <s v="Horarios"/>
    <s v="Oficina de orientación laboral"/>
    <s v="Presencial y virtual"/>
    <s v="Fines de semana"/>
    <s v="WhatsApp"/>
  </r>
  <r>
    <x v="350"/>
    <x v="1"/>
    <s v="SI, ACEPTO PARTICIPAR"/>
    <s v="Masculino"/>
    <s v="De 18 a 20 años"/>
    <n v="18"/>
    <s v="URBANO PERIFERICO"/>
    <s v="Tecnólogo"/>
    <s v="Trabajo de manera independiente"/>
    <s v="Trabajo independiente"/>
    <s v="Más de un año"/>
    <s v="No"/>
    <s v="4- Muy insatisfecho/a"/>
    <s v="Trabajar en un área relacionada con mi formación"/>
    <s v="No estoy seguro/a"/>
    <s v="Entre 4 y 6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con dificultad"/>
    <s v="Puedo hacerlo con dificultad"/>
    <s v="Puedo hacerlo sin ayuda"/>
    <s v="Puedo hacerlo con ayuda"/>
    <s v="Puedo hacerlo con dificultad"/>
    <s v="Liderazgo"/>
    <s v="Horarios"/>
    <s v="Programas de emprendimiento"/>
    <s v="Me es indiferente"/>
    <s v="Nocturno"/>
    <s v="Correo electrónico"/>
  </r>
  <r>
    <x v="351"/>
    <x v="1"/>
    <s v="SI, ACEPTO PARTICIPAR"/>
    <s v="Masculino"/>
    <s v="De 20 a 22 años"/>
    <n v="20"/>
    <s v="URBANO PERIFERICO"/>
    <s v="Tecnólogo"/>
    <s v="Busco mi primer empleo"/>
    <s v=""/>
    <s v=""/>
    <s v=""/>
    <s v=""/>
    <s v=""/>
    <s v=""/>
    <s v="Entre 4 y 6 meses"/>
    <s v="Sí"/>
    <s v="No"/>
    <s v="Instituciones públicas"/>
    <s v="Internet"/>
    <s v="No"/>
    <s v=""/>
    <s v=""/>
    <s v=""/>
    <s v=""/>
    <s v=""/>
    <s v="Puedo hacerlo sin ayuda"/>
    <s v="Puedo hacerlo sin ayuda"/>
    <s v="No puedo hacerlo"/>
    <s v="Puedo hacerlo con ayuda"/>
    <s v="Puedo hacerlo sin ayuda"/>
    <s v="Emprendimiento"/>
    <s v="Costos de transporte"/>
    <s v="No conozco ninguno"/>
    <s v="Presencial"/>
    <s v="Mañana entre semana"/>
    <s v="Celular"/>
  </r>
  <r>
    <x v="352"/>
    <x v="1"/>
    <s v="SI, ACEPTO PARTICIPAR"/>
    <s v="Femenino"/>
    <s v="De 22 a 24 años"/>
    <n v="22"/>
    <s v="URBANO PERIFERICO"/>
    <s v="Profesional"/>
    <s v="Trabajo actualmente como empleado"/>
    <s v="Empleado con contrato"/>
    <s v="De 7 a 12 meses"/>
    <s v="No"/>
    <s v="1- Muy satisfecho/a"/>
    <s v="Oportunidades de crecimiento"/>
    <s v="Sí"/>
    <s v="Menos de 1 mes"/>
    <s v="Sí"/>
    <s v="Sí"/>
    <s v="Institución educativa"/>
    <s v="Horarios disponibles"/>
    <s v="Sí"/>
    <s v=""/>
    <s v=""/>
    <s v=""/>
    <s v=""/>
    <s v=""/>
    <s v="Puedo hacerlo con ayuda"/>
    <s v="Puedo hacerlo con ayuda"/>
    <s v="Puedo hacerlo con dificultad"/>
    <s v="Puedo hacerlo con dificultad"/>
    <s v="No puedo hacerlo"/>
    <s v="Herramientas digitales"/>
    <s v="Costos de transporte"/>
    <s v="Ferias de empleo"/>
    <s v="Virtual"/>
    <s v="Fines de semana"/>
    <s v="WhatsApp"/>
  </r>
  <r>
    <x v="353"/>
    <x v="1"/>
    <s v="SI, ACEPTO PARTICIPAR"/>
    <s v="Otro"/>
    <s v="De 24 a 26 años"/>
    <n v="24"/>
    <s v="URBANO PERIFERICO"/>
    <s v="Posgrado"/>
    <s v="Actualmente no trabajo y estoy buscando empleo"/>
    <s v=""/>
    <s v=""/>
    <s v=""/>
    <s v=""/>
    <s v=""/>
    <s v=""/>
    <s v="Menos de 1 mes"/>
    <s v="Sí"/>
    <s v="Sí"/>
    <s v="Redes sociales"/>
    <s v="Transporte"/>
    <s v="No"/>
    <s v=""/>
    <s v=""/>
    <s v=""/>
    <s v=""/>
    <s v=""/>
    <s v="Puedo hacerlo sin ayuda"/>
    <s v="Puedo hacerlo sin ayuda"/>
    <s v="Puedo hacerlo sin ayuda"/>
    <s v="Puedo hacerlo sin ayuda"/>
    <s v="No puedo hacerlo"/>
    <s v="Educación financiera"/>
    <s v="Costos de transporte"/>
    <s v="No conozco ninguno"/>
    <s v="Presencial y virtual"/>
    <s v="Nocturno"/>
    <s v="Redes sociales"/>
  </r>
  <r>
    <x v="354"/>
    <x v="1"/>
    <s v="SI, ACEPTO PARTICIPAR"/>
    <s v="Masculino"/>
    <s v="De 26 a 28 años"/>
    <n v="27"/>
    <s v="URBANO PERIFERICO"/>
    <s v="Tecnólogo"/>
    <s v="Estudio y quiero comenzar a trabajar"/>
    <s v=""/>
    <s v=""/>
    <s v=""/>
    <s v=""/>
    <s v=""/>
    <s v=""/>
    <s v="Entre 1 y 3 meses"/>
    <s v="Sí"/>
    <s v="Sí"/>
    <s v="Ferias de empleo"/>
    <s v="Transporte"/>
    <s v="Sí"/>
    <s v=""/>
    <s v=""/>
    <s v=""/>
    <s v=""/>
    <s v=""/>
    <s v="No puedo hacerlo"/>
    <s v="No puedo hacerlo"/>
    <s v="No puedo hacerlo"/>
    <s v="No puedo hacerlo"/>
    <s v="Puedo hacerlo con ayuda"/>
    <s v="Crear una hoja de vida;Preparación para entrevista"/>
    <s v="Horarios;Falta de información"/>
    <s v="Oficina de orientación laboral"/>
    <s v="Presencial"/>
    <s v="Mañana entre semana"/>
    <s v="Celular"/>
  </r>
  <r>
    <x v="355"/>
    <x v="1"/>
    <s v="SI, ACEPTO PARTICIPAR"/>
    <s v="Femenino"/>
    <s v="De 18 a 20 años"/>
    <n v="19"/>
    <s v="URBANO PERIFERICO"/>
    <s v="Bachiller"/>
    <s v="Trabajo actualmente como empleado"/>
    <s v="Empleado con contrato"/>
    <s v="Más de un año"/>
    <s v="Sí, completamente"/>
    <s v="2- Satisfecho/a"/>
    <s v="Oportunidades de crecimiento"/>
    <s v="No"/>
    <s v="Todavía no he iniciado una búsqueda activa"/>
    <s v="Sí"/>
    <s v="No"/>
    <s v="No sé dónde buscar"/>
    <s v="Horarios disponibles"/>
    <s v="No"/>
    <s v=""/>
    <s v=""/>
    <s v=""/>
    <s v=""/>
    <s v=""/>
    <s v="Puedo hacerlo con dificultad"/>
    <s v="Puedo hacerlo con dificultad"/>
    <s v="Puedo hacerlo con dificultad"/>
    <s v="No puedo hacerlo"/>
    <s v="Puedo hacerlo con ayuda"/>
    <s v="Comunicación;Liderazgo"/>
    <s v="Horarios;Falta de información"/>
    <s v="Programas de emprendimiento"/>
    <s v="Virtual"/>
    <s v="Diurno"/>
    <s v="Correo electrónico"/>
  </r>
  <r>
    <x v="356"/>
    <x v="1"/>
    <s v="SI, ACEPTO PARTICIPAR"/>
    <s v="Femenino"/>
    <s v="De 20 a 22 años"/>
    <n v="21"/>
    <s v="URBANO PERIFERICO"/>
    <s v="Bachiller"/>
    <s v="Actualmente no trabajo y estoy buscando empleo"/>
    <s v=""/>
    <s v=""/>
    <s v=""/>
    <s v=""/>
    <s v=""/>
    <s v=""/>
    <s v="Más de 6 meses"/>
    <s v="Sí"/>
    <s v="No"/>
    <s v="Redes sociales"/>
    <s v="Transporte"/>
    <s v="No"/>
    <s v=""/>
    <s v=""/>
    <s v=""/>
    <s v=""/>
    <s v=""/>
    <s v="Puedo hacerlo sin ayuda"/>
    <s v="Puedo hacerlo sin ayuda"/>
    <s v="Puedo hacerlo sin ayuda"/>
    <s v="Puedo hacerlo con ayuda"/>
    <s v="Puedo hacerlo con dificultad"/>
    <s v="Herramientas digitales;Educación financiera"/>
    <s v="Horarios;Falta de información"/>
    <s v="Oficina de orientación laboral"/>
    <s v="Presencial y virtual"/>
    <s v="Nocturno"/>
    <s v="Redes sociales"/>
  </r>
  <r>
    <x v="357"/>
    <x v="1"/>
    <s v="SI, ACEPTO PARTICIPAR"/>
    <s v="Masculino"/>
    <s v="De 22 a 24 años"/>
    <n v="23"/>
    <s v="URBANO PERIFERICO"/>
    <s v="Técnic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herramientas"/>
    <s v="Falta de herramientas"/>
    <s v="Sí"/>
    <s v="Puedo hacerlo con ayuda"/>
    <s v="Puedo hacerlo con ayuda"/>
    <s v="No puedo hacerlo"/>
    <s v="Puedo hacerlo con dificultad"/>
    <s v="Puedo hacerlo sin ayuda"/>
    <s v="Crear una hoja de vida"/>
    <s v="Ninguna"/>
    <s v="Ferias de empleo"/>
    <s v="Me es indiferente"/>
    <s v="Mañana entre semana"/>
    <s v="WhatsApp"/>
  </r>
  <r>
    <x v="358"/>
    <x v="1"/>
    <s v="SI, ACEPTO PARTICIPAR"/>
    <s v="Masculino"/>
    <s v="De 24 a 26 años"/>
    <n v="25"/>
    <s v="URBANO PERIFERICO"/>
    <s v="Tecnólogo"/>
    <s v="Trabajo actualmente como empleado"/>
    <s v="Empleado con contrato"/>
    <s v="Menos de 3 meses"/>
    <s v="Parcialmente"/>
    <s v="2- Satisfecho/a"/>
    <s v="Oportunidades de crecimiento"/>
    <s v="No"/>
    <s v="Todavía no he iniciado una búsqueda activa"/>
    <s v="No"/>
    <s v="Sí"/>
    <s v="No sé dónde buscar"/>
    <s v="Transporte"/>
    <s v="No"/>
    <s v=""/>
    <s v=""/>
    <s v=""/>
    <s v=""/>
    <s v=""/>
    <s v="Puedo hacerlo sin ayuda"/>
    <s v="Puedo hacerlo sin ayuda"/>
    <s v="Puedo hacerlo con dificultad"/>
    <s v="Puedo hacerlo sin ayuda"/>
    <s v="Puedo hacerlo sin ayuda"/>
    <s v="Preparación para entrevista"/>
    <s v="Ninguna"/>
    <s v="No conozco ninguno"/>
    <s v="Presencial"/>
    <s v="Diurno"/>
    <s v="Redes sociales"/>
  </r>
  <r>
    <x v="359"/>
    <x v="1"/>
    <s v="SI, ACEPTO PARTICIPAR"/>
    <s v="Femenino"/>
    <s v="De 26 a 28 años"/>
    <n v="28"/>
    <s v="URBANO PERIFERICO"/>
    <s v="Profesional"/>
    <s v="Actualmente no trabajo y estoy buscando empleo"/>
    <s v=""/>
    <s v=""/>
    <s v=""/>
    <s v=""/>
    <s v=""/>
    <s v=""/>
    <s v="Entre 4 y 6 meses"/>
    <s v="Sí"/>
    <s v="Sí"/>
    <s v="Familiares o conocidos"/>
    <s v="Transporte"/>
    <s v="Sí"/>
    <s v=""/>
    <s v=""/>
    <s v=""/>
    <s v=""/>
    <s v=""/>
    <s v="No puedo hacerlo"/>
    <s v="No puedo hacerlo"/>
    <s v="Puedo hacerlo sin ayuda"/>
    <s v="Puedo hacerlo sin ayuda"/>
    <s v="No puedo hacerlo"/>
    <s v="Comunicación"/>
    <s v="Ninguna"/>
    <s v="Ferias de empleo"/>
    <s v="Virtual"/>
    <s v="Nocturno"/>
    <s v="Celular"/>
  </r>
  <r>
    <x v="360"/>
    <x v="1"/>
    <s v="SI, ACEPTO PARTICIPAR"/>
    <s v="Otro"/>
    <s v="De 18 a 20 años"/>
    <n v="18"/>
    <s v="URBANO PERIFERICO"/>
    <s v="Técnico"/>
    <s v="Trabajo actualmente como empleado"/>
    <s v="Empleado sin contrato formal"/>
    <s v="De 3 a 6 meses"/>
    <s v="No"/>
    <s v="2- Satisfecho/a"/>
    <s v="Oportunidades de crecimiento"/>
    <s v="No"/>
    <s v="Todavía no he iniciado una búsqueda activa"/>
    <s v="No"/>
    <s v="No"/>
    <s v="No sé dónde buscar"/>
    <s v="Transporte"/>
    <s v="No"/>
    <s v=""/>
    <s v=""/>
    <s v=""/>
    <s v=""/>
    <s v=""/>
    <s v="Puedo hacerlo con dificultad"/>
    <s v="Puedo hacerlo con dificultad"/>
    <s v="No puedo hacerlo"/>
    <s v="No puedo hacerlo"/>
    <s v="No puedo hacerlo"/>
    <s v="Liderazgo"/>
    <s v="Falta de experiencia"/>
    <s v="Programas de emprendimiento"/>
    <s v="Presencial y virtual"/>
    <s v="Mañana entre semana"/>
    <s v="Correo electrónico"/>
  </r>
  <r>
    <x v="361"/>
    <x v="1"/>
    <s v="SI, ACEPTO PARTICIPAR"/>
    <s v="Masculino"/>
    <s v="De 20 a 22 años"/>
    <n v="20"/>
    <s v="URBANO PERIFERICO"/>
    <s v="Tecnólogo"/>
    <s v="Trabajo de manera independiente"/>
    <s v="Trabajo independiente"/>
    <s v="Menos de 3 meses"/>
    <s v="Sí, completamente"/>
    <s v="1- Muy satisfecho/a"/>
    <s v="Salario"/>
    <s v="Sí"/>
    <s v="Menos de 1 mes"/>
    <s v="Tengo una pero necesito actualizarla"/>
    <s v="Sí"/>
    <s v="Portales de empleo"/>
    <s v="Horarios disponibles"/>
    <s v="Sí"/>
    <s v=""/>
    <s v=""/>
    <s v=""/>
    <s v=""/>
    <s v=""/>
    <s v="Puedo hacerlo sin ayuda"/>
    <s v="Puedo hacerlo sin ayuda"/>
    <s v="Puedo hacerlo con ayuda"/>
    <s v="Puedo hacerlo con ayuda"/>
    <s v="Puedo hacerlo con ayuda"/>
    <s v="Emprendimiento"/>
    <s v="Falta de experiencia"/>
    <s v="Oficina de orientación laboral"/>
    <s v="Me es indiferente"/>
    <s v="Diurno"/>
    <s v="Redes sociales"/>
  </r>
  <r>
    <x v="362"/>
    <x v="1"/>
    <s v="SI, ACEPTO PARTICIPAR"/>
    <s v="Femenino"/>
    <s v="De 22 a 24 años"/>
    <n v="22"/>
    <s v="URBANO PERIFERICO"/>
    <s v="Profesional"/>
    <s v="Busco mi primer empleo"/>
    <s v=""/>
    <s v=""/>
    <s v=""/>
    <s v=""/>
    <s v=""/>
    <s v=""/>
    <s v="Entre 1 y 3 meses"/>
    <s v="Sí"/>
    <s v="No"/>
    <s v="Instituciones públicas"/>
    <s v="Internet"/>
    <s v="No"/>
    <s v=""/>
    <s v=""/>
    <s v=""/>
    <s v=""/>
    <s v=""/>
    <s v="Puedo hacerlo con ayuda"/>
    <s v="Puedo hacerlo con ayuda"/>
    <s v="Puedo hacerlo sin ayuda"/>
    <s v="Puedo hacerlo con dificultad"/>
    <s v="Puedo hacerlo con dificultad"/>
    <s v="Herramientas digitales"/>
    <s v="Falta de experiencia"/>
    <s v="Programas de emprendimiento"/>
    <s v="Presencial"/>
    <s v="Nocturno"/>
    <s v="WhatsApp"/>
  </r>
  <r>
    <x v="363"/>
    <x v="1"/>
    <s v="SI, ACEPTO PARTICIPAR"/>
    <s v="Femenino"/>
    <s v="De 24 a 26 años"/>
    <n v="24"/>
    <s v="URBANO PERIFERICO"/>
    <s v="Profesional"/>
    <s v="Trabajo actualmente como empleado"/>
    <s v="Empleado con contrato"/>
    <s v="De 7 a 12 meses"/>
    <s v="Sí, completamente"/>
    <s v="3- Insatisfecho/a"/>
    <s v="Oportunidades de crecimiento"/>
    <s v="No estoy seguro/a"/>
    <s v="Entre 4 y 6 meses"/>
    <s v="No"/>
    <s v="Sí"/>
    <s v="Portales de empleo;Redes sociales"/>
    <s v="Transporte"/>
    <s v="Sí"/>
    <s v=""/>
    <s v=""/>
    <s v=""/>
    <s v=""/>
    <s v=""/>
    <s v="Puedo hacerlo con dificultad"/>
    <s v="Puedo hacerlo con dificultad"/>
    <s v="No puedo hacerlo"/>
    <s v="Puedo hacerlo con dificultad"/>
    <s v="Puedo hacerlo con dificultad"/>
    <s v="Educación financiera"/>
    <s v="Distancia"/>
    <s v="No conozco ninguno"/>
    <s v="Virtual"/>
    <s v="Mañana entre semana"/>
    <s v="Correo electrónico"/>
  </r>
  <r>
    <x v="364"/>
    <x v="1"/>
    <s v="SI, ACEPTO PARTICIPAR"/>
    <s v="Masculino"/>
    <s v="De 26 a 28 años"/>
    <n v="26"/>
    <s v="URBANO PERIFERICO"/>
    <s v="Bachiller"/>
    <s v="Trabajo de manera independiente"/>
    <s v="Trabajo independiente"/>
    <s v="De 3 a 6 meses"/>
    <s v="Parcialmente"/>
    <s v="1- Muy satisfecho/a"/>
    <s v="Salario"/>
    <s v="No"/>
    <s v="Todavía no he iniciado una búsqueda activa"/>
    <s v="Tengo una pero necesito actualizarla"/>
    <s v="No"/>
    <s v="Portales de empleo"/>
    <s v="Horarios disponibles"/>
    <s v="Sí"/>
    <s v=""/>
    <s v=""/>
    <s v=""/>
    <s v=""/>
    <s v=""/>
    <s v="No puedo hacerlo"/>
    <s v="No puedo hacerlo"/>
    <s v="Puedo hacerlo con ayuda"/>
    <s v="Puedo hacerlo sin ayuda"/>
    <s v="Puedo hacerlo sin ayuda"/>
    <s v="Crear una hoja de vida;Preparación para entrevista"/>
    <s v="Distancia"/>
    <s v="Ferias de empleo"/>
    <s v="Presencial y virtual"/>
    <s v="Diurno"/>
    <s v="Celular"/>
  </r>
  <r>
    <x v="365"/>
    <x v="1"/>
    <s v="SI, ACEPTO PARTICIPAR"/>
    <s v="Masculino"/>
    <s v="De 18 a 20 años"/>
    <n v="19"/>
    <s v="URBANO PERIFERICO"/>
    <s v="Bachiller"/>
    <s v="Estudio y quiero comenzar a trabajar"/>
    <s v=""/>
    <s v=""/>
    <s v=""/>
    <s v=""/>
    <s v=""/>
    <s v=""/>
    <s v="Todavía no he iniciado una búsqueda activa"/>
    <s v="Sí"/>
    <s v="No"/>
    <s v="Ferias de empleo"/>
    <s v="Transporte"/>
    <s v="Sí"/>
    <s v=""/>
    <s v=""/>
    <s v=""/>
    <s v=""/>
    <s v=""/>
    <s v="Puedo hacerlo con dificultad"/>
    <s v="Puedo hacerlo con dificultad"/>
    <s v="Puedo hacerlo sin ayuda"/>
    <s v="No puedo hacerlo"/>
    <s v="No puedo hacerlo"/>
    <s v="Comunicación;Liderazgo"/>
    <s v="Distancia"/>
    <s v="No conozco ninguno"/>
    <s v="Me es indiferente"/>
    <s v="Nocturno"/>
    <s v="WhatsApp"/>
  </r>
  <r>
    <x v="366"/>
    <x v="1"/>
    <s v="SI, ACEPTO PARTICIPAR"/>
    <s v="Femenino"/>
    <s v="De 20 a 22 años"/>
    <n v="21"/>
    <s v="URBANO PERIFERICO"/>
    <s v="Bachiller"/>
    <s v="Trabajo actualmente como empleado"/>
    <s v="Empleado con contrato"/>
    <s v="Más de un año"/>
    <s v="Parcialmente"/>
    <s v="3- Insatisfecho/a"/>
    <s v="Trabajar en un área relacionada con mi formación"/>
    <s v="Sí"/>
    <s v="Menos de 1 mes"/>
    <s v="No"/>
    <s v="No"/>
    <s v="Portales de empleo;Redes sociales"/>
    <s v="Transporte"/>
    <s v="Sí"/>
    <s v=""/>
    <s v=""/>
    <s v=""/>
    <s v=""/>
    <s v=""/>
    <s v="Puedo hacerlo sin ayuda"/>
    <s v="Puedo hacerlo sin ayuda"/>
    <s v="No puedo hacerlo"/>
    <s v="Puedo hacerlo con ayuda"/>
    <s v="No puedo hacerlo"/>
    <s v="Herramientas digitales;Educación financiera"/>
    <s v="Falta de experiencia;Falta de información"/>
    <s v="Oficina de orientación laboral"/>
    <s v="Presencial"/>
    <s v="Mañana entre semana"/>
    <s v="Redes sociales"/>
  </r>
  <r>
    <x v="367"/>
    <x v="1"/>
    <s v="SI, ACEPTO PARTICIPAR"/>
    <s v="Otro"/>
    <s v="De 22 a 24 años"/>
    <n v="23"/>
    <s v="URBANO PERIFERICO"/>
    <s v="Bachiller"/>
    <s v="Actualmente no trabajo y estoy buscando empleo"/>
    <s v=""/>
    <s v=""/>
    <s v=""/>
    <s v=""/>
    <s v=""/>
    <s v=""/>
    <s v="Entre 1 y 3 meses"/>
    <s v="Sí"/>
    <s v="No"/>
    <s v="Familiares o conocidos"/>
    <s v="Transporte"/>
    <s v="Sí"/>
    <s v=""/>
    <s v=""/>
    <s v=""/>
    <s v=""/>
    <s v=""/>
    <s v="Puedo hacerlo con ayuda"/>
    <s v="Puedo hacerlo con ayuda"/>
    <s v="Puedo hacerlo con ayuda"/>
    <s v="Puedo hacerlo con ayuda"/>
    <s v="Puedo hacerlo con ayuda"/>
    <s v="Crear una hoja de vida"/>
    <s v="Falta de experiencia;Falta de información"/>
    <s v="Programas de emprendimiento"/>
    <s v="Virtual"/>
    <s v="Diurno"/>
    <s v="Celular"/>
  </r>
  <r>
    <x v="368"/>
    <x v="1"/>
    <s v="SI, ACEPTO PARTICIPAR"/>
    <s v="Masculino"/>
    <s v="De 24 a 26 años"/>
    <n v="25"/>
    <s v="URBANO PERIFERICO"/>
    <s v="Técnico"/>
    <s v="Estudio y quiero comenzar a trabajar"/>
    <s v=""/>
    <s v=""/>
    <s v=""/>
    <s v=""/>
    <s v=""/>
    <s v=""/>
    <s v="Entre 4 y 6 meses"/>
    <s v="Sí"/>
    <s v="Sí"/>
    <s v="Ferias de empleo"/>
    <s v="Internet"/>
    <s v="Sí"/>
    <s v=""/>
    <s v=""/>
    <s v=""/>
    <s v=""/>
    <s v=""/>
    <s v="Puedo hacerlo con dificultad"/>
    <s v="Puedo hacerlo con dificultad"/>
    <s v="Puedo hacerlo sin ayuda"/>
    <s v="Puedo hacerlo con dificultad"/>
    <s v="Puedo hacerlo con ayuda"/>
    <s v="Preparación para entrevista"/>
    <s v="Falta de experiencia;Falta de información"/>
    <s v="Oficina de orientación laboral"/>
    <s v="Presencial y virtual"/>
    <s v="Nocturno"/>
    <s v="Correo electrónico"/>
  </r>
  <r>
    <x v="369"/>
    <x v="2"/>
    <s v="SI, ACEPTO PARTICIPAR"/>
    <s v="Femenino"/>
    <s v="De 26 a 28 años"/>
    <n v="27"/>
    <s v="Centro poblado"/>
    <s v="Tecnólogo"/>
    <s v="Trabajo actualmente como empleado"/>
    <s v="Empleado con contrato"/>
    <s v="Menos de 3 meses"/>
    <s v="No"/>
    <s v="3- Insatisfecho/a"/>
    <s v="Trabajar en un área relacionada con mi formación"/>
    <s v="Sí"/>
    <s v="Más de 6 meses"/>
    <s v="No"/>
    <s v="Sí"/>
    <s v="Portales de empleo;Redes sociales"/>
    <s v="Internet"/>
    <s v="Sí"/>
    <s v=""/>
    <s v=""/>
    <s v=""/>
    <s v=""/>
    <s v=""/>
    <s v="No puedo hacerlo"/>
    <s v="No puedo hacerlo"/>
    <s v="No puedo hacerlo"/>
    <s v="Puedo hacerlo sin ayuda"/>
    <s v="Puedo hacerlo con dificultad"/>
    <s v="Comunicación"/>
    <s v="Costos de transporte;Distancia"/>
    <s v="Ferias de empleo"/>
    <s v="Me es indiferente"/>
    <s v="Fines de semana"/>
    <s v="Redes sociales"/>
  </r>
  <r>
    <x v="370"/>
    <x v="2"/>
    <s v="SI, ACEPTO PARTICIPAR"/>
    <s v="Femenino"/>
    <s v="De 18 a 20 años"/>
    <n v="18"/>
    <s v="Rural"/>
    <s v="Bachiller"/>
    <s v="Actualmente no trabajo y estoy buscando empleo"/>
    <s v=""/>
    <s v=""/>
    <s v=""/>
    <s v=""/>
    <s v=""/>
    <s v=""/>
    <s v="Menos de 1 mes"/>
    <s v="Sí"/>
    <s v="Sí"/>
    <s v="Familiares o conocidos"/>
    <s v="Internet"/>
    <s v="Sí"/>
    <s v=""/>
    <s v=""/>
    <s v=""/>
    <s v=""/>
    <s v=""/>
    <s v="Puedo hacerlo con dificultad"/>
    <s v="Puedo hacerlo con dificultad"/>
    <s v="Puedo hacerlo con ayuda"/>
    <s v="No puedo hacerlo"/>
    <s v="Puedo hacerlo sin ayuda"/>
    <s v="Liderazgo"/>
    <s v="Costos de transporte;Distancia"/>
    <s v="No conozco ninguno"/>
    <s v="Presencial"/>
    <s v="Diurno"/>
    <s v="WhatsApp"/>
  </r>
  <r>
    <x v="371"/>
    <x v="2"/>
    <s v="SI, ACEPTO PARTICIPAR"/>
    <s v="Masculino"/>
    <s v="De 20 a 22 años"/>
    <n v="20"/>
    <s v="Centro poblado"/>
    <s v="Técnico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financiación"/>
    <s v="Falta de financiación"/>
    <s v="No"/>
    <s v="Puedo hacerlo sin ayuda"/>
    <s v="Puedo hacerlo sin ayuda"/>
    <s v="Puedo hacerlo sin ayuda"/>
    <s v="No puedo hacerlo"/>
    <s v="Puedo hacerlo sin ayuda"/>
    <s v="Emprendimiento"/>
    <s v="Costos de transporte;Distancia"/>
    <s v="Ferias de empleo"/>
    <s v="Presencial y virtual"/>
    <s v="Nocturno"/>
    <s v="Correo electrónico"/>
  </r>
  <r>
    <x v="372"/>
    <x v="2"/>
    <s v="SI, ACEPTO PARTICIPAR"/>
    <s v="Masculino"/>
    <s v="De 22 a 24 años"/>
    <n v="22"/>
    <s v="Rural"/>
    <s v="Tecnólogo"/>
    <s v="Trabajo de manera independiente"/>
    <s v="Trabajo independiente"/>
    <s v="De 7 a 12 meses"/>
    <s v="No"/>
    <s v="1- Muy satisfecho/a"/>
    <s v="Salario"/>
    <s v="No"/>
    <s v="Todavía no he iniciado una búsqueda activa"/>
    <s v="Tengo una pero necesito actualizarla"/>
    <s v="Sí"/>
    <s v="Portales de empleo"/>
    <s v="Horarios disponibles"/>
    <s v="Sí"/>
    <s v=""/>
    <s v=""/>
    <s v=""/>
    <s v=""/>
    <s v=""/>
    <s v="Puedo hacerlo con ayuda"/>
    <s v="Puedo hacerlo con ayuda"/>
    <s v="No puedo hacerlo"/>
    <s v="Puedo hacerlo con ayuda"/>
    <s v="No puedo hacerlo"/>
    <s v="Herramientas digitales"/>
    <s v="Falta de información"/>
    <s v="Programas de emprendimiento"/>
    <s v="Me es indiferente"/>
    <s v="Fines de semana"/>
    <s v="Celular"/>
  </r>
  <r>
    <x v="373"/>
    <x v="2"/>
    <s v="SI, ACEPTO PARTICIPAR"/>
    <s v="Femenino"/>
    <s v="De 24 a 26 años"/>
    <n v="24"/>
    <s v="Centro poblado"/>
    <s v="Tecnólogo"/>
    <s v="Busco mi primer empleo"/>
    <s v=""/>
    <s v=""/>
    <s v=""/>
    <s v=""/>
    <s v=""/>
    <s v=""/>
    <s v="Menos de 1 mes"/>
    <s v="Sí"/>
    <s v="No"/>
    <s v="Institución educativa"/>
    <s v="Falta de experiencia"/>
    <s v="Sí"/>
    <s v=""/>
    <s v=""/>
    <s v=""/>
    <s v=""/>
    <s v=""/>
    <s v="Puedo hacerlo con dificultad"/>
    <s v="Puedo hacerlo con dificultad"/>
    <s v="Puedo hacerlo con ayuda"/>
    <s v="Puedo hacerlo con dificultad"/>
    <s v="No puedo hacerlo"/>
    <s v="Educación financiera"/>
    <s v="Falta de información"/>
    <s v="Oficina de orientación laboral"/>
    <s v="Presencial"/>
    <s v="Diurno"/>
    <s v="WhatsApp"/>
  </r>
  <r>
    <x v="374"/>
    <x v="2"/>
    <s v="SI, ACEPTO PARTICIPAR"/>
    <s v="Otro"/>
    <s v="De 26 a 28 años"/>
    <n v="28"/>
    <s v="Rural"/>
    <s v="Profesional"/>
    <s v="Trabajo actualmente como empleado"/>
    <s v="Empleado sin contrato formal"/>
    <s v="De 3 a 6 meses"/>
    <s v="Sí, completamente"/>
    <s v="4- Muy insatisfecho/a"/>
    <s v="Oportunidades de crecimiento"/>
    <s v="Sí"/>
    <s v="Entre 1 y 3 meses"/>
    <s v="No"/>
    <s v="No"/>
    <s v="Familiares o conocidos;Empresas directamente"/>
    <s v="Internet"/>
    <s v="No"/>
    <s v=""/>
    <s v=""/>
    <s v=""/>
    <s v=""/>
    <s v=""/>
    <s v="No puedo hacerlo"/>
    <s v="No puedo hacerlo"/>
    <s v="Puedo hacerlo sin ayuda"/>
    <s v="Puedo hacerlo sin ayuda"/>
    <s v="Puedo hacerlo con ayuda"/>
    <s v="Crear una hoja de vida;Preparación para entrevista"/>
    <s v="Falta de información"/>
    <s v="Programas de emprendimiento"/>
    <s v="Virtual"/>
    <s v="Nocturno"/>
    <s v="Redes sociales"/>
  </r>
  <r>
    <x v="375"/>
    <x v="2"/>
    <s v="SI, ACEPTO PARTICIPAR"/>
    <s v="Masculino"/>
    <s v="De 18 a 20 años"/>
    <n v="19"/>
    <s v="Centro poblado"/>
    <s v="Tecnólogo"/>
    <s v="Trabajo de manera independiente"/>
    <s v="Trabajo independiente"/>
    <s v="Más de un año"/>
    <s v="Sí, completamente"/>
    <s v="2- Satisfecho/a"/>
    <s v="Salario"/>
    <s v="No"/>
    <s v="Todavía no he iniciado una búsqueda activa"/>
    <s v="Sí"/>
    <s v="No"/>
    <s v="Redes sociales"/>
    <s v="Horarios disponibles"/>
    <s v="No"/>
    <s v=""/>
    <s v=""/>
    <s v=""/>
    <s v=""/>
    <s v=""/>
    <s v="Puedo hacerlo con dificultad"/>
    <s v="Puedo hacerlo con dificultad"/>
    <s v="No puedo hacerlo"/>
    <s v="Puedo hacerlo sin ayuda"/>
    <s v="Puedo hacerlo con dificultad"/>
    <s v="Comunicación;Liderazgo"/>
    <s v="Horarios"/>
    <s v="No conozco ninguno"/>
    <s v="Presencial y virtual"/>
    <s v="Fines de semana"/>
    <s v="Celular"/>
  </r>
  <r>
    <x v="376"/>
    <x v="2"/>
    <s v="SI, ACEPTO PARTICIPAR"/>
    <s v="Femenino"/>
    <s v="De 20 a 22 años"/>
    <n v="21"/>
    <s v="Rural"/>
    <s v="Tecnólogo"/>
    <s v="Estudio y quiero comenzar a trabajar"/>
    <s v=""/>
    <s v=""/>
    <s v=""/>
    <s v=""/>
    <s v=""/>
    <s v=""/>
    <s v="Menos de 1 mes"/>
    <s v="Sí"/>
    <s v="No"/>
    <s v="Instituciones públicas"/>
    <s v="Internet"/>
    <s v="No"/>
    <s v=""/>
    <s v=""/>
    <s v=""/>
    <s v=""/>
    <s v=""/>
    <s v="Puedo hacerlo sin ayuda"/>
    <s v="Puedo hacerlo sin ayuda"/>
    <s v="Puedo hacerlo con ayuda"/>
    <s v="No puedo hacerlo"/>
    <s v="Puedo hacerlo con dificultad"/>
    <s v="Herramientas digitales;Educación financiera"/>
    <s v="Horarios"/>
    <s v="Ferias de empleo"/>
    <s v="Me es indiferente"/>
    <s v="Diurno"/>
    <s v="Correo electrónico"/>
  </r>
  <r>
    <x v="377"/>
    <x v="2"/>
    <s v="SI, ACEPTO PARTICIPAR"/>
    <s v="Femenino"/>
    <s v="De 22 a 24 años"/>
    <n v="23"/>
    <s v="Centro poblado"/>
    <s v="Profesional"/>
    <s v="Trabajo actualmente como empleado"/>
    <s v="Empleado con contrato"/>
    <s v="De 7 a 12 meses"/>
    <s v="Parcialmente"/>
    <s v="4- Muy insatisfecho/a"/>
    <s v="Trabajar en un área relacionada con mi formación"/>
    <s v="No"/>
    <s v="Todavía no he iniciado una búsqueda activa"/>
    <s v="No"/>
    <s v="Sí"/>
    <s v="Familiares o conocidos;Empresas directamente"/>
    <s v="Internet"/>
    <s v="No"/>
    <s v=""/>
    <s v=""/>
    <s v=""/>
    <s v=""/>
    <s v=""/>
    <s v="Puedo hacerlo con ayuda"/>
    <s v="Puedo hacerlo con ayuda"/>
    <s v="Puedo hacerlo con dificultad"/>
    <s v="Puedo hacerlo con ayuda"/>
    <s v="Puedo hacerlo sin ayuda"/>
    <s v="Crear una hoja de vida"/>
    <s v="Horarios"/>
    <s v="Programas de emprendimiento"/>
    <s v="Presencial"/>
    <s v="Nocturno"/>
    <s v="Redes sociales"/>
  </r>
  <r>
    <x v="378"/>
    <x v="2"/>
    <s v="SI, ACEPTO PARTICIPAR"/>
    <s v="Masculino"/>
    <s v="De 24 a 26 años"/>
    <n v="25"/>
    <s v="Rural"/>
    <s v="Profesional"/>
    <s v="Actualmente no trabajo y estoy buscando empleo"/>
    <s v=""/>
    <s v=""/>
    <s v=""/>
    <s v=""/>
    <s v=""/>
    <s v=""/>
    <s v="Más de 6 meses"/>
    <s v="Sí"/>
    <s v="No"/>
    <s v="Empresas directamente"/>
    <s v="Internet"/>
    <s v="No"/>
    <s v=""/>
    <s v=""/>
    <s v=""/>
    <s v=""/>
    <s v=""/>
    <s v="Puedo hacerlo con dificultad"/>
    <s v="Puedo hacerlo con dificultad"/>
    <s v="No puedo hacerlo"/>
    <s v="Puedo hacerlo con dificultad"/>
    <s v="Puedo hacerlo sin ayuda"/>
    <s v="Preparación para entrevista"/>
    <s v="Costos de transporte"/>
    <s v="Oficina de orientación laboral"/>
    <s v="Virtual"/>
    <s v="Fines de semana"/>
    <s v="WhatsApp"/>
  </r>
  <r>
    <x v="379"/>
    <x v="2"/>
    <s v="SI, ACEPTO PARTICIPAR"/>
    <s v="Masculino"/>
    <s v="De 26 a 28 años"/>
    <n v="26"/>
    <s v="Centro poblado"/>
    <s v="Técnico"/>
    <s v="Estudio y quiero comenzar a trabajar"/>
    <s v=""/>
    <s v=""/>
    <s v=""/>
    <s v=""/>
    <s v=""/>
    <s v=""/>
    <s v="Más de 6 meses"/>
    <s v="Sí"/>
    <s v="Sí"/>
    <s v="Instituciones públicas"/>
    <s v="Internet"/>
    <s v="No"/>
    <s v=""/>
    <s v=""/>
    <s v=""/>
    <s v=""/>
    <s v=""/>
    <s v="No puedo hacerlo"/>
    <s v="No puedo hacerlo"/>
    <s v="Puedo hacerlo con ayuda"/>
    <s v="Puedo hacerlo con dificultad"/>
    <s v="No puedo hacerlo"/>
    <s v="Comunicación"/>
    <s v="Costos de transporte"/>
    <s v="Programas de emprendimiento"/>
    <s v="Presencial y virtual"/>
    <s v="Diurno"/>
    <s v="Correo electrónico"/>
  </r>
  <r>
    <x v="380"/>
    <x v="2"/>
    <s v="SI, ACEPTO PARTICIPAR"/>
    <s v="Femenino"/>
    <s v="De 18 a 20 años"/>
    <n v="18"/>
    <s v="Rural"/>
    <s v="Bachiller"/>
    <s v="Trabajo actualmente como empleado"/>
    <s v="Empleado con contrato"/>
    <s v="Más de un año"/>
    <s v="No"/>
    <s v="4- Muy insatisfecho/a"/>
    <s v="Trabajar en un área relacionada con mi formación"/>
    <s v="No estoy seguro/a"/>
    <s v="Entre 4 y 6 meses"/>
    <s v="Tengo una pero necesito actualizarla"/>
    <s v="No"/>
    <s v="Familiares o conocidos;Empresas directamente"/>
    <s v="Internet"/>
    <s v="No"/>
    <s v=""/>
    <s v=""/>
    <s v=""/>
    <s v=""/>
    <s v=""/>
    <s v="Puedo hacerlo con dificultad"/>
    <s v="Puedo hacerlo con dificultad"/>
    <s v="Puedo hacerlo con dificultad"/>
    <s v="Puedo hacerlo sin ayuda"/>
    <s v="Puedo hacerlo con ayuda"/>
    <s v="Liderazgo"/>
    <s v="Costos de transporte"/>
    <s v="No conozco ninguno"/>
    <s v="Me es indiferente"/>
    <s v="Mañana entre semana"/>
    <s v="Celular"/>
  </r>
  <r>
    <x v="381"/>
    <x v="2"/>
    <s v="SI, ACEPTO PARTICIPAR"/>
    <s v="Otro"/>
    <s v="De 20 a 22 años"/>
    <n v="20"/>
    <s v="Centro poblado"/>
    <s v="Bachiller"/>
    <s v="Actualmente no trabajo y estoy buscando empleo"/>
    <s v=""/>
    <s v=""/>
    <s v=""/>
    <s v=""/>
    <s v=""/>
    <s v=""/>
    <s v="Entre 4 y 6 meses"/>
    <s v="No"/>
    <s v="Sí"/>
    <s v="Empresas directamente"/>
    <s v="Internet"/>
    <s v="No"/>
    <s v=""/>
    <s v=""/>
    <s v=""/>
    <s v=""/>
    <s v=""/>
    <s v="Puedo hacerlo sin ayuda"/>
    <s v="Puedo hacerlo sin ayuda"/>
    <s v="No puedo hacerlo"/>
    <s v="No puedo hacerlo"/>
    <s v="Puedo hacerlo con ayuda"/>
    <s v="Emprendimiento"/>
    <s v="Horarios;Falta de información"/>
    <s v="Ferias de empleo"/>
    <s v="Presencial"/>
    <s v="Fines de semana"/>
    <s v="WhatsApp"/>
  </r>
  <r>
    <x v="382"/>
    <x v="2"/>
    <s v="SI, ACEPTO PARTICIPAR"/>
    <s v="Masculino"/>
    <s v="De 22 a 24 años"/>
    <n v="22"/>
    <s v="Rural"/>
    <s v="Técnic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conocimientos administrativos"/>
    <s v="Falta de conocimientos administrativos"/>
    <s v="No"/>
    <s v="Puedo hacerlo con ayuda"/>
    <s v="Puedo hacerlo con ayuda"/>
    <s v="Puedo hacerlo con ayuda"/>
    <s v="Puedo hacerlo con ayuda"/>
    <s v="Puedo hacerlo con dificultad"/>
    <s v="Herramientas digitales"/>
    <s v="Horarios;Falta de información"/>
    <s v="No conozco ninguno"/>
    <s v="Virtual"/>
    <s v="Diurno"/>
    <s v="Redes sociales"/>
  </r>
  <r>
    <x v="383"/>
    <x v="2"/>
    <s v="SI, ACEPTO PARTICIPAR"/>
    <s v="Femenino"/>
    <s v="De 24 a 26 años"/>
    <n v="24"/>
    <s v="Centro poblado"/>
    <s v="Técnico"/>
    <s v="Trabajo de manera independiente"/>
    <s v="Trabajo independiente"/>
    <s v="Menos de 3 meses"/>
    <s v="Parcialmente"/>
    <s v="2- Satisfecho/a"/>
    <s v="Salario"/>
    <s v="No estoy seguro/a"/>
    <s v="Entre 4 y 6 meses"/>
    <s v="Sí"/>
    <s v="Sí"/>
    <s v="Redes sociales"/>
    <s v="Transporte"/>
    <s v="No"/>
    <s v=""/>
    <s v=""/>
    <s v=""/>
    <s v=""/>
    <s v=""/>
    <s v="Puedo hacerlo con dificultad"/>
    <s v="Puedo hacerlo con dificultad"/>
    <s v="Puedo hacerlo con dificultad"/>
    <s v="Puedo hacerlo con ayuda"/>
    <s v="Puedo hacerlo con dificultad"/>
    <s v="Educación financiera"/>
    <s v="Horarios;Falta de información"/>
    <s v="Oficina de orientación laboral"/>
    <s v="Presencial y virtual"/>
    <s v="Mañana entre semana"/>
    <s v="Celular"/>
  </r>
  <r>
    <x v="384"/>
    <x v="2"/>
    <s v="SI, ACEPTO PARTICIPAR"/>
    <s v="Femenino"/>
    <s v="De 26 a 28 años"/>
    <n v="27"/>
    <s v="Rural"/>
    <s v="Profesional"/>
    <s v="Busco mi primer empleo"/>
    <s v=""/>
    <s v=""/>
    <s v=""/>
    <s v=""/>
    <s v=""/>
    <s v=""/>
    <s v="Más de 6 meses"/>
    <s v="No"/>
    <s v="No"/>
    <s v="Institución educativa"/>
    <s v="Falta de experiencia"/>
    <s v="Sí"/>
    <s v=""/>
    <s v=""/>
    <s v=""/>
    <s v=""/>
    <s v=""/>
    <s v="No puedo hacerlo"/>
    <s v="No puedo hacerlo"/>
    <s v="No puedo hacerlo"/>
    <s v="Puedo hacerlo con dificultad"/>
    <s v="Puedo hacerlo sin ayuda"/>
    <s v="Crear una hoja de vida;Preparación para entrevista"/>
    <s v="Ninguna"/>
    <s v="Programas de emprendimiento"/>
    <s v="Me es indiferente"/>
    <s v="Fines de semana"/>
    <s v="Correo electrónico"/>
  </r>
  <r>
    <x v="385"/>
    <x v="2"/>
    <s v="SI, ACEPTO PARTICIPAR"/>
    <s v="Masculino"/>
    <s v="De 18 a 20 años"/>
    <n v="19"/>
    <s v="Centro poblado"/>
    <s v="Técnico"/>
    <s v="Trabajo actualmente como empleado"/>
    <s v="Empleado con contrato"/>
    <s v="Menos de 3 meses"/>
    <s v="Sí, completamente"/>
    <s v="1- Muy satisfecho/a"/>
    <s v="Salario"/>
    <s v="Sí"/>
    <s v="Menos de 1 mes"/>
    <s v="Tengo una pero necesito actualizarla"/>
    <s v="Sí"/>
    <s v="Portales de empleo"/>
    <s v="Falta de experiencia"/>
    <s v="Sí"/>
    <s v=""/>
    <s v=""/>
    <s v=""/>
    <s v=""/>
    <s v=""/>
    <s v="Puedo hacerlo con dificultad"/>
    <s v="Puedo hacerlo con dificultad"/>
    <s v="Puedo hacerlo con ayuda"/>
    <s v="Puedo hacerlo sin ayuda"/>
    <s v="No puedo hacerlo"/>
    <s v="Comunicación;Liderazgo"/>
    <s v="Ninguna"/>
    <s v="Oficina de orientación laboral"/>
    <s v="Presencial"/>
    <s v="Diurno"/>
    <s v="Redes sociales"/>
  </r>
  <r>
    <x v="386"/>
    <x v="2"/>
    <s v="SI, ACEPTO PARTICIPAR"/>
    <s v="Masculino"/>
    <s v="De 20 a 22 años"/>
    <n v="21"/>
    <s v="Rural"/>
    <s v="Técnico"/>
    <s v="Trabajo de manera independiente"/>
    <s v="Trabajo independiente"/>
    <s v="De 3 a 6 meses"/>
    <s v="No"/>
    <s v="2- Satisfecho/a"/>
    <s v="Estabilidad laboral"/>
    <s v="Sí"/>
    <s v="Menos de 1 mes"/>
    <s v="Sí"/>
    <s v="No"/>
    <s v="Redes sociales"/>
    <s v="Transporte"/>
    <s v="No"/>
    <s v=""/>
    <s v=""/>
    <s v=""/>
    <s v=""/>
    <s v=""/>
    <s v="Puedo hacerlo sin ayuda"/>
    <s v="Puedo hacerlo sin ayuda"/>
    <s v="Puedo hacerlo con dificultad"/>
    <s v="Puedo hacerlo sin ayuda"/>
    <s v="No puedo hacerlo"/>
    <s v="Herramientas digitales;Educación financiera"/>
    <s v="Ninguna"/>
    <s v="Ferias de empleo"/>
    <s v="Virtual"/>
    <s v="Mañana entre semana"/>
    <s v="WhatsApp"/>
  </r>
  <r>
    <x v="387"/>
    <x v="2"/>
    <s v="SI, ACEPTO PARTICIPAR"/>
    <s v="Femenino"/>
    <s v="De 22 a 24 años"/>
    <n v="23"/>
    <s v="Centro poblado"/>
    <s v="Tecnólogo"/>
    <s v="Busco mi primer empleo"/>
    <s v=""/>
    <s v=""/>
    <s v=""/>
    <s v=""/>
    <s v=""/>
    <s v=""/>
    <s v="Entre 4 y 6 meses"/>
    <s v="No"/>
    <s v="No"/>
    <s v="Institución educativa"/>
    <s v="Falta de experiencia"/>
    <s v="Sí"/>
    <s v=""/>
    <s v=""/>
    <s v=""/>
    <s v=""/>
    <s v=""/>
    <s v="Puedo hacerlo con ayuda"/>
    <s v="Puedo hacerlo con ayuda"/>
    <s v="No puedo hacerlo"/>
    <s v="No puedo hacerlo"/>
    <s v="Puedo hacerlo con ayuda"/>
    <s v="Crear una hoja de vida"/>
    <s v="Falta de experiencia"/>
    <s v="No conozco ninguno"/>
    <s v="Me es indiferente"/>
    <s v="Fines de semana"/>
    <s v="Correo electrónico"/>
  </r>
  <r>
    <x v="388"/>
    <x v="2"/>
    <s v="SI, ACEPTO PARTICIPAR"/>
    <s v="Otro"/>
    <s v="De 24 a 26 años"/>
    <n v="25"/>
    <s v="Rural"/>
    <s v="Profesional"/>
    <s v="Trabajo actualmente como empleado"/>
    <s v="Empleado sin contrato formal"/>
    <s v="De 3 a 6 meses"/>
    <s v="Parcialmente"/>
    <s v="1- Muy satisfecho/a"/>
    <s v="Salario"/>
    <s v="No"/>
    <s v="Todavía no he iniciado una búsqueda activa"/>
    <s v="Tengo una pero necesito actualizarla"/>
    <s v="No"/>
    <s v="Portales de empleo"/>
    <s v="Falta de experiencia"/>
    <s v="Sí"/>
    <s v=""/>
    <s v=""/>
    <s v=""/>
    <s v=""/>
    <s v=""/>
    <s v="Puedo hacerlo con dificultad"/>
    <s v="Puedo hacerlo con dificultad"/>
    <s v="Puedo hacerlo con ayuda"/>
    <s v="Puedo hacerlo con ayuda"/>
    <s v="Puedo hacerlo con dificultad"/>
    <s v="Preparación para entrevista"/>
    <s v="Falta de experiencia"/>
    <s v="Ferias de empleo"/>
    <s v="Presencial"/>
    <s v="Diurno"/>
    <s v="Celular"/>
  </r>
  <r>
    <x v="389"/>
    <x v="2"/>
    <s v="SI, ACEPTO PARTICIPAR"/>
    <s v="Masculino"/>
    <s v="De 26 a 28 años"/>
    <n v="28"/>
    <s v="Centro poblado"/>
    <s v="Posgrado"/>
    <s v="Actualmente no trabajo y estoy buscando empleo"/>
    <s v=""/>
    <s v=""/>
    <s v=""/>
    <s v=""/>
    <s v=""/>
    <s v=""/>
    <s v="Entre 1 y 3 meses"/>
    <s v="No"/>
    <s v="No"/>
    <s v="Empresas directamente"/>
    <s v="Internet"/>
    <s v="No"/>
    <s v=""/>
    <s v=""/>
    <s v=""/>
    <s v=""/>
    <s v=""/>
    <s v="No puedo hacerlo"/>
    <s v="No puedo hacerlo"/>
    <s v="Puedo hacerlo con dificultad"/>
    <s v="Puedo hacerlo con dificultad"/>
    <s v="Puedo hacerlo con dificultad"/>
    <s v="Comunicación"/>
    <s v="Falta de experiencia"/>
    <s v="Programas de emprendimiento"/>
    <s v="Virtual"/>
    <s v="Mañana entre semana"/>
    <s v="WhatsApp"/>
  </r>
  <r>
    <x v="390"/>
    <x v="2"/>
    <s v="SI, ACEPTO PARTICIPAR"/>
    <s v="Femenino"/>
    <s v="De 18 a 20 años"/>
    <n v="18"/>
    <s v="Rural"/>
    <s v="Bachiller"/>
    <s v="Estudio y quiero comenzar a trabajar"/>
    <s v=""/>
    <s v=""/>
    <s v=""/>
    <s v=""/>
    <s v=""/>
    <s v=""/>
    <s v="Entre 1 y 3 meses"/>
    <s v="Sí"/>
    <s v="No"/>
    <s v="Instituciones públicas"/>
    <s v="Internet"/>
    <s v="No"/>
    <s v=""/>
    <s v=""/>
    <s v=""/>
    <s v=""/>
    <s v=""/>
    <s v="Puedo hacerlo con dificultad"/>
    <s v="Puedo hacerlo con dificultad"/>
    <s v="No puedo hacerlo"/>
    <s v="Puedo hacerlo con dificultad"/>
    <s v="Puedo hacerlo sin ayuda"/>
    <s v="Liderazgo"/>
    <s v="Distancia"/>
    <s v="Oficina de orientación laboral"/>
    <s v="Presencial y virtual"/>
    <s v="Fines de semana"/>
    <s v="Redes sociales"/>
  </r>
  <r>
    <x v="391"/>
    <x v="2"/>
    <s v="SI, ACEPTO PARTICIPAR"/>
    <s v="Femenino"/>
    <s v="De 20 a 22 años"/>
    <n v="20"/>
    <s v="Centro poblado"/>
    <s v="Bachiller"/>
    <s v="Trabajo actualmente como empleado"/>
    <s v="Empleado con contrato"/>
    <s v="De 7 a 12 meses"/>
    <s v="No"/>
    <s v="1- Muy satisfecho/a"/>
    <s v="Salario"/>
    <s v="No"/>
    <s v="Todavía no he iniciado una búsqueda activa"/>
    <s v="Tengo una pero necesito actualizarla"/>
    <s v="Sí"/>
    <s v="Portales de empleo"/>
    <s v="Falta de experiencia"/>
    <s v="Sí"/>
    <s v=""/>
    <s v=""/>
    <s v=""/>
    <s v=""/>
    <s v=""/>
    <s v="Puedo hacerlo sin ayuda"/>
    <s v="Puedo hacerlo sin ayuda"/>
    <s v="Puedo hacerlo con ayuda"/>
    <s v="Puedo hacerlo sin ayuda"/>
    <s v="Puedo hacerlo sin ayuda"/>
    <s v="Emprendimiento"/>
    <s v="Distancia"/>
    <s v="Programas de emprendimiento"/>
    <s v="Me es indiferente"/>
    <s v="Nocturno"/>
    <s v="Celular"/>
  </r>
  <r>
    <x v="392"/>
    <x v="2"/>
    <s v="SI, ACEPTO PARTICIPAR"/>
    <s v="Masculino"/>
    <s v="De 22 a 24 años"/>
    <n v="22"/>
    <s v="Rural"/>
    <s v="Bachiller"/>
    <s v="Actualmente no trabajo y estoy buscando empleo"/>
    <s v=""/>
    <s v=""/>
    <s v=""/>
    <s v=""/>
    <s v=""/>
    <s v=""/>
    <s v="Menos de 1 mes"/>
    <s v="No"/>
    <s v="Sí"/>
    <s v="Ferias de empleo"/>
    <s v="Falta de experiencia"/>
    <s v="Sí"/>
    <s v=""/>
    <s v=""/>
    <s v=""/>
    <s v=""/>
    <s v=""/>
    <s v="Puedo hacerlo con ayuda"/>
    <s v="Puedo hacerlo con ayuda"/>
    <s v="Puedo hacerlo con dificultad"/>
    <s v="No puedo hacerlo"/>
    <s v="No puedo hacerlo"/>
    <s v="Herramientas digitales"/>
    <s v="Distancia"/>
    <s v="No conozco ninguno"/>
    <s v="Presencial"/>
    <s v="Mañana entre semana"/>
    <s v="Correo electrónico"/>
  </r>
  <r>
    <x v="393"/>
    <x v="2"/>
    <s v="SI, ACEPTO PARTICIPAR"/>
    <s v="Masculino"/>
    <s v="De 24 a 26 años"/>
    <n v="24"/>
    <s v="Centro poblado"/>
    <s v="Bachiller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conocimientos financieros"/>
    <s v="Falta de conocimientos financieros"/>
    <s v="No conozco programas de ese tipo"/>
    <s v="Puedo hacerlo con dificultad"/>
    <s v="Puedo hacerlo con dificultad"/>
    <s v="Puedo hacerlo sin ayuda"/>
    <s v="Puedo hacerlo con ayuda"/>
    <s v="Puedo hacerlo con ayuda"/>
    <s v="Educación financiera"/>
    <s v="Falta de experiencia;Falta de información"/>
    <s v="Ferias de empleo"/>
    <s v="Virtual"/>
    <s v="Fines de semana"/>
    <s v="Redes sociales"/>
  </r>
  <r>
    <x v="394"/>
    <x v="2"/>
    <s v="SI, ACEPTO PARTICIPAR"/>
    <s v="Femenino"/>
    <s v="De 26 a 28 años"/>
    <n v="26"/>
    <s v="Rural"/>
    <s v="Tecnólogo"/>
    <s v="Trabajo actualmente como empleado"/>
    <s v="Empleado con contrato"/>
    <s v="Más de un año"/>
    <s v="Sí, completamente"/>
    <s v="2- Satisfecho/a"/>
    <s v="Salario"/>
    <s v="No"/>
    <s v="Todavía no he iniciado una búsqueda activa"/>
    <s v="Tengo una pero necesito actualizarla"/>
    <s v="No"/>
    <s v="Redes sociales"/>
    <s v="Falta de experiencia"/>
    <s v="No"/>
    <s v=""/>
    <s v=""/>
    <s v=""/>
    <s v=""/>
    <s v=""/>
    <s v="No puedo hacerlo"/>
    <s v="No puedo hacerlo"/>
    <s v="Puedo hacerlo con ayuda"/>
    <s v="Puedo hacerlo con ayuda"/>
    <s v="Puedo hacerlo con ayuda"/>
    <s v="Crear una hoja de vida;Preparación para entrevista"/>
    <s v="Falta de experiencia;Falta de información"/>
    <s v="No conozco ninguno"/>
    <s v="Presencial y virtual"/>
    <s v="Nocturno"/>
    <s v="WhatsApp"/>
  </r>
  <r>
    <x v="395"/>
    <x v="2"/>
    <s v="SI, ACEPTO PARTICIPAR"/>
    <s v="Otro"/>
    <s v="De 18 a 20 años"/>
    <n v="19"/>
    <s v="Centro poblado"/>
    <s v="Bachiller"/>
    <s v="Actualmente no trabajo y estoy buscando empleo"/>
    <s v=""/>
    <s v=""/>
    <s v=""/>
    <s v=""/>
    <s v=""/>
    <s v=""/>
    <s v="Más de 6 meses"/>
    <s v="No"/>
    <s v="No"/>
    <s v="Ferias de empleo"/>
    <s v="Falta de experiencia"/>
    <s v="Sí"/>
    <s v=""/>
    <s v=""/>
    <s v=""/>
    <s v=""/>
    <s v=""/>
    <s v="Puedo hacerlo con dificultad"/>
    <s v="Puedo hacerlo con dificultad"/>
    <s v="Puedo hacerlo con dificultad"/>
    <s v="Puedo hacerlo con dificultad"/>
    <s v="Puedo hacerlo con dificultad"/>
    <s v="Comunicación;Liderazgo"/>
    <s v="Falta de experiencia;Falta de información"/>
    <s v="Oficina de orientación laboral"/>
    <s v="Me es indiferente"/>
    <s v="Mañana entre semana"/>
    <s v="Correo electrónico"/>
  </r>
  <r>
    <x v="396"/>
    <x v="2"/>
    <s v="SI, ACEPTO PARTICIPAR"/>
    <s v="Masculino"/>
    <s v="De 20 a 22 años"/>
    <n v="21"/>
    <s v="Rural"/>
    <s v="Técnico"/>
    <s v="Trabajo actualmente como empleado"/>
    <s v="Empleado con contrato"/>
    <s v="Menos de 3 meses"/>
    <s v="Parcialmente"/>
    <s v="2- Satisfecho/a"/>
    <s v="Salario"/>
    <s v="No estoy seguro/a"/>
    <s v="Entre 4 y 6 meses"/>
    <s v="Tengo una pero necesito actualizarla"/>
    <s v="Sí"/>
    <s v="Redes sociales"/>
    <s v="Falta de formación"/>
    <s v="No"/>
    <s v=""/>
    <s v=""/>
    <s v=""/>
    <s v=""/>
    <s v=""/>
    <s v="Puedo hacerlo sin ayuda"/>
    <s v="Puedo hacerlo sin ayuda"/>
    <s v="Puedo hacerlo sin ayuda"/>
    <s v="Puedo hacerlo sin ayuda"/>
    <s v="Puedo hacerlo con dificultad"/>
    <s v="Herramientas digitales;Educación financiera"/>
    <s v="Costos de transporte;Distancia"/>
    <s v="Programas de emprendimiento"/>
    <s v="Presencial"/>
    <s v="Fines de semana"/>
    <s v="Celular"/>
  </r>
  <r>
    <x v="397"/>
    <x v="2"/>
    <s v="SI, ACEPTO PARTICIPAR"/>
    <s v="Femenino"/>
    <s v="De 22 a 24 años"/>
    <n v="23"/>
    <s v="Centro poblado"/>
    <s v="Técnico"/>
    <s v="Trabajo de manera independiente"/>
    <s v="Trabajo independiente"/>
    <s v="De 7 a 12 meses"/>
    <s v="Sí, completamente"/>
    <s v="3- Insatisfecho/a"/>
    <s v="Estabilidad laboral"/>
    <s v="Sí"/>
    <s v="Más de 6 meses"/>
    <s v="Sí"/>
    <s v="Sí"/>
    <s v="Familiares o conocidos"/>
    <s v="Transporte"/>
    <s v="Sí"/>
    <s v=""/>
    <s v=""/>
    <s v=""/>
    <s v=""/>
    <s v=""/>
    <s v="Puedo hacerlo con ayuda"/>
    <s v="Puedo hacerlo con ayuda"/>
    <s v="Puedo hacerlo con ayuda"/>
    <s v="No puedo hacerlo"/>
    <s v="Puedo hacerlo sin ayuda"/>
    <s v="Crear una hoja de vida"/>
    <s v="Costos de transporte;Distancia"/>
    <s v="Oficina de orientación laboral"/>
    <s v="Virtual"/>
    <s v="Nocturno"/>
    <s v="WhatsApp"/>
  </r>
  <r>
    <x v="398"/>
    <x v="2"/>
    <s v="SI, ACEPTO PARTICIPAR"/>
    <s v="Femenino"/>
    <s v="De 24 a 26 años"/>
    <n v="25"/>
    <s v="Rural"/>
    <s v="Tecnólogo"/>
    <s v="Busco mi primer empleo"/>
    <s v=""/>
    <s v=""/>
    <s v=""/>
    <s v=""/>
    <s v=""/>
    <s v=""/>
    <s v="Entre 1 y 3 meses"/>
    <s v="No"/>
    <s v="No"/>
    <s v="No sé dónde buscar"/>
    <s v="Falta de experiencia"/>
    <s v="No"/>
    <s v=""/>
    <s v=""/>
    <s v=""/>
    <s v=""/>
    <s v=""/>
    <s v="Puedo hacerlo con dificultad"/>
    <s v="Puedo hacerlo con dificultad"/>
    <s v="Puedo hacerlo con dificultad"/>
    <s v="No puedo hacerlo"/>
    <s v="No puedo hacerlo"/>
    <s v="Preparación para entrevista"/>
    <s v="Costos de transporte;Distancia"/>
    <s v="Ferias de empleo"/>
    <s v="Presencial y virtual"/>
    <s v="Mañana entre semana"/>
    <s v="Redes sociales"/>
  </r>
  <r>
    <x v="399"/>
    <x v="2"/>
    <s v="SI, ACEPTO PARTICIPAR"/>
    <s v="Masculino"/>
    <s v="De 26 a 28 años"/>
    <n v="27"/>
    <s v="Centro poblado"/>
    <s v="Profesional"/>
    <s v="Trabajo actualmente como empleado"/>
    <s v="Empleado sin contrato formal"/>
    <s v="De 3 a 6 meses"/>
    <s v="No"/>
    <s v="2- Satisfecho/a"/>
    <s v="Estabilidad laboral"/>
    <s v="Sí"/>
    <s v="Menos de 1 mes"/>
    <s v="Tengo una pero necesito actualizarla"/>
    <s v="No"/>
    <s v="Redes sociales"/>
    <s v="Falta de formación"/>
    <s v="No"/>
    <s v=""/>
    <s v=""/>
    <s v=""/>
    <s v=""/>
    <s v=""/>
    <s v="No puedo hacerlo"/>
    <s v="No puedo hacerlo"/>
    <s v="Puedo hacerlo sin ayuda"/>
    <s v="Puedo hacerlo con ayuda"/>
    <s v="No puedo hacerlo"/>
    <s v="Comunicación"/>
    <s v="Falta de información"/>
    <s v="No conozco ninguno"/>
    <s v="Me es indiferente"/>
    <s v="Fines de semana"/>
    <s v="Celular"/>
  </r>
  <r>
    <x v="400"/>
    <x v="2"/>
    <s v="SI, ACEPTO PARTICIPAR"/>
    <s v="Masculino"/>
    <s v="De 18 a 20 años"/>
    <n v="18"/>
    <s v="Rural"/>
    <s v="Técnico"/>
    <s v="Trabajo de manera independiente"/>
    <s v="Trabajo independiente"/>
    <s v="Más de un año"/>
    <s v="Parcialmente"/>
    <s v="3- Insatisfecho/a"/>
    <s v="Estabilidad laboral"/>
    <s v="Sí"/>
    <s v="Entre 1 y 3 meses"/>
    <s v="Sí"/>
    <s v="No"/>
    <s v="Familiares o conocidos"/>
    <s v="Transporte"/>
    <s v="Sí"/>
    <s v=""/>
    <s v=""/>
    <s v=""/>
    <s v=""/>
    <s v=""/>
    <s v="Puedo hacerlo con ayuda"/>
    <s v="Puedo hacerlo con ayuda"/>
    <s v="Puedo hacerlo con ayuda"/>
    <s v="Puedo hacerlo con dificultad"/>
    <s v="Puedo hacerlo con ayuda"/>
    <s v="Liderazgo"/>
    <s v="Falta de información"/>
    <s v="Ferias de empleo"/>
    <s v="Presencial"/>
    <s v="Nocturno"/>
    <s v="Correo electrónico"/>
  </r>
  <r>
    <x v="401"/>
    <x v="2"/>
    <s v="SI, ACEPTO PARTICIPAR"/>
    <s v="Femenino"/>
    <s v="De 20 a 22 años"/>
    <n v="20"/>
    <s v="Centro poblado"/>
    <s v="Tecnólogo"/>
    <s v="Estudio y quiero comenzar a trabajar"/>
    <s v=""/>
    <s v=""/>
    <s v=""/>
    <s v=""/>
    <s v=""/>
    <s v=""/>
    <s v="Todavía no he iniciado una búsqueda activa"/>
    <s v="Sí"/>
    <s v="Sí"/>
    <s v="Institución educativa"/>
    <s v="Falta de experiencia"/>
    <s v="Sí"/>
    <s v=""/>
    <s v=""/>
    <s v=""/>
    <s v=""/>
    <s v=""/>
    <s v="Puedo hacerlo sin ayuda"/>
    <s v="Puedo hacerlo sin ayuda"/>
    <s v="Puedo hacerlo con dificultad"/>
    <s v="Puedo hacerlo sin ayuda"/>
    <s v="Puedo hacerlo con ayuda"/>
    <s v="Emprendimiento"/>
    <s v="Falta de información"/>
    <s v="Programas de emprendimiento"/>
    <s v="Virtual"/>
    <s v="Mañana entre semana"/>
    <s v="Celular"/>
  </r>
  <r>
    <x v="402"/>
    <x v="2"/>
    <s v="SI, ACEPTO PARTICIPAR"/>
    <s v="Otro"/>
    <s v="De 22 a 24 años"/>
    <n v="22"/>
    <s v="Rural"/>
    <s v="Profesional"/>
    <s v="Trabajo actualmente como empleado"/>
    <s v="Empleado con contrato"/>
    <s v="De 7 a 12 meses"/>
    <s v="Sí, completamente"/>
    <s v="3- Insatisfecho/a"/>
    <s v="Estabilidad laboral"/>
    <s v="Sí"/>
    <s v="Más de 6 meses"/>
    <s v="Sí"/>
    <s v="Sí"/>
    <s v="Familiares o conocidos"/>
    <s v="Falta de formación"/>
    <s v="Sí"/>
    <s v=""/>
    <s v=""/>
    <s v=""/>
    <s v=""/>
    <s v=""/>
    <s v="Puedo hacerlo con ayuda"/>
    <s v="Puedo hacerlo con ayuda"/>
    <s v="Puedo hacerlo sin ayuda"/>
    <s v="Puedo hacerlo sin ayuda"/>
    <s v="Puedo hacerlo con dificultad"/>
    <s v="Herramientas digitales"/>
    <s v="Horarios"/>
    <s v="Oficina de orientación laboral"/>
    <s v="Presencial y virtual"/>
    <s v="Diurno"/>
    <s v="WhatsApp"/>
  </r>
  <r>
    <x v="403"/>
    <x v="2"/>
    <s v="SI, ACEPTO PARTICIPAR"/>
    <s v="Masculino"/>
    <s v="De 24 a 26 años"/>
    <n v="24"/>
    <s v="Centro poblado"/>
    <s v="Profesional"/>
    <s v="Actualmente no trabajo y estoy buscando empleo"/>
    <s v=""/>
    <s v=""/>
    <s v=""/>
    <s v=""/>
    <s v=""/>
    <s v=""/>
    <s v="Entre 4 y 6 meses"/>
    <s v="No"/>
    <s v="Sí"/>
    <s v="Ferias de empleo"/>
    <s v="Falta de experiencia"/>
    <s v="Sí"/>
    <s v=""/>
    <s v=""/>
    <s v=""/>
    <s v=""/>
    <s v=""/>
    <s v="Puedo hacerlo con dificultad"/>
    <s v="Puedo hacerlo con dificultad"/>
    <s v="Puedo hacerlo con ayuda"/>
    <s v="No puedo hacerlo"/>
    <s v="Puedo hacerlo sin ayuda"/>
    <s v="Educación financiera"/>
    <s v="Horarios"/>
    <s v="Programas de emprendimiento"/>
    <s v="Me es indiferente"/>
    <s v="Nocturno"/>
    <s v="Redes sociales"/>
  </r>
  <r>
    <x v="404"/>
    <x v="2"/>
    <s v="SI, ACEPTO PARTICIPAR"/>
    <s v="Femenino"/>
    <s v="De 26 a 28 años"/>
    <n v="28"/>
    <s v="Rural"/>
    <s v="Técnico"/>
    <s v="Estudio y quiero comenzar a trabajar"/>
    <s v=""/>
    <s v=""/>
    <s v=""/>
    <s v=""/>
    <s v=""/>
    <s v=""/>
    <s v="Entre 4 y 6 meses"/>
    <s v="No"/>
    <s v="No"/>
    <s v="Institución educativa"/>
    <s v="Falta de experiencia"/>
    <s v="Sí"/>
    <s v=""/>
    <s v=""/>
    <s v=""/>
    <s v=""/>
    <s v=""/>
    <s v="No puedo hacerlo"/>
    <s v="No puedo hacerlo"/>
    <s v="Puedo hacerlo con dificultad"/>
    <s v="Puedo hacerlo con ayuda"/>
    <s v="Puedo hacerlo sin ayuda"/>
    <s v="Crear una hoja de vida;Preparación para entrevista"/>
    <s v="Horarios"/>
    <s v="No conozco ninguno"/>
    <s v="Virtual"/>
    <s v="Mañana entre semana"/>
    <s v="Celular"/>
  </r>
  <r>
    <x v="405"/>
    <x v="2"/>
    <s v="SI, ACEPTO PARTICIPAR"/>
    <s v="Femenino"/>
    <s v="De 18 a 20 años"/>
    <n v="19"/>
    <s v="Centro poblado"/>
    <s v="Bachiller"/>
    <s v="Trabajo actualmente como empleado"/>
    <s v="Empleado con contrato"/>
    <s v="Más de un año"/>
    <s v="Parcialmente"/>
    <s v="3- Insatisfecho/a"/>
    <s v="Estabilidad laboral"/>
    <s v="Sí"/>
    <s v="Entre 1 y 3 meses"/>
    <s v="Sí"/>
    <s v="No"/>
    <s v="Familiares o conocidos"/>
    <s v="Falta de formación"/>
    <s v="Sí"/>
    <s v=""/>
    <s v=""/>
    <s v=""/>
    <s v=""/>
    <s v=""/>
    <s v="Puedo hacerlo con ayuda"/>
    <s v="Puedo hacerlo con ayuda"/>
    <s v="Puedo hacerlo sin ayuda"/>
    <s v="Puedo hacerlo con dificultad"/>
    <s v="No puedo hacerlo"/>
    <s v="Comunicación;Liderazgo"/>
    <s v="Costos de transporte"/>
    <s v="Ferias de empleo"/>
    <s v="Presencial y virtual"/>
    <s v="Diurno"/>
    <s v="Correo electrónico"/>
  </r>
  <r>
    <x v="406"/>
    <x v="2"/>
    <s v="SI, ACEPTO PARTICIPAR"/>
    <s v="Masculino"/>
    <s v="De 20 a 22 años"/>
    <n v="21"/>
    <s v="Rural"/>
    <s v="Bachiller"/>
    <s v="Actualmente no trabajo y estoy buscando empleo"/>
    <s v=""/>
    <s v=""/>
    <s v=""/>
    <s v=""/>
    <s v=""/>
    <s v=""/>
    <s v="Entre 1 y 3 meses"/>
    <s v="No"/>
    <s v="No"/>
    <s v="Instituciones públicas"/>
    <s v="Falta de experiencia"/>
    <s v="No"/>
    <s v=""/>
    <s v=""/>
    <s v=""/>
    <s v=""/>
    <s v=""/>
    <s v="Puedo hacerlo sin ayuda"/>
    <s v="Puedo hacerlo sin ayuda"/>
    <s v="No puedo hacerlo"/>
    <s v="Puedo hacerlo con dificultad"/>
    <s v="No puedo hacerlo"/>
    <s v="Herramientas digitales;Educación financiera"/>
    <s v="Costos de transporte"/>
    <s v="No conozco ninguno"/>
    <s v="Me es indiferente"/>
    <s v="Nocturno"/>
    <s v="Redes sociales"/>
  </r>
  <r>
    <x v="407"/>
    <x v="2"/>
    <s v="SI, ACEPTO PARTICIPAR"/>
    <s v="Masculino"/>
    <s v="De 22 a 24 años"/>
    <n v="23"/>
    <s v="Centro poblado"/>
    <s v="Bachiller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tiempo"/>
    <s v="Falta de tiempo"/>
    <s v="No conozco programas de ese tipo"/>
    <s v="Puedo hacerlo con ayuda"/>
    <s v="Puedo hacerlo con ayuda"/>
    <s v="Puedo hacerlo con dificultad"/>
    <s v="Puedo hacerlo sin ayuda"/>
    <s v="Puedo hacerlo con ayuda"/>
    <s v="Crear una hoja de vida"/>
    <s v="Costos de transporte"/>
    <s v="Oficina de orientación laboral"/>
    <s v="Presencial"/>
    <s v="Mañana entre semana"/>
    <s v="WhatsApp"/>
  </r>
  <r>
    <x v="408"/>
    <x v="2"/>
    <s v="SI, ACEPTO PARTICIPAR"/>
    <s v="Femenino"/>
    <s v="De 24 a 26 años"/>
    <n v="25"/>
    <s v="Rural"/>
    <s v="Técnico"/>
    <s v="Trabajo de manera independiente"/>
    <s v="Trabajo independiente"/>
    <s v="Menos de 3 meses"/>
    <s v="No"/>
    <s v="3- Insatisfecho/a"/>
    <s v="Estabilidad laboral"/>
    <s v="No"/>
    <s v="Todavía no he iniciado una búsqueda activa"/>
    <s v="Sí"/>
    <s v="Sí"/>
    <s v="Familiares o conocidos"/>
    <s v="Internet"/>
    <s v="Sí"/>
    <s v=""/>
    <s v=""/>
    <s v=""/>
    <s v=""/>
    <s v=""/>
    <s v="Puedo hacerlo con dificultad"/>
    <s v="Puedo hacerlo con dificultad"/>
    <s v="Puedo hacerlo sin ayuda"/>
    <s v="No puedo hacerlo"/>
    <s v="Puedo hacerlo con dificultad"/>
    <s v="Preparación para entrevista"/>
    <s v="Horarios;Falta de información"/>
    <s v="Programas de emprendimiento"/>
    <s v="Virtual"/>
    <s v="Diurno"/>
    <s v="Correo electrónico"/>
  </r>
  <r>
    <x v="409"/>
    <x v="2"/>
    <s v="SI, ACEPTO PARTICIPAR"/>
    <s v="Otro"/>
    <s v="De 26 a 28 años"/>
    <n v="26"/>
    <s v="Centro poblado"/>
    <s v="Profesional"/>
    <s v="Busco mi primer empleo"/>
    <s v=""/>
    <s v=""/>
    <s v=""/>
    <s v=""/>
    <s v=""/>
    <s v=""/>
    <s v="Menos de 1 mes"/>
    <s v="No"/>
    <s v="No"/>
    <s v="No sé dónde buscar"/>
    <s v="Falta de formación"/>
    <s v="No"/>
    <s v=""/>
    <s v=""/>
    <s v=""/>
    <s v=""/>
    <s v=""/>
    <s v="No puedo hacerlo"/>
    <s v="No puedo hacerlo"/>
    <s v="No puedo hacerlo"/>
    <s v="Puedo hacerlo con ayuda"/>
    <s v="Puedo hacerlo con dificultad"/>
    <s v="Comunicación"/>
    <s v="Horarios;Falta de información"/>
    <s v="Oficina de orientación laboral"/>
    <s v="Presencial y virtual"/>
    <s v="Nocturno"/>
    <s v="Celular"/>
  </r>
  <r>
    <x v="410"/>
    <x v="2"/>
    <s v="SI, ACEPTO PARTICIPAR"/>
    <s v="Masculino"/>
    <s v="De 18 a 20 años"/>
    <n v="18"/>
    <s v="Rural"/>
    <s v="Bachiller"/>
    <s v="Trabajo actualmente como empleado"/>
    <s v="Empleado con contrato"/>
    <s v="Menos de 3 meses"/>
    <s v="No"/>
    <s v="3- Insatisfecho/a"/>
    <s v="Estabilidad laboral"/>
    <s v="No"/>
    <s v="Todavía no he iniciado una búsqueda activa"/>
    <s v="Sí"/>
    <s v="Sí"/>
    <s v="Familiares o conocidos"/>
    <s v="Falta de experiencia"/>
    <s v="Sí"/>
    <s v=""/>
    <s v=""/>
    <s v=""/>
    <s v=""/>
    <s v=""/>
    <s v="Puedo hacerlo con ayuda"/>
    <s v="Puedo hacerlo con ayuda"/>
    <s v="Puedo hacerlo con dificultad"/>
    <s v="Puedo hacerlo con ayuda"/>
    <s v="Puedo hacerlo sin ayuda"/>
    <s v="Liderazgo"/>
    <s v="Horarios;Falta de información"/>
    <s v="Ferias de empleo"/>
    <s v="Me es indiferente"/>
    <s v="Mañana entre semana"/>
    <s v="WhatsApp"/>
  </r>
  <r>
    <x v="411"/>
    <x v="2"/>
    <s v="SI, ACEPTO PARTICIPAR"/>
    <s v="Femenino"/>
    <s v="De 20 a 22 años"/>
    <n v="20"/>
    <s v="Centro poblado"/>
    <s v="Técnico"/>
    <s v="Trabajo de manera independiente"/>
    <s v="Trabajo independiente"/>
    <s v="De 3 a 6 meses"/>
    <s v="Sí, completamente"/>
    <s v="4- Muy insatisfecho/a"/>
    <s v="Estabilidad laboral"/>
    <s v="No estoy seguro/a"/>
    <s v="Entre 4 y 6 meses"/>
    <s v="Sí"/>
    <s v="No"/>
    <s v="Empresas directamente"/>
    <s v="Internet"/>
    <s v="No"/>
    <s v=""/>
    <s v=""/>
    <s v=""/>
    <s v=""/>
    <s v=""/>
    <s v="Puedo hacerlo sin ayuda"/>
    <s v="Puedo hacerlo sin ayuda"/>
    <s v="Puedo hacerlo sin ayuda"/>
    <s v="Puedo hacerlo con dificultad"/>
    <s v="No puedo hacerlo"/>
    <s v="Emprendimiento"/>
    <s v="Ninguna"/>
    <s v="No conozco ninguno"/>
    <s v="Presencial"/>
    <s v="Diurno"/>
    <s v="Redes sociales"/>
  </r>
  <r>
    <x v="412"/>
    <x v="2"/>
    <s v="SI, ACEPTO PARTICIPAR"/>
    <s v="Femenino"/>
    <s v="De 22 a 24 años"/>
    <n v="22"/>
    <s v="Rural"/>
    <s v="Tecnólogo"/>
    <s v="Estudio y quiero comenzar a trabajar"/>
    <s v=""/>
    <s v=""/>
    <s v=""/>
    <s v=""/>
    <s v=""/>
    <s v=""/>
    <s v="Menos de 1 mes"/>
    <s v="No"/>
    <s v="Sí"/>
    <s v="Institución educativa"/>
    <s v="Falta de experiencia"/>
    <s v="Sí"/>
    <s v=""/>
    <s v=""/>
    <s v=""/>
    <s v=""/>
    <s v=""/>
    <s v="Puedo hacerlo con ayuda"/>
    <s v="Puedo hacerlo con ayuda"/>
    <s v="No puedo hacerlo"/>
    <s v="Puedo hacerlo sin ayuda"/>
    <s v="No puedo hacerlo"/>
    <s v="Herramientas digitales"/>
    <s v="Ninguna"/>
    <s v="Ferias de empleo"/>
    <s v="Virtual"/>
    <s v="Nocturno"/>
    <s v="Celular"/>
  </r>
  <r>
    <x v="413"/>
    <x v="2"/>
    <s v="SI, ACEPTO PARTICIPAR"/>
    <s v="Masculino"/>
    <s v="De 24 a 26 años"/>
    <n v="24"/>
    <s v="Centro poblado"/>
    <s v="Profesional"/>
    <s v="Trabajo actualmente como empleado"/>
    <s v="Empleado sin contrato formal"/>
    <s v="De 3 a 6 meses"/>
    <s v="Sí, completamente"/>
    <s v="4- Muy insatisfecho/a"/>
    <s v="Estabilidad laboral"/>
    <s v="No estoy seguro/a"/>
    <s v="Entre 4 y 6 meses"/>
    <s v="Sí"/>
    <s v="No"/>
    <s v="Empresas directamente"/>
    <s v="Falta de experiencia"/>
    <s v="No"/>
    <s v=""/>
    <s v=""/>
    <s v=""/>
    <s v=""/>
    <s v=""/>
    <s v="Puedo hacerlo con dificultad"/>
    <s v="Puedo hacerlo con dificultad"/>
    <s v="Puedo hacerlo con dificultad"/>
    <s v="No puedo hacerlo"/>
    <s v="Puedo hacerlo con ayuda"/>
    <s v="Educación financiera"/>
    <s v="Ninguna"/>
    <s v="Programas de emprendimiento"/>
    <s v="Presencial y virtual"/>
    <s v="Mañana entre semana"/>
    <s v="Correo electrónico"/>
  </r>
  <r>
    <x v="414"/>
    <x v="2"/>
    <s v="SI, ACEPTO PARTICIPAR"/>
    <s v="Masculino"/>
    <s v="De 26 a 28 años"/>
    <n v="27"/>
    <s v="Rural"/>
    <s v="Posgrado"/>
    <s v="Actualmente no trabajo y estoy buscando empleo"/>
    <s v=""/>
    <s v=""/>
    <s v=""/>
    <s v=""/>
    <s v=""/>
    <s v=""/>
    <s v="Menos de 1 mes"/>
    <s v="No"/>
    <s v="Sí"/>
    <s v="Instituciones públicas"/>
    <s v="Falta de formación"/>
    <s v="No"/>
    <s v=""/>
    <s v=""/>
    <s v=""/>
    <s v=""/>
    <s v=""/>
    <s v="No puedo hacerlo"/>
    <s v="No puedo hacerlo"/>
    <s v="Puedo hacerlo sin ayuda"/>
    <s v="No puedo hacerlo"/>
    <s v="Puedo hacerlo con ayuda"/>
    <s v="Crear una hoja de vida;Preparación para entrevista"/>
    <s v="Falta de experiencia"/>
    <s v="Oficina de orientación laboral"/>
    <s v="Me es indiferente"/>
    <s v="Diurno"/>
    <s v="Redes sociales"/>
  </r>
  <r>
    <x v="415"/>
    <x v="2"/>
    <s v="SI, ACEPTO PARTICIPAR"/>
    <s v="Femenino"/>
    <s v="De 18 a 20 años"/>
    <n v="19"/>
    <s v="Centro poblado"/>
    <s v="Tecnólogo"/>
    <s v="Estudio y quiero comenzar a trabajar"/>
    <s v=""/>
    <s v=""/>
    <s v=""/>
    <s v=""/>
    <s v=""/>
    <s v=""/>
    <s v="Más de 6 meses"/>
    <s v="No"/>
    <s v="No"/>
    <s v="No sé dónde buscar"/>
    <s v="Falta de experiencia"/>
    <s v="No"/>
    <s v=""/>
    <s v=""/>
    <s v=""/>
    <s v=""/>
    <s v=""/>
    <s v="Puedo hacerlo con ayuda"/>
    <s v="Puedo hacerlo con ayuda"/>
    <s v="No puedo hacerlo"/>
    <s v="Puedo hacerlo con ayuda"/>
    <s v="Puedo hacerlo con dificultad"/>
    <s v="Comunicación;Liderazgo"/>
    <s v="Falta de experiencia"/>
    <s v="Programas de emprendimiento"/>
    <s v="Presencial"/>
    <s v="Nocturno"/>
    <s v="WhatsApp"/>
  </r>
  <r>
    <x v="416"/>
    <x v="2"/>
    <s v="SI, ACEPTO PARTICIPAR"/>
    <s v="No quiero responder"/>
    <s v="De 20 a 22 años"/>
    <n v="21"/>
    <s v="Rural"/>
    <s v="Tecnólogo"/>
    <s v="Trabajo actualmente como empleado"/>
    <s v="Empleado con contrato"/>
    <s v="De 7 a 12 meses"/>
    <s v="Parcialmente"/>
    <s v="4- Muy insatisfecho/a"/>
    <s v="Horario"/>
    <s v="Sí"/>
    <s v="Menos de 1 mes"/>
    <s v="Sí"/>
    <s v="Sí"/>
    <s v="Empresas directamente"/>
    <s v="Falta de experiencia"/>
    <s v="No"/>
    <s v=""/>
    <s v=""/>
    <s v=""/>
    <s v=""/>
    <s v=""/>
    <s v="Puedo hacerlo sin ayuda"/>
    <s v="Puedo hacerlo sin ayuda"/>
    <s v="Puedo hacerlo con dificultad"/>
    <s v="Puedo hacerlo con dificultad"/>
    <s v="Puedo hacerlo sin ayuda"/>
    <s v="Herramientas digitales;Educación financiera"/>
    <s v="Falta de experiencia"/>
    <s v="No conozco ninguno"/>
    <s v="Virtual"/>
    <s v="Fines de semana"/>
    <s v="Correo electrónico"/>
  </r>
  <r>
    <x v="417"/>
    <x v="2"/>
    <s v="SI, ACEPTO PARTICIPAR"/>
    <s v="Masculino"/>
    <s v="De 22 a 24 años"/>
    <n v="23"/>
    <s v="Centro poblado"/>
    <s v="Profesional"/>
    <s v="Actualmente no trabajo y estoy buscando empleo"/>
    <s v=""/>
    <s v=""/>
    <s v=""/>
    <s v=""/>
    <s v=""/>
    <s v=""/>
    <s v="Más de 6 meses"/>
    <s v="Tengo una pero necesito actualizarla"/>
    <s v="No"/>
    <s v="Instituciones públicas"/>
    <s v="Falta de formación"/>
    <s v="No"/>
    <s v=""/>
    <s v=""/>
    <s v=""/>
    <s v=""/>
    <s v=""/>
    <s v="Puedo hacerlo con ayuda"/>
    <s v="Puedo hacerlo con ayuda"/>
    <s v="Puedo hacerlo sin ayuda"/>
    <s v="Puedo hacerlo sin ayuda"/>
    <s v="Puedo hacerlo sin ayuda"/>
    <s v="Crear una hoja de vida"/>
    <s v="Distancia"/>
    <s v="Ferias de empleo"/>
    <s v="Presencial y virtual"/>
    <s v="Diurno"/>
    <s v="Celular"/>
  </r>
  <r>
    <x v="418"/>
    <x v="2"/>
    <s v="SI, ACEPTO PARTICIPAR"/>
    <s v="Femenino"/>
    <s v="De 24 a 26 años"/>
    <n v="25"/>
    <s v="Rural"/>
    <s v="Posgrado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herramientas"/>
    <s v="Falta de herramientas"/>
    <s v="Sí"/>
    <s v="Puedo hacerlo con dificultad"/>
    <s v="Puedo hacerlo con dificultad"/>
    <s v="No puedo hacerlo"/>
    <s v="Puedo hacerlo sin ayuda"/>
    <s v="No puedo hacerlo"/>
    <s v="Preparación para entrevista"/>
    <s v="Distancia"/>
    <s v="No conozco ninguno"/>
    <s v="Me es indiferente"/>
    <s v="Nocturno"/>
    <s v="WhatsApp"/>
  </r>
  <r>
    <x v="419"/>
    <x v="2"/>
    <s v="SI, ACEPTO PARTICIPAR"/>
    <s v="Femenino"/>
    <s v="De 26 a 28 años"/>
    <n v="28"/>
    <s v="Centro poblado"/>
    <s v="Tecnólogo"/>
    <s v="Trabajo de manera independiente"/>
    <s v="Trabajo independiente"/>
    <s v="De 7 a 12 meses"/>
    <s v="Parcialmente"/>
    <s v="4- Muy insatisfecho/a"/>
    <s v="Horario"/>
    <s v="Sí"/>
    <s v="Menos de 1 mes"/>
    <s v="No"/>
    <s v="Sí"/>
    <s v="Empresas directamente"/>
    <s v="Internet"/>
    <s v="No"/>
    <s v=""/>
    <s v=""/>
    <s v=""/>
    <s v=""/>
    <s v=""/>
    <s v="No puedo hacerlo"/>
    <s v="No puedo hacerlo"/>
    <s v="Puedo hacerlo con dificultad"/>
    <s v="No puedo hacerlo"/>
    <s v="No puedo hacerlo"/>
    <s v="Comunicación"/>
    <s v="Distancia"/>
    <s v="Oficina de orientación laboral"/>
    <s v="Presencial"/>
    <s v="Fines de semana"/>
    <s v="Redes sociales"/>
  </r>
  <r>
    <x v="420"/>
    <x v="2"/>
    <s v="SI, ACEPTO PARTICIPAR"/>
    <s v="Masculino"/>
    <s v="De 18 a 20 años"/>
    <n v="18"/>
    <s v="Rural"/>
    <s v="Bachiller"/>
    <s v="Busco mi primer empleo"/>
    <s v=""/>
    <s v=""/>
    <s v=""/>
    <s v=""/>
    <s v=""/>
    <s v=""/>
    <s v="Más de 6 meses"/>
    <s v="No"/>
    <s v="No"/>
    <s v="No sé dónde buscar"/>
    <s v="Falta de formación"/>
    <s v="No"/>
    <s v=""/>
    <s v=""/>
    <s v=""/>
    <s v=""/>
    <s v=""/>
    <s v="Puedo hacerlo con ayuda"/>
    <s v="Puedo hacerlo con ayuda"/>
    <s v="Puedo hacerlo sin ayuda"/>
    <s v="Puedo hacerlo con ayuda"/>
    <s v="Puedo hacerlo con ayuda"/>
    <s v="Liderazgo"/>
    <s v="Falta de experiencia;Falta de información"/>
    <s v="Programas de emprendimiento"/>
    <s v="Presencial y virtual"/>
    <s v="Diurno"/>
    <s v="Celular"/>
  </r>
  <r>
    <x v="421"/>
    <x v="2"/>
    <s v="SI, ACEPTO PARTICIPAR"/>
    <s v="Masculino"/>
    <s v="De 20 a 22 años"/>
    <n v="20"/>
    <s v="Centro poblado"/>
    <s v="Técnico"/>
    <s v="Trabajo actualmente como empleado"/>
    <s v="Empleado con contrato"/>
    <s v="Más de un año"/>
    <s v="No"/>
    <s v="4- Muy insatisfecho/a"/>
    <s v="Horario"/>
    <s v="Sí"/>
    <s v="Más de 6 meses"/>
    <s v="Sí"/>
    <s v="No"/>
    <s v="Empresas directamente"/>
    <s v="Falta de experiencia"/>
    <s v="No"/>
    <s v=""/>
    <s v=""/>
    <s v=""/>
    <s v=""/>
    <s v=""/>
    <s v="Puedo hacerlo sin ayuda"/>
    <s v="Puedo hacerlo sin ayuda"/>
    <s v="No puedo hacerlo"/>
    <s v="Puedo hacerlo con ayuda"/>
    <s v="Puedo hacerlo con dificultad"/>
    <s v="Emprendimiento"/>
    <s v="Falta de experiencia;Falta de información"/>
    <s v="Oficina de orientación laboral"/>
    <s v="Me es indiferente"/>
    <s v="Nocturno"/>
    <s v="Correo electrónico"/>
  </r>
  <r>
    <x v="422"/>
    <x v="2"/>
    <s v="SI, ACEPTO PARTICIPAR"/>
    <s v="Femenino"/>
    <s v="De 22 a 24 años"/>
    <n v="22"/>
    <s v="Rural"/>
    <s v="Técnico"/>
    <s v="Trabajo de manera independiente"/>
    <s v="Trabajo independiente"/>
    <s v="Más de un año"/>
    <s v="No"/>
    <s v="4- Muy insatisfecho/a"/>
    <s v="Horario"/>
    <s v="Sí"/>
    <s v="Más de 6 meses"/>
    <s v="No"/>
    <s v="No"/>
    <s v="Empresas directamente"/>
    <s v="Internet"/>
    <s v="No"/>
    <s v=""/>
    <s v=""/>
    <s v=""/>
    <s v=""/>
    <s v=""/>
    <s v="Puedo hacerlo con ayuda"/>
    <s v="Puedo hacerlo con ayuda"/>
    <s v="Puedo hacerlo con ayuda"/>
    <s v="Puedo hacerlo con dificultad"/>
    <s v="Puedo hacerlo con dificultad"/>
    <s v="Herramientas digitales"/>
    <s v="Falta de experiencia;Falta de información"/>
    <s v="Ferias de empleo"/>
    <s v="Presencial"/>
    <s v="Fines de semana"/>
    <s v="Redes sociales"/>
  </r>
  <r>
    <x v="423"/>
    <x v="2"/>
    <s v="SI, ACEPTO PARTICIPAR"/>
    <s v="No quiero responder"/>
    <s v="De 24 a 26 años"/>
    <n v="24"/>
    <s v="Centro poblado"/>
    <s v="Tecnólogo"/>
    <s v="Busco mi primer empleo"/>
    <s v=""/>
    <s v=""/>
    <s v=""/>
    <s v=""/>
    <s v=""/>
    <s v=""/>
    <s v="Entre 4 y 6 meses"/>
    <s v="No"/>
    <s v="No"/>
    <s v="Portales de empleo;Redes sociales"/>
    <s v="Falta de formación"/>
    <s v="Sí"/>
    <s v=""/>
    <s v=""/>
    <s v=""/>
    <s v=""/>
    <s v=""/>
    <s v="Puedo hacerlo con dificultad"/>
    <s v="Puedo hacerlo con dificultad"/>
    <s v="Puedo hacerlo sin ayuda"/>
    <s v="Puedo hacerlo sin ayuda"/>
    <s v="Puedo hacerlo sin ayuda"/>
    <s v="Educación financiera"/>
    <s v="Costos de transporte;Distancia"/>
    <s v="No conozco ninguno"/>
    <s v="Virtual"/>
    <s v="Diurno"/>
    <s v="WhatsApp"/>
  </r>
  <r>
    <x v="424"/>
    <x v="2"/>
    <s v="SI, ACEPTO PARTICIPAR"/>
    <s v="Masculino"/>
    <s v="De 26 a 28 años"/>
    <n v="26"/>
    <s v="Rural"/>
    <s v="Profesional"/>
    <s v="Trabajo actualmente como empleado"/>
    <s v="Empleado con contrato"/>
    <s v="Menos de 3 meses"/>
    <s v="Sí, completamente"/>
    <s v="1- Muy satisfecho/a"/>
    <s v="Horario"/>
    <s v="No"/>
    <s v="Todavía no he iniciado una búsqueda activa"/>
    <s v="Sí"/>
    <s v="Sí"/>
    <s v="Ferias de empleo"/>
    <s v="Horarios disponibles"/>
    <s v="Sí"/>
    <s v=""/>
    <s v=""/>
    <s v=""/>
    <s v=""/>
    <s v=""/>
    <s v="No puedo hacerlo"/>
    <s v="No puedo hacerlo"/>
    <s v="No puedo hacerlo"/>
    <s v="No puedo hacerlo"/>
    <s v="Puedo hacerlo sin ayuda"/>
    <s v="Crear una hoja de vida;Preparación para entrevista"/>
    <s v="Costos de transporte;Distancia"/>
    <s v="Ferias de empleo"/>
    <s v="Presencial y virtual"/>
    <s v="Nocturno"/>
    <s v="Correo electrónico"/>
  </r>
  <r>
    <x v="425"/>
    <x v="2"/>
    <s v="SI, ACEPTO PARTICIPAR"/>
    <s v="Femenino"/>
    <s v="De 18 a 20 años"/>
    <n v="19"/>
    <s v="Centro poblado"/>
    <s v="Técnico"/>
    <s v="Actualmente no trabajo y estoy buscando empleo"/>
    <s v=""/>
    <s v=""/>
    <s v=""/>
    <s v=""/>
    <s v=""/>
    <s v=""/>
    <s v="Entre 4 y 6 meses"/>
    <s v="Tengo una pero necesito actualizarla"/>
    <s v="Sí"/>
    <s v="Institución educativa"/>
    <s v="Falta de formación"/>
    <s v="Sí"/>
    <s v=""/>
    <s v=""/>
    <s v=""/>
    <s v=""/>
    <s v=""/>
    <s v="Puedo hacerlo con ayuda"/>
    <s v="Puedo hacerlo con ayuda"/>
    <s v="Puedo hacerlo con ayuda"/>
    <s v="No puedo hacerlo"/>
    <s v="No puedo hacerlo"/>
    <s v="Comunicación;Liderazgo"/>
    <s v="Costos de transporte;Distancia"/>
    <s v="Programas de emprendimiento"/>
    <s v="Me es indiferente"/>
    <s v="Fines de semana"/>
    <s v="Celular"/>
  </r>
  <r>
    <x v="426"/>
    <x v="2"/>
    <s v="SI, ACEPTO PARTICIPAR"/>
    <s v="Femenino"/>
    <s v="De 20 a 22 años"/>
    <n v="21"/>
    <s v="Rural"/>
    <s v="Tecnólogo"/>
    <s v="Estudio y quiero comenzar a trabajar"/>
    <s v=""/>
    <s v=""/>
    <s v=""/>
    <s v=""/>
    <s v=""/>
    <s v=""/>
    <s v="Entre 1 y 3 meses"/>
    <s v="No"/>
    <s v="Sí"/>
    <s v="No sé dónde buscar"/>
    <s v="Falta de formación"/>
    <s v="No"/>
    <s v=""/>
    <s v=""/>
    <s v=""/>
    <s v=""/>
    <s v=""/>
    <s v="Puedo hacerlo sin ayuda"/>
    <s v="Puedo hacerlo sin ayuda"/>
    <s v="Puedo hacerlo sin ayuda"/>
    <s v="Puedo hacerlo con ayuda"/>
    <s v="Puedo hacerlo con ayuda"/>
    <s v="Herramientas digitales;Educación financiera"/>
    <s v="Falta de información"/>
    <s v="Oficina de orientación laboral"/>
    <s v="Presencial"/>
    <s v="Diurno"/>
    <s v="WhatsApp"/>
  </r>
  <r>
    <x v="427"/>
    <x v="2"/>
    <s v="SI, ACEPTO PARTICIPAR"/>
    <s v="Masculino"/>
    <s v="De 22 a 24 años"/>
    <n v="23"/>
    <s v="Centro poblado"/>
    <s v="Profesional"/>
    <s v="Trabajo actualmente como empleado"/>
    <s v="Empleado sin contrato formal"/>
    <s v="De 3 a 6 meses"/>
    <s v="Parcialmente"/>
    <s v="1- Muy satisfecho/a"/>
    <s v="Horario"/>
    <s v="No"/>
    <s v="Todavía no he iniciado una búsqueda activa"/>
    <s v="No"/>
    <s v="No"/>
    <s v="Ferias de empleo"/>
    <s v="Horarios disponibles"/>
    <s v="Sí"/>
    <s v=""/>
    <s v=""/>
    <s v=""/>
    <s v=""/>
    <s v=""/>
    <s v="Puedo hacerlo con ayuda"/>
    <s v="Puedo hacerlo con ayuda"/>
    <s v="No puedo hacerlo"/>
    <s v="Puedo hacerlo con dificultad"/>
    <s v="Puedo hacerlo con ayuda"/>
    <s v="Crear una hoja de vida"/>
    <s v="Falta de información"/>
    <s v="Programas de emprendimiento"/>
    <s v="Virtual"/>
    <s v="Mañana entre semana"/>
    <s v="Redes sociales"/>
  </r>
  <r>
    <x v="428"/>
    <x v="2"/>
    <s v="SI, ACEPTO PARTICIPAR"/>
    <s v="Masculino"/>
    <s v="De 24 a 26 años"/>
    <n v="25"/>
    <s v="Rural"/>
    <s v="Profesional"/>
    <s v="Actualmente no trabajo y estoy buscando empleo"/>
    <s v=""/>
    <s v=""/>
    <s v=""/>
    <s v=""/>
    <s v=""/>
    <s v=""/>
    <s v="Entre 1 y 3 meses"/>
    <s v="Tengo una pero necesito actualizarla"/>
    <s v="No"/>
    <s v="Institución educativa"/>
    <s v="Falta de formación"/>
    <s v="Sí"/>
    <s v=""/>
    <s v=""/>
    <s v=""/>
    <s v=""/>
    <s v=""/>
    <s v="Puedo hacerlo con dificultad"/>
    <s v="Puedo hacerlo con dificultad"/>
    <s v="Puedo hacerlo con ayuda"/>
    <s v="Puedo hacerlo sin ayuda"/>
    <s v="Puedo hacerlo con dificultad"/>
    <s v="Preparación para entrevista"/>
    <s v="Falta de información"/>
    <s v="No conozco ninguno"/>
    <s v="Presencial y virtual"/>
    <s v="Fines de semana"/>
    <s v="Celular"/>
  </r>
  <r>
    <x v="429"/>
    <x v="2"/>
    <s v="SI, ACEPTO PARTICIPAR"/>
    <s v="Femenino"/>
    <s v="De 26 a 28 años"/>
    <n v="27"/>
    <s v="Centro poblado"/>
    <s v="Técnic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financiación"/>
    <s v="Falta de financiación"/>
    <s v="Sí"/>
    <s v="No puedo hacerlo"/>
    <s v="No puedo hacerlo"/>
    <s v="Puedo hacerlo sin ayuda"/>
    <s v="Puedo hacerlo sin ayuda"/>
    <s v="Puedo hacerlo sin ayuda"/>
    <s v="Comunicación"/>
    <s v="Horarios"/>
    <s v="Ferias de empleo"/>
    <s v="Me es indiferente"/>
    <s v="Diurno"/>
    <s v="Correo electrónico"/>
  </r>
  <r>
    <x v="430"/>
    <x v="2"/>
    <s v="SI, ACEPTO PARTICIPAR"/>
    <s v="No quiero responder"/>
    <s v="De 18 a 20 años"/>
    <n v="18"/>
    <s v="Rural"/>
    <s v="Bachiller"/>
    <s v="Trabajo actualmente como empleado"/>
    <s v="Empleado con contrato"/>
    <s v="De 7 a 12 meses"/>
    <s v="No"/>
    <s v="1- Muy satisfecho/a"/>
    <s v="Horario"/>
    <s v="No estoy seguro/a"/>
    <s v="Entre 4 y 6 meses"/>
    <s v="No"/>
    <s v="Sí"/>
    <s v="Ferias de empleo"/>
    <s v="Horarios disponibles"/>
    <s v="Sí"/>
    <s v=""/>
    <s v=""/>
    <s v=""/>
    <s v=""/>
    <s v=""/>
    <s v="Puedo hacerlo con ayuda"/>
    <s v="Puedo hacerlo con ayuda"/>
    <s v="No puedo hacerlo"/>
    <s v="No puedo hacerlo"/>
    <s v="Puedo hacerlo sin ayuda"/>
    <s v="Liderazgo"/>
    <s v="Horarios"/>
    <s v="No conozco ninguno"/>
    <s v="Presencial"/>
    <s v="Mañana entre semana"/>
    <s v="Redes sociales"/>
  </r>
  <r>
    <x v="431"/>
    <x v="2"/>
    <s v="SI, ACEPTO PARTICIPAR"/>
    <s v="Masculino"/>
    <s v="De 20 a 22 años"/>
    <n v="20"/>
    <s v="Centro poblado"/>
    <s v="Bachiller"/>
    <s v="Actualmente no trabajo y estoy buscando empleo"/>
    <s v=""/>
    <s v=""/>
    <s v=""/>
    <s v=""/>
    <s v=""/>
    <s v=""/>
    <s v="Menos de 1 mes"/>
    <s v="Tengo una pero necesito actualizarla"/>
    <s v="Sí"/>
    <s v="Institución educativa"/>
    <s v="Dificultades con la hoja de vida"/>
    <s v="Sí"/>
    <s v=""/>
    <s v=""/>
    <s v=""/>
    <s v=""/>
    <s v=""/>
    <s v="Puedo hacerlo sin ayuda"/>
    <s v="Puedo hacerlo sin ayuda"/>
    <s v="Puedo hacerlo con ayuda"/>
    <s v="Puedo hacerlo con ayuda"/>
    <s v="No puedo hacerlo"/>
    <s v="Emprendimiento"/>
    <s v="Horarios"/>
    <s v="Oficina de orientación laboral"/>
    <s v="Virtual"/>
    <s v="Fines de semana"/>
    <s v="WhatsApp"/>
  </r>
  <r>
    <x v="432"/>
    <x v="2"/>
    <s v="SI, ACEPTO PARTICIPAR"/>
    <s v="Femenino"/>
    <s v="De 22 a 24 años"/>
    <n v="22"/>
    <s v="Rural"/>
    <s v="Bachiller"/>
    <s v="Trabajo actualmente como empleado"/>
    <s v="Empleado con contrato"/>
    <s v="Más de un año"/>
    <s v="Sí, completamente"/>
    <s v="2- Satisfecho/a"/>
    <s v="Acceso a prestaciones"/>
    <s v="Sí"/>
    <s v="Menos de 1 mes"/>
    <s v="No"/>
    <s v="No"/>
    <s v="Instituciones públicas"/>
    <s v="Horarios disponibles"/>
    <s v="No"/>
    <s v=""/>
    <s v=""/>
    <s v=""/>
    <s v=""/>
    <s v=""/>
    <s v="Puedo hacerlo con ayuda"/>
    <s v="Puedo hacerlo con ayuda"/>
    <s v="Puedo hacerlo sin ayuda"/>
    <s v="Puedo hacerlo con dificultad"/>
    <s v="No puedo hacerlo"/>
    <s v="Herramientas digitales"/>
    <s v="Costos de transporte"/>
    <s v="Programas de emprendimiento"/>
    <s v="Presencial y virtual"/>
    <s v="Diurno"/>
    <s v="Correo electrónico"/>
  </r>
  <r>
    <x v="433"/>
    <x v="2"/>
    <s v="SI, ACEPTO PARTICIPAR"/>
    <s v="Femenino"/>
    <s v="De 24 a 26 años"/>
    <n v="24"/>
    <s v="Centro poblado"/>
    <s v="Técnico"/>
    <s v="Trabajo de manera independiente"/>
    <s v="Trabajo independiente"/>
    <s v="Menos de 3 meses"/>
    <s v="Sí, completamente"/>
    <s v="1- Muy satisfecho/a"/>
    <s v="Horario"/>
    <s v="No"/>
    <s v="Todavía no he iniciado una búsqueda activa"/>
    <s v="No"/>
    <s v="Sí"/>
    <s v="Ferias de empleo"/>
    <s v="Falta de experiencia"/>
    <s v="Sí"/>
    <s v=""/>
    <s v=""/>
    <s v=""/>
    <s v=""/>
    <s v=""/>
    <s v="Puedo hacerlo con dificultad"/>
    <s v="Puedo hacerlo con dificultad"/>
    <s v="No puedo hacerlo"/>
    <s v="Puedo hacerlo con dificultad"/>
    <s v="Puedo hacerlo con ayuda"/>
    <s v="Educación financiera"/>
    <s v="Costos de transporte"/>
    <s v="Oficina de orientación laboral"/>
    <s v="Me es indiferente"/>
    <s v="Mañana entre semana"/>
    <s v="Celular"/>
  </r>
  <r>
    <x v="434"/>
    <x v="2"/>
    <s v="SI, ACEPTO PARTICIPAR"/>
    <s v="Masculino"/>
    <s v="De 26 a 28 años"/>
    <n v="28"/>
    <s v="Rural"/>
    <s v="Profesional"/>
    <s v="Busco mi primer empleo"/>
    <s v=""/>
    <s v=""/>
    <s v=""/>
    <s v=""/>
    <s v=""/>
    <s v=""/>
    <s v="Entre 1 y 3 meses"/>
    <s v="No"/>
    <s v="No"/>
    <s v="Portales de empleo;Redes sociales"/>
    <s v="Falta de formación"/>
    <s v="Sí"/>
    <s v=""/>
    <s v=""/>
    <s v=""/>
    <s v=""/>
    <s v=""/>
    <s v="No puedo hacerlo"/>
    <s v="No puedo hacerlo"/>
    <s v="Puedo hacerlo con ayuda"/>
    <s v="Puedo hacerlo sin ayuda"/>
    <s v="Puedo hacerlo con dificultad"/>
    <s v="Crear una hoja de vida;Preparación para entrevista"/>
    <s v="Costos de transporte"/>
    <s v="Ferias de empleo"/>
    <s v="Presencial"/>
    <s v="Fines de semana"/>
    <s v="WhatsApp"/>
  </r>
  <r>
    <x v="435"/>
    <x v="2"/>
    <s v="SI, ACEPTO PARTICIPAR"/>
    <s v="Masculino"/>
    <s v="De 18 a 20 años"/>
    <n v="19"/>
    <s v="Centro poblado"/>
    <s v="Bachiller"/>
    <s v="Trabajo actualmente como empleado"/>
    <s v="Empleado con contrato"/>
    <s v="Menos de 3 meses"/>
    <s v="Parcialmente"/>
    <s v="2- Satisfecho/a"/>
    <s v="Acceso a prestaciones"/>
    <s v="No"/>
    <s v="Todavía no he iniciado una búsqueda activa"/>
    <s v="No"/>
    <s v="Sí"/>
    <s v="Instituciones públicas"/>
    <s v="Transporte"/>
    <s v="No"/>
    <s v=""/>
    <s v=""/>
    <s v=""/>
    <s v=""/>
    <s v=""/>
    <s v="Puedo hacerlo con ayuda"/>
    <s v="Puedo hacerlo con ayuda"/>
    <s v="Puedo hacerlo sin ayuda"/>
    <s v="No puedo hacerlo"/>
    <s v="Puedo hacerlo con dificultad"/>
    <s v="Comunicación;Liderazgo"/>
    <s v="Horarios;Falta de información"/>
    <s v="No conozco ninguno"/>
    <s v="Virtual"/>
    <s v="Diurno"/>
    <s v="Redes sociales"/>
  </r>
  <r>
    <x v="436"/>
    <x v="2"/>
    <s v="SI, ACEPTO PARTICIPAR"/>
    <s v="Femenino"/>
    <s v="De 20 a 22 años"/>
    <n v="21"/>
    <s v="Rural"/>
    <s v="Técnico"/>
    <s v="Trabajo de manera independiente"/>
    <s v="Trabajo independiente"/>
    <s v="De 3 a 6 meses"/>
    <s v="Parcialmente"/>
    <s v="1- Muy satisfecho/a"/>
    <s v="Horario"/>
    <s v="No"/>
    <s v="Todavía no he iniciado una búsqueda activa"/>
    <s v="No"/>
    <s v="No"/>
    <s v="Ferias de empleo"/>
    <s v="Falta de experiencia"/>
    <s v="Sí"/>
    <s v=""/>
    <s v=""/>
    <s v=""/>
    <s v=""/>
    <s v=""/>
    <s v="Puedo hacerlo sin ayuda"/>
    <s v="Puedo hacerlo sin ayuda"/>
    <s v="No puedo hacerlo"/>
    <s v="Puedo hacerlo con ayuda"/>
    <s v="Puedo hacerlo sin ayuda"/>
    <s v="Herramientas digitales;Educación financiera"/>
    <s v="Horarios;Falta de información"/>
    <s v="Ferias de empleo"/>
    <s v="Presencial y virtual"/>
    <s v="Mañana entre semana"/>
    <s v="Celular"/>
  </r>
  <r>
    <x v="437"/>
    <x v="2"/>
    <s v="SI, ACEPTO PARTICIPAR"/>
    <s v="No quiero responder"/>
    <s v="De 22 a 24 años"/>
    <n v="23"/>
    <s v="Centro poblado"/>
    <s v="Tecnólogo"/>
    <s v="Estudio y quiero comenzar a trabajar"/>
    <s v=""/>
    <s v=""/>
    <s v=""/>
    <s v=""/>
    <s v=""/>
    <s v=""/>
    <s v="Todavía no he iniciado una búsqueda activa"/>
    <s v="No"/>
    <s v="No"/>
    <s v="No sé dónde buscar"/>
    <s v="Falta de formación"/>
    <s v="No"/>
    <s v=""/>
    <s v=""/>
    <s v=""/>
    <s v=""/>
    <s v=""/>
    <s v="Puedo hacerlo con ayuda"/>
    <s v="Puedo hacerlo con ayuda"/>
    <s v="Puedo hacerlo con ayuda"/>
    <s v="Puedo hacerlo con ayuda"/>
    <s v="Puedo hacerlo sin ayuda"/>
    <s v="Crear una hoja de vida"/>
    <s v="Horarios;Falta de información"/>
    <s v="Programas de emprendimiento"/>
    <s v="Presencial"/>
    <s v="Fines de semana"/>
    <s v="Correo electrónico"/>
  </r>
  <r>
    <x v="438"/>
    <x v="2"/>
    <s v="SI, ACEPTO PARTICIPAR"/>
    <s v="Masculino"/>
    <s v="De 24 a 26 años"/>
    <n v="25"/>
    <s v="Rural"/>
    <s v="Tecnólogo"/>
    <s v="Trabajo actualmente como empleado"/>
    <s v="Empleado sin contrato formal"/>
    <s v="De 3 a 6 meses"/>
    <s v="No"/>
    <s v="2- Satisfecho/a"/>
    <s v="Acceso a prestaciones"/>
    <s v="No"/>
    <s v="Todavía no he iniciado una búsqueda activa"/>
    <s v="No"/>
    <s v="No"/>
    <s v="Instituciones públicas"/>
    <s v="Transporte"/>
    <s v="No"/>
    <s v=""/>
    <s v=""/>
    <s v=""/>
    <s v=""/>
    <s v=""/>
    <s v="Puedo hacerlo con dificultad"/>
    <s v="Puedo hacerlo con dificultad"/>
    <s v="Puedo hacerlo con dificultad"/>
    <s v="Puedo hacerlo con dificultad"/>
    <s v="No puedo hacerlo"/>
    <s v="Preparación para entrevista"/>
    <s v="Ninguna"/>
    <s v="Oficina de orientación laboral"/>
    <s v="Virtual"/>
    <s v="Nocturno"/>
    <s v="Redes sociales"/>
  </r>
  <r>
    <x v="439"/>
    <x v="2"/>
    <s v="SI, ACEPTO PARTICIPAR"/>
    <s v="Femenino"/>
    <s v="De 26 a 28 años"/>
    <n v="26"/>
    <s v="Centro poblado"/>
    <s v="Profesional"/>
    <s v="Actualmente no trabajo y estoy buscando empleo"/>
    <s v=""/>
    <s v=""/>
    <s v=""/>
    <s v=""/>
    <s v=""/>
    <s v=""/>
    <s v="Más de 6 meses"/>
    <s v="Tengo una pero necesito actualizarla"/>
    <s v="No"/>
    <s v="No sé dónde buscar"/>
    <s v="Dificultades con la hoja de vida"/>
    <s v="No"/>
    <s v=""/>
    <s v=""/>
    <s v=""/>
    <s v=""/>
    <s v=""/>
    <s v="No puedo hacerlo"/>
    <s v="No puedo hacerlo"/>
    <s v="No puedo hacerlo"/>
    <s v="Puedo hacerlo sin ayuda"/>
    <s v="Puedo hacerlo con ayuda"/>
    <s v="Comunicación"/>
    <s v="Ninguna"/>
    <s v="Programas de emprendimiento"/>
    <s v="Presencial y virtual"/>
    <s v="Mañana entre semana"/>
    <s v="WhatsApp"/>
  </r>
  <r>
    <x v="440"/>
    <x v="2"/>
    <s v="SI, ACEPTO PARTICIPAR"/>
    <s v="Femenino"/>
    <s v="De 18 a 20 años"/>
    <n v="18"/>
    <s v="Rural"/>
    <s v="Tecnólogo"/>
    <s v="Estudio y quiero comenzar a trabajar"/>
    <s v=""/>
    <s v=""/>
    <s v=""/>
    <s v=""/>
    <s v=""/>
    <s v=""/>
    <s v="Entre 4 y 6 meses"/>
    <s v="No"/>
    <s v="Sí"/>
    <s v="Portales de empleo;Redes sociales"/>
    <s v="Falta de formación"/>
    <s v="Sí"/>
    <s v=""/>
    <s v=""/>
    <s v=""/>
    <s v=""/>
    <s v=""/>
    <s v="Puedo hacerlo con ayuda"/>
    <s v="Puedo hacerlo con ayuda"/>
    <s v="Puedo hacerlo con ayuda"/>
    <s v="No puedo hacerlo"/>
    <s v="Puedo hacerlo con ayuda"/>
    <s v="Liderazgo"/>
    <s v="Ninguna"/>
    <s v="No conozco ninguno"/>
    <s v="Me es indiferente"/>
    <s v="Fines de semana"/>
    <s v="Correo electrónico"/>
  </r>
  <r>
    <x v="441"/>
    <x v="2"/>
    <s v="SI, ACEPTO PARTICIPAR"/>
    <s v="Masculino"/>
    <s v="De 20 a 22 años"/>
    <n v="20"/>
    <s v="Centro poblado"/>
    <s v="Tecnólogo"/>
    <s v="Trabajo actualmente como empleado"/>
    <s v="Empleado con contrato"/>
    <s v="De 7 a 12 meses"/>
    <s v="Sí, completamente"/>
    <s v="3- Insatisfecho/a"/>
    <s v="Acceso a prestaciones"/>
    <s v="No"/>
    <s v="Todavía no he iniciado una búsqueda activa"/>
    <s v="No"/>
    <s v="Sí"/>
    <s v="Institución educativa"/>
    <s v="Transporte"/>
    <s v="Sí"/>
    <s v=""/>
    <s v=""/>
    <s v=""/>
    <s v=""/>
    <s v=""/>
    <s v="Puedo hacerlo sin ayuda"/>
    <s v="Puedo hacerlo sin ayuda"/>
    <s v="Puedo hacerlo con dificultad"/>
    <s v="No puedo hacerlo"/>
    <s v="Puedo hacerlo con dificultad"/>
    <s v="Emprendimiento"/>
    <s v="Falta de experiencia"/>
    <s v="Ferias de empleo"/>
    <s v="Presencial"/>
    <s v="Nocturno"/>
    <s v="Celular"/>
  </r>
  <r>
    <x v="442"/>
    <x v="2"/>
    <s v="SI, ACEPTO PARTICIPAR"/>
    <s v="Masculino"/>
    <s v="De 22 a 24 años"/>
    <n v="22"/>
    <s v="Rural"/>
    <s v="Profesional"/>
    <s v="Actualmente no trabajo y estoy buscando empleo"/>
    <s v=""/>
    <s v=""/>
    <s v=""/>
    <s v=""/>
    <s v=""/>
    <s v=""/>
    <s v="Entre 4 y 6 meses"/>
    <s v="Tengo una pero necesito actualizarla"/>
    <s v="Sí"/>
    <s v="No sé dónde buscar"/>
    <s v="Dificultades con la hoja de vida"/>
    <s v="No"/>
    <s v=""/>
    <s v=""/>
    <s v=""/>
    <s v=""/>
    <s v=""/>
    <s v="No puedo hacerlo"/>
    <s v="No puedo hacerlo"/>
    <s v="No puedo hacerlo"/>
    <s v="Puedo hacerlo con ayuda"/>
    <s v="Puedo hacerlo con dificultad"/>
    <s v="Herramientas digitales"/>
    <s v="Falta de experiencia"/>
    <s v="No conozco ninguno"/>
    <s v="Virtual"/>
    <s v="Mañana entre semana"/>
    <s v="WhatsApp"/>
  </r>
  <r>
    <x v="443"/>
    <x v="2"/>
    <s v="SI, ACEPTO PARTICIPAR"/>
    <s v="Femenino"/>
    <s v="De 24 a 26 años"/>
    <n v="24"/>
    <s v="Centro poblado"/>
    <s v="Profesional"/>
    <s v="Tengo un emprendimiento o quiero iniciar uno"/>
    <s v=""/>
    <s v=""/>
    <s v=""/>
    <s v=""/>
    <s v=""/>
    <s v=""/>
    <s v=""/>
    <s v=""/>
    <s v=""/>
    <s v=""/>
    <s v=""/>
    <s v=""/>
    <s v="Tengo un emprendimiento"/>
    <s v="Funcionamiento estable"/>
    <s v="Falta de conocimientos administrativos"/>
    <s v="Falta de conocimientos administrativos"/>
    <s v="No"/>
    <s v="Puedo hacerlo con dificultad"/>
    <s v="Puedo hacerlo con dificultad"/>
    <s v="Puedo hacerlo con ayuda"/>
    <s v="Puedo hacerlo con dificultad"/>
    <s v="Puedo hacerlo sin ayuda"/>
    <s v="Educación financiera"/>
    <s v="Falta de experiencia"/>
    <s v="Oficina de orientación laboral"/>
    <s v="Presencial y virtual"/>
    <s v="Fines de semana"/>
    <s v="Redes sociales"/>
  </r>
  <r>
    <x v="444"/>
    <x v="2"/>
    <s v="SI, ACEPTO PARTICIPAR"/>
    <s v="No quiero responder"/>
    <s v="De 26 a 28 años"/>
    <n v="27"/>
    <s v="Rural"/>
    <s v="Tecnólogo"/>
    <s v="Trabajo de manera independiente"/>
    <s v="Trabajo independiente"/>
    <s v="De 7 a 12 meses"/>
    <s v="No"/>
    <s v="1- Muy satisfecho/a"/>
    <s v="Horario"/>
    <s v="No estoy seguro/a"/>
    <s v="Entre 4 y 6 meses"/>
    <s v="No"/>
    <s v="Sí"/>
    <s v="Ferias de empleo"/>
    <s v="Falta de experiencia"/>
    <s v="Sí"/>
    <s v=""/>
    <s v=""/>
    <s v=""/>
    <s v=""/>
    <s v=""/>
    <s v="No puedo hacerlo"/>
    <s v="No puedo hacerlo"/>
    <s v="Puedo hacerlo con dificultad"/>
    <s v="Puedo hacerlo sin ayuda"/>
    <s v="No puedo hacerlo"/>
    <s v="Crear una hoja de vida;Preparación para entrevista"/>
    <s v="Distancia"/>
    <s v="Programas de emprendimiento"/>
    <s v="Me es indiferente"/>
    <s v="Nocturno"/>
    <s v="WhatsApp"/>
  </r>
  <r>
    <x v="445"/>
    <x v="2"/>
    <s v="SI, ACEPTO PARTICIPAR"/>
    <s v="Masculino"/>
    <s v="De 18 a 20 años"/>
    <n v="19"/>
    <s v="Centro poblado"/>
    <s v="Bachiller"/>
    <s v="Busco mi primer empleo"/>
    <s v=""/>
    <s v=""/>
    <s v=""/>
    <s v=""/>
    <s v=""/>
    <s v=""/>
    <s v="Menos de 1 mes"/>
    <s v="Tengo una pero necesito actualizarla"/>
    <s v="No"/>
    <s v="Portales de empleo;Redes sociales"/>
    <s v="Dificultades con la hoja de vida"/>
    <s v="Sí"/>
    <s v=""/>
    <s v=""/>
    <s v=""/>
    <s v=""/>
    <s v=""/>
    <s v="Puedo hacerlo con ayuda"/>
    <s v="Puedo hacerlo con ayuda"/>
    <s v="No puedo hacerlo"/>
    <s v="Puedo hacerlo sin ayuda"/>
    <s v="No puedo hacerlo"/>
    <s v="Comunicación;Liderazgo"/>
    <s v="Distancia"/>
    <s v="No conozco ninguno"/>
    <s v="Presencial"/>
    <s v="Mañana entre semana"/>
    <s v="Correo electrónico"/>
  </r>
  <r>
    <x v="446"/>
    <x v="2"/>
    <s v="SI, ACEPTO PARTICIPAR"/>
    <s v="Femenino"/>
    <s v="De 20 a 22 años"/>
    <n v="21"/>
    <s v="Rural"/>
    <s v="Bachiller"/>
    <s v="Trabajo actualmente como empleado"/>
    <s v="Empleado con contrato"/>
    <s v="Más de un año"/>
    <s v="Parcialmente"/>
    <s v="3- Insatisfecho/a"/>
    <s v="Acceso a prestaciones"/>
    <s v="No estoy seguro/a"/>
    <s v="Entre 4 y 6 meses"/>
    <s v="No"/>
    <s v="No"/>
    <s v="Institución educativa"/>
    <s v="Transporte"/>
    <s v="Sí"/>
    <s v=""/>
    <s v=""/>
    <s v=""/>
    <s v=""/>
    <s v=""/>
    <s v="Puedo hacerlo sin ayuda"/>
    <s v="Puedo hacerlo sin ayuda"/>
    <s v="Puedo hacerlo con ayuda"/>
    <s v="No puedo hacerlo"/>
    <s v="Puedo hacerlo con ayuda"/>
    <s v="Herramientas digitales;Educación financiera"/>
    <s v="Distancia"/>
    <s v="Ferias de empleo"/>
    <s v="Virtual"/>
    <s v="Fines de semana"/>
    <s v="Celular"/>
  </r>
  <r>
    <x v="447"/>
    <x v="2"/>
    <s v="SI, ACEPTO PARTICIPAR"/>
    <s v="Femenino"/>
    <s v="De 22 a 24 años"/>
    <n v="23"/>
    <s v="Centro poblado"/>
    <s v="Técnico"/>
    <s v="Trabajo de manera independiente"/>
    <s v="Trabajo independiente"/>
    <s v="Más de un año"/>
    <s v="Sí, completamente"/>
    <s v="2- Satisfecho/a"/>
    <s v="Acceso a prestaciones"/>
    <s v="Sí"/>
    <s v="Menos de 1 mes"/>
    <s v="No"/>
    <s v="No"/>
    <s v="Instituciones públicas"/>
    <s v="Falta de experiencia"/>
    <s v="No"/>
    <s v=""/>
    <s v=""/>
    <s v=""/>
    <s v=""/>
    <s v=""/>
    <s v="No puedo hacerlo"/>
    <s v="No puedo hacerlo"/>
    <s v="Puedo hacerlo con dificultad"/>
    <s v="Puedo hacerlo con ayuda"/>
    <s v="Puedo hacerlo con ayuda"/>
    <s v="Crear una hoja de vida"/>
    <s v="Falta de experiencia;Falta de información"/>
    <s v="No conozco ninguno"/>
    <s v="Presencial y virtual"/>
    <s v="Nocturno"/>
    <s v="WhatsApp"/>
  </r>
  <r>
    <x v="448"/>
    <x v="2"/>
    <s v="SI, ACEPTO PARTICIPAR"/>
    <s v="Masculino"/>
    <s v="De 24 a 26 años"/>
    <n v="25"/>
    <s v="Rural"/>
    <s v="Técnico"/>
    <s v="Estudio y quiero comenzar a trabajar"/>
    <s v=""/>
    <s v=""/>
    <s v=""/>
    <s v=""/>
    <s v=""/>
    <s v=""/>
    <s v="Menos de 1 mes"/>
    <s v="No"/>
    <s v="No"/>
    <s v="Portales de empleo;Redes sociales"/>
    <s v="Falta de formación"/>
    <s v="Sí"/>
    <s v=""/>
    <s v=""/>
    <s v=""/>
    <s v=""/>
    <s v=""/>
    <s v="Puedo hacerlo con dificultad"/>
    <s v="Puedo hacerlo con dificultad"/>
    <s v="No puedo hacerlo"/>
    <s v="Puedo hacerlo con dificultad"/>
    <s v="Puedo hacerlo con dificultad"/>
    <s v="Preparación para entrevista"/>
    <s v="Falta de experiencia;Falta de información"/>
    <s v="Oficina de orientación laboral"/>
    <s v="Me es indiferente"/>
    <s v="Mañana entre semana"/>
    <s v="Redes sociales"/>
  </r>
  <r>
    <x v="449"/>
    <x v="2"/>
    <s v="SI, ACEPTO PARTICIPAR"/>
    <s v="Masculino"/>
    <s v="De 26 a 28 años"/>
    <n v="28"/>
    <s v="Centro poblado"/>
    <s v="Profesional"/>
    <s v="Trabajo actualmente como empleado"/>
    <s v="Empleado con contrato"/>
    <s v="Menos de 3 meses"/>
    <s v="No"/>
    <s v="3- Insatisfecho/a"/>
    <s v="Oportunidades de crecimiento"/>
    <s v="Sí"/>
    <s v="Menos de 1 mes"/>
    <s v="Tengo una pero necesito actualizarla"/>
    <s v="Sí"/>
    <s v="Institución educativa"/>
    <s v="Internet"/>
    <s v="Sí"/>
    <s v=""/>
    <s v=""/>
    <s v=""/>
    <s v=""/>
    <s v=""/>
    <s v="No puedo hacerlo"/>
    <s v="No puedo hacerlo"/>
    <s v="Puedo hacerlo con ayuda"/>
    <s v="Puedo hacerlo con dificultad"/>
    <s v="Puedo hacerlo sin ayuda"/>
    <s v="Comunicación"/>
    <s v="Falta de experiencia;Falta de información"/>
    <s v="Programas de emprendimiento"/>
    <s v="Presencial"/>
    <s v="Fines de semana"/>
    <s v="Celular"/>
  </r>
  <r>
    <x v="450"/>
    <x v="2"/>
    <s v="SI, ACEPTO PARTICIPAR"/>
    <s v="Femenino"/>
    <s v="De 18 a 20 años"/>
    <n v="18"/>
    <s v="Rural"/>
    <s v="Técnico"/>
    <s v="Actualmente no trabajo y estoy buscando empleo"/>
    <s v=""/>
    <s v=""/>
    <s v=""/>
    <s v=""/>
    <s v=""/>
    <s v=""/>
    <s v="Entre 1 y 3 meses"/>
    <s v="Tengo una pero necesito actualizarla"/>
    <s v="No"/>
    <s v="No sé dónde buscar"/>
    <s v="Dificultades con la hoja de vida"/>
    <s v="No"/>
    <s v=""/>
    <s v=""/>
    <s v=""/>
    <s v=""/>
    <s v=""/>
    <s v="Puedo hacerlo con ayuda"/>
    <s v="Puedo hacerlo con ayuda"/>
    <s v="Puedo hacerlo con dificultad"/>
    <s v="Puedo hacerlo sin ayuda"/>
    <s v="Puedo hacerlo sin ayuda"/>
    <s v="Liderazgo"/>
    <s v="Costos de transporte;Distancia"/>
    <s v="Oficina de orientación laboral"/>
    <s v="Virtual"/>
    <s v="Nocturno"/>
    <s v="Correo electrónico"/>
  </r>
  <r>
    <x v="451"/>
    <x v="2"/>
    <s v="SI, ACEPTO PARTICIPAR"/>
    <s v="No quiero responder"/>
    <s v="De 20 a 22 años"/>
    <n v="20"/>
    <s v="Centro poblado"/>
    <s v="Tecnólogo"/>
    <s v="Estudio y quiero comenzar a trabajar"/>
    <s v=""/>
    <s v=""/>
    <s v=""/>
    <s v=""/>
    <s v=""/>
    <s v=""/>
    <s v="Más de 6 meses"/>
    <s v="Tengo una pero necesito actualizarla"/>
    <s v="Sí"/>
    <s v="Portales de empleo;Redes sociales"/>
    <s v="Dificultades con la hoja de vida"/>
    <s v="Sí"/>
    <s v=""/>
    <s v=""/>
    <s v=""/>
    <s v=""/>
    <s v=""/>
    <s v="Puedo hacerlo sin ayuda"/>
    <s v="Puedo hacerlo sin ayuda"/>
    <s v="Puedo hacerlo sin ayuda"/>
    <s v="No puedo hacerlo"/>
    <s v="No puedo hacerlo"/>
    <s v="Emprendimiento"/>
    <s v="Costos de transporte;Distancia"/>
    <s v="Ferias de empleo"/>
    <s v="Presencial y virtual"/>
    <s v="Mañana entre semana"/>
    <s v="Redes sociales"/>
  </r>
  <r>
    <x v="452"/>
    <x v="2"/>
    <s v="SI, ACEPTO PARTICIPAR"/>
    <s v="Masculino"/>
    <s v="De 22 a 24 años"/>
    <n v="22"/>
    <s v="Rural"/>
    <s v="Tecnólogo"/>
    <s v="Trabajo actualmente como empleado"/>
    <s v="Empleado sin contrato formal"/>
    <s v="De 3 a 6 meses"/>
    <s v="Sí, completamente"/>
    <s v="4- Muy insatisfecho/a"/>
    <s v="Oportunidades de crecimiento"/>
    <s v="Sí"/>
    <s v="Más de 6 meses"/>
    <s v="Tengo una pero necesito actualizarla"/>
    <s v="No"/>
    <s v="No sé dónde buscar"/>
    <s v="Internet"/>
    <s v="No"/>
    <s v=""/>
    <s v=""/>
    <s v=""/>
    <s v=""/>
    <s v=""/>
    <s v="No puedo hacerlo"/>
    <s v="No puedo hacerlo"/>
    <s v="Puedo hacerlo con ayuda"/>
    <s v="Puedo hacerlo con ayuda"/>
    <s v="Puedo hacerlo con ayuda"/>
    <s v="Herramientas digitales"/>
    <s v="Costos de transporte;Distancia"/>
    <s v="No conozco ninguno"/>
    <s v="Me es indiferente"/>
    <s v="Diurno"/>
    <s v="WhatsApp"/>
  </r>
  <r>
    <x v="453"/>
    <x v="2"/>
    <s v="SI, ACEPTO PARTICIPAR"/>
    <s v="Femenino"/>
    <s v="De 24 a 26 años"/>
    <n v="24"/>
    <s v="Centro poblado"/>
    <s v="Profesional"/>
    <s v="Actualmente no trabajo y estoy buscando empleo"/>
    <s v=""/>
    <s v=""/>
    <s v=""/>
    <s v=""/>
    <s v=""/>
    <s v=""/>
    <s v="Menos de 1 mes"/>
    <s v="Sí"/>
    <s v="Sí"/>
    <s v="Portales de empleo;Redes sociales"/>
    <s v="Horarios disponibles"/>
    <s v="Sí"/>
    <s v=""/>
    <s v=""/>
    <s v=""/>
    <s v=""/>
    <s v=""/>
    <s v="Puedo hacerlo con dificultad"/>
    <s v="Puedo hacerlo con dificultad"/>
    <s v="Puedo hacerlo con dificultad"/>
    <s v="Puedo hacerlo con ayuda"/>
    <s v="Puedo hacerlo con ayuda"/>
    <s v="Educación financiera"/>
    <s v="Falta de información"/>
    <s v="Ferias de empleo"/>
    <s v="Virtual"/>
    <s v="Nocturno"/>
    <s v="Correo electrónico"/>
  </r>
  <r>
    <x v="454"/>
    <x v="2"/>
    <s v="SI, ACEPTO PARTICIPAR"/>
    <s v="Femenino"/>
    <s v="De 26 a 28 años"/>
    <n v="26"/>
    <s v="Rural"/>
    <s v="Bachiller"/>
    <s v="Tengo un emprendimiento o quiero iniciar uno"/>
    <s v=""/>
    <s v=""/>
    <s v=""/>
    <s v=""/>
    <s v=""/>
    <s v=""/>
    <s v=""/>
    <s v=""/>
    <s v=""/>
    <s v=""/>
    <s v=""/>
    <s v=""/>
    <s v="Estoy iniciando un emprendimiento"/>
    <s v="Inicio"/>
    <s v="Falta de conocimientos financieros"/>
    <s v="Falta de conocimientos financieros"/>
    <s v="No"/>
    <s v="No puedo hacerlo"/>
    <s v="No puedo hacerlo"/>
    <s v="Puedo hacerlo sin ayuda"/>
    <s v="Puedo hacerlo con dificultad"/>
    <s v="Puedo hacerlo con dificultad"/>
    <s v="Crear una hoja de vida;Preparación para entrevista"/>
    <s v="Falta de información"/>
    <s v="Programas de emprendimiento"/>
    <s v="Presencial y virtual"/>
    <s v="Mañana entre semana"/>
    <s v="Celular"/>
  </r>
  <r>
    <x v="455"/>
    <x v="2"/>
    <s v="SI, ACEPTO PARTICIPAR"/>
    <s v="Masculino"/>
    <s v="De 18 a 20 años"/>
    <n v="19"/>
    <s v="Centro poblado"/>
    <s v="Bachiller"/>
    <s v="Trabajo de manera independiente"/>
    <s v="Trabajo independiente"/>
    <s v="Menos de 3 meses"/>
    <s v="Parcialmente"/>
    <s v="2- Satisfecho/a"/>
    <s v="Acceso a prestaciones"/>
    <s v="No"/>
    <s v="Todavía no he iniciado una búsqueda activa"/>
    <s v="No"/>
    <s v="Sí"/>
    <s v="Instituciones públicas"/>
    <s v="Falta de formación"/>
    <s v="No"/>
    <s v=""/>
    <s v=""/>
    <s v=""/>
    <s v=""/>
    <s v=""/>
    <s v="Puedo hacerlo con ayuda"/>
    <s v="Puedo hacerlo con ayuda"/>
    <s v="Puedo hacerlo con ayuda"/>
    <s v="Puedo hacerlo sin ayuda"/>
    <s v="Puedo hacerlo con dificultad"/>
    <s v="Comunicación;Liderazgo"/>
    <s v="Falta de información"/>
    <s v="Oficina de orientación laboral"/>
    <s v="Me es indiferente"/>
    <s v="Diurno"/>
    <s v="WhatsApp"/>
  </r>
  <r>
    <x v="456"/>
    <x v="2"/>
    <s v="SI, ACEPTO PARTICIPAR"/>
    <s v="Masculino"/>
    <s v="De 20 a 22 años"/>
    <n v="21"/>
    <s v="Rural"/>
    <s v="Bachiller"/>
    <s v="Busco mi primer empleo"/>
    <s v=""/>
    <s v=""/>
    <s v=""/>
    <s v=""/>
    <s v=""/>
    <s v=""/>
    <s v="Más de 6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sin ayuda"/>
    <s v="Puedo hacerlo sin ayuda"/>
    <s v="Puedo hacerlo con dificultad"/>
    <s v="No puedo hacerlo"/>
    <s v="Puedo hacerlo sin ayuda"/>
    <s v="Herramientas digitales;Educación financiera"/>
    <s v="Horarios"/>
    <s v="Programas de emprendimiento"/>
    <s v="Presencial"/>
    <s v="Nocturno"/>
    <s v="Redes sociales"/>
  </r>
  <r>
    <x v="457"/>
    <x v="2"/>
    <s v="SI, ACEPTO PARTICIPAR"/>
    <s v="Femenino"/>
    <s v="De 22 a 24 años"/>
    <n v="23"/>
    <s v="Centro poblado"/>
    <s v="Bachiller"/>
    <s v="Trabajo actualmente como empleado"/>
    <s v="Empleado con contrato"/>
    <s v="De 7 a 12 meses"/>
    <s v="Parcialmente"/>
    <s v="4- Muy insatisfecho/a"/>
    <s v="Oportunidades de crecimiento"/>
    <s v="Sí"/>
    <s v="Entre 1 y 3 meses"/>
    <s v="Tengo una pero necesito actualizarla"/>
    <s v="Sí"/>
    <s v="No sé dónde buscar"/>
    <s v="Internet"/>
    <s v="No"/>
    <s v=""/>
    <s v=""/>
    <s v=""/>
    <s v=""/>
    <s v=""/>
    <s v="No puedo hacerlo"/>
    <s v="No puedo hacerlo"/>
    <s v="Puedo hacerlo sin ayuda"/>
    <s v="No puedo hacerlo"/>
    <s v="No puedo hacerlo"/>
    <s v="Crear una hoja de vida"/>
    <s v="Horarios"/>
    <s v="No conozco ninguno"/>
    <s v="Virtual"/>
    <s v="Mañana entre semana"/>
    <s v="Celular"/>
  </r>
  <r>
    <x v="458"/>
    <x v="2"/>
    <s v="SI, ACEPTO PARTICIPAR"/>
    <s v="No quiero responder"/>
    <s v="De 24 a 26 años"/>
    <n v="25"/>
    <s v="Rural"/>
    <s v="Bachiller"/>
    <s v="Trabajo de manera independiente"/>
    <s v="Trabajo independiente"/>
    <s v="De 3 a 6 meses"/>
    <s v="No"/>
    <s v="2- Satisfecho/a"/>
    <s v="Acceso a prestaciones"/>
    <s v="No"/>
    <s v="Todavía no he iniciado una búsqueda activa"/>
    <s v="Tengo una pero necesito actualizarla"/>
    <s v="No"/>
    <s v="Instituciones públicas"/>
    <s v="Falta de formación"/>
    <s v="No"/>
    <s v=""/>
    <s v=""/>
    <s v=""/>
    <s v=""/>
    <s v=""/>
    <s v="Puedo hacerlo con dificultad"/>
    <s v="Puedo hacerlo con dificultad"/>
    <s v="Puedo hacerlo con ayuda"/>
    <s v="Puedo hacerlo con ayuda"/>
    <s v="No puedo hacerlo"/>
    <s v="Preparación para entrevista"/>
    <s v="Horarios"/>
    <s v="Ferias de empleo"/>
    <s v="Presencial y virtual"/>
    <s v="Diurno"/>
    <s v="Correo electrónico"/>
  </r>
  <r>
    <x v="459"/>
    <x v="2"/>
    <s v="SI, ACEPTO PARTICIPAR"/>
    <s v="Masculino"/>
    <s v="De 26 a 28 años"/>
    <n v="27"/>
    <s v="Centro poblado"/>
    <s v="Tecnólogo"/>
    <s v="Busco mi primer empleo"/>
    <s v=""/>
    <s v=""/>
    <s v=""/>
    <s v=""/>
    <s v=""/>
    <s v=""/>
    <s v="Entre 4 y 6 meses"/>
    <s v="Tengo una pero necesito actualizarla"/>
    <s v="No"/>
    <s v="Familiares o conocidos;Empresas directamente"/>
    <s v="Dificultades con la hoja de vida"/>
    <s v="No"/>
    <s v=""/>
    <s v=""/>
    <s v=""/>
    <s v=""/>
    <s v=""/>
    <s v="No puedo hacerlo"/>
    <s v="No puedo hacerlo"/>
    <s v="Puedo hacerlo con dificultad"/>
    <s v="Puedo hacerlo con dificultad"/>
    <s v="Puedo hacerlo con ayuda"/>
    <s v="Comunicación"/>
    <s v="Costos de transporte"/>
    <s v="No conozco ninguno"/>
    <s v="Me es indiferente"/>
    <s v="Nocturno"/>
    <s v="Redes sociales"/>
  </r>
  <r>
    <x v="460"/>
    <x v="2"/>
    <s v="SI, ACEPTO PARTICIPAR"/>
    <s v="Femenino"/>
    <s v="De 18 a 20 años"/>
    <n v="18"/>
    <s v="Rural"/>
    <s v="Bachiller"/>
    <s v="Trabajo actualmente como empleado"/>
    <s v="Empleado con contrato"/>
    <s v="Más de un año"/>
    <s v="No"/>
    <s v="4- Muy insatisfecho/a"/>
    <s v="Oportunidades de crecimiento"/>
    <s v="No"/>
    <s v="Todavía no he iniciado una búsqueda activa"/>
    <s v="Tengo una pero necesito actualizarla"/>
    <s v="No"/>
    <s v="No sé dónde buscar"/>
    <s v="Internet"/>
    <s v="No"/>
    <s v=""/>
    <s v=""/>
    <s v=""/>
    <s v=""/>
    <s v=""/>
    <s v="Puedo hacerlo con ayuda"/>
    <s v="Puedo hacerlo con ayuda"/>
    <s v="Puedo hacerlo sin ayuda"/>
    <s v="Puedo hacerlo con dificultad"/>
    <s v="Puedo hacerlo con ayuda"/>
    <s v="Liderazgo"/>
    <s v="Costos de transporte"/>
    <s v="Oficina de orientación laboral"/>
    <s v="Presencial"/>
    <s v="Mañana entre semana"/>
    <s v="WhatsApp"/>
  </r>
  <r>
    <x v="461"/>
    <x v="2"/>
    <s v="SI, ACEPTO PARTICIPAR"/>
    <s v="Femenino"/>
    <s v="De 20 a 22 años"/>
    <n v="20"/>
    <s v="Centro poblado"/>
    <s v="Técnico"/>
    <s v="Actualmente no trabajo y estoy buscando empleo"/>
    <s v=""/>
    <s v=""/>
    <s v=""/>
    <s v=""/>
    <s v=""/>
    <s v=""/>
    <s v="Más de 6 meses"/>
    <s v="Sí"/>
    <s v="No"/>
    <s v="Portales de empleo;Redes sociales"/>
    <s v="Horarios disponibles"/>
    <s v="Sí"/>
    <s v=""/>
    <s v=""/>
    <s v=""/>
    <s v=""/>
    <s v=""/>
    <s v="Puedo hacerlo sin ayuda"/>
    <s v="Puedo hacerlo sin ayuda"/>
    <s v="Puedo hacerlo con ayuda"/>
    <s v="Puedo hacerlo sin ayuda"/>
    <s v="Puedo hacerlo con dificultad"/>
    <s v="Emprendimiento"/>
    <s v="Costos de transporte"/>
    <s v="Programas de emprendimiento"/>
    <s v="Virtual"/>
    <s v="Diurno"/>
    <s v="Correo electrónico"/>
  </r>
  <r>
    <x v="462"/>
    <x v="2"/>
    <s v="SI, ACEPTO PARTICIPAR"/>
    <s v="Masculino"/>
    <s v="De 22 a 24 años"/>
    <n v="22"/>
    <s v="Rural"/>
    <s v="Técnico"/>
    <s v="Estudio y quiero comenzar a trabajar"/>
    <s v=""/>
    <s v=""/>
    <s v=""/>
    <s v=""/>
    <s v=""/>
    <s v=""/>
    <s v="Entre 1 y 3 meses"/>
    <s v="Tengo una pero necesito actualizarla"/>
    <s v="No"/>
    <s v="Familiares o conocidos;Empresas directamente"/>
    <s v="Dificultades con la hoja de vida"/>
    <s v="No"/>
    <s v=""/>
    <s v=""/>
    <s v=""/>
    <s v=""/>
    <s v=""/>
    <s v="No puedo hacerlo"/>
    <s v="No puedo hacerlo"/>
    <s v="Puedo hacerlo con dificultad"/>
    <s v="No puedo hacerlo"/>
    <s v="Puedo hacerlo sin ayuda"/>
    <s v="Herramientas digitales"/>
    <s v="Horarios;Falta de información"/>
    <s v="Oficina de orientación laboral"/>
    <s v="Presencial y virtual"/>
    <s v="Nocturno"/>
    <s v="Celular"/>
  </r>
  <r>
    <x v="463"/>
    <x v="2"/>
    <s v="SI, ACEPTO PARTICIPAR"/>
    <s v="Masculino"/>
    <s v="De 24 a 26 años"/>
    <n v="24"/>
    <s v="Centro poblado"/>
    <s v="Tecnólogo"/>
    <s v="Trabajo actualmente como empleado"/>
    <s v="Empleado con contrato"/>
    <s v="Menos de 3 meses"/>
    <s v="Sí, completamente"/>
    <s v="1- Muy satisfecho/a"/>
    <s v="Oportunidades de crecimiento"/>
    <s v="No estoy seguro/a"/>
    <s v="Entre 4 y 6 meses"/>
    <s v="Tengo una pero necesito actualizarla"/>
    <s v="Sí"/>
    <s v="Portales de empleo;Redes sociales"/>
    <s v="Falta de experiencia"/>
    <s v="Sí"/>
    <s v=""/>
    <s v=""/>
    <s v=""/>
    <s v=""/>
    <s v=""/>
    <s v="Puedo hacerlo con dificultad"/>
    <s v="Puedo hacerlo con dificultad"/>
    <s v="Puedo hacerlo sin ayuda"/>
    <s v="Puedo hacerlo con ayuda"/>
    <s v="Puedo hacerlo sin ayuda"/>
    <s v="Educación financiera"/>
    <s v="Horarios;Falta de información"/>
    <s v="Ferias de empleo"/>
    <s v="Me es indiferente"/>
    <s v="Fines de semana"/>
    <s v="WhatsApp"/>
  </r>
  <r>
    <x v="464"/>
    <x v="2"/>
    <s v="SI, ACEPTO PARTICIPAR"/>
    <s v="Femenino"/>
    <s v="De 26 a 28 años"/>
    <n v="28"/>
    <s v="Rural"/>
    <s v="Profesional"/>
    <s v="Actualmente no trabajo y estoy buscando empleo"/>
    <s v=""/>
    <s v=""/>
    <s v=""/>
    <s v=""/>
    <s v=""/>
    <s v=""/>
    <s v="Entre 4 y 6 meses"/>
    <s v="Sí"/>
    <s v="Sí"/>
    <s v="Portales de empleo;Redes sociales"/>
    <s v="Horarios disponibles"/>
    <s v="Sí"/>
    <s v=""/>
    <s v=""/>
    <s v=""/>
    <s v=""/>
    <s v=""/>
    <s v="No puedo hacerlo"/>
    <s v="No puedo hacerlo"/>
    <s v="Puedo hacerlo con ayuda"/>
    <s v="Puedo hacerlo con ayuda"/>
    <s v="No puedo hacerlo"/>
    <s v="Crear una hoja de vida;Preparación para entrevista"/>
    <s v="Horarios;Falta de información"/>
    <s v="No conozco ninguno"/>
    <s v="Presencial"/>
    <s v="Diurno"/>
    <s v="Redes sociales"/>
  </r>
  <r>
    <x v="465"/>
    <x v="2"/>
    <s v="SI, ACEPTO PARTICIPAR"/>
    <s v="No quiero responder"/>
    <s v="De 18 a 20 años"/>
    <n v="19"/>
    <s v="Centro poblado"/>
    <s v="Técnico"/>
    <s v="Tengo un emprendimiento o quiero iniciar uno"/>
    <s v=""/>
    <s v=""/>
    <s v=""/>
    <s v=""/>
    <s v=""/>
    <s v=""/>
    <s v=""/>
    <s v=""/>
    <s v=""/>
    <s v=""/>
    <s v=""/>
    <s v=""/>
    <s v="Me interesa emprender"/>
    <s v=""/>
    <s v="Falta de tiempo"/>
    <s v="Falta de tiempo"/>
    <s v="No conozco programas de ese tipo"/>
    <s v="Puedo hacerlo con ayuda"/>
    <s v="Puedo hacerlo con ayuda"/>
    <s v="Puedo hacerlo con dificultad"/>
    <s v="Puedo hacerlo con dificultad"/>
    <s v="No puedo hacerlo"/>
    <s v="Comunicación;Liderazgo"/>
    <s v="Ninguna"/>
    <s v="Ferias de empleo"/>
    <s v="Virtual"/>
    <s v="Nocturno"/>
    <s v="Celular"/>
  </r>
  <r>
    <x v="466"/>
    <x v="2"/>
    <s v="SI, ACEPTO PARTICIPAR"/>
    <s v="Masculino"/>
    <s v="De 20 a 22 años"/>
    <n v="21"/>
    <s v="Rural"/>
    <s v="Tecnólogo"/>
    <s v="Trabajo actualmente como empleado"/>
    <s v="Empleado sin contrato formal"/>
    <s v="De 3 a 6 meses"/>
    <s v="Parcialmente"/>
    <s v="1- Muy satisfecho/a"/>
    <s v="Trabajar en un área relacionada con mi formación"/>
    <s v="Sí"/>
    <s v="Menos de 1 mes"/>
    <s v="Tengo una pero necesito actualizarla"/>
    <s v="No"/>
    <s v="Portales de empleo;Redes sociales"/>
    <s v="Falta de experiencia"/>
    <s v="Sí"/>
    <s v=""/>
    <s v=""/>
    <s v=""/>
    <s v=""/>
    <s v=""/>
    <s v="Puedo hacerlo sin ayuda"/>
    <s v="Puedo hacerlo sin ayuda"/>
    <s v="Puedo hacerlo sin ayuda"/>
    <s v="Puedo hacerlo sin ayuda"/>
    <s v="Puedo hacerlo con ayuda"/>
    <s v="Herramientas digitales;Educación financiera"/>
    <s v="Ninguna"/>
    <s v="Programas de emprendimiento"/>
    <s v="Presencial y virtual"/>
    <s v="Fines de semana"/>
    <s v="Correo electrónico"/>
  </r>
  <r>
    <x v="467"/>
    <x v="2"/>
    <s v="SI, ACEPTO PARTICIPAR"/>
    <s v="Femenino"/>
    <s v="De 22 a 24 años"/>
    <n v="23"/>
    <s v="Centro poblado"/>
    <s v="Profesional"/>
    <s v="Actualmente no trabajo y estoy buscando empleo"/>
    <s v=""/>
    <s v=""/>
    <s v=""/>
    <s v=""/>
    <s v=""/>
    <s v=""/>
    <s v="Entre 1 y 3 meses"/>
    <s v="Sí"/>
    <s v="No"/>
    <s v="Familiares o conocidos;Empresas directamente"/>
    <s v="Horarios disponibles"/>
    <s v="No"/>
    <s v=""/>
    <s v=""/>
    <s v=""/>
    <s v=""/>
    <s v=""/>
    <s v="No puedo hacerlo"/>
    <s v="No puedo hacerlo"/>
    <s v="No puedo hacerlo"/>
    <s v="No puedo hacerlo"/>
    <s v="Puedo hacerlo con dificultad"/>
    <s v="Crear una hoja de vida"/>
    <s v="Ninguna"/>
    <s v="Oficina de orientación laboral"/>
    <s v="Me es indiferente"/>
    <s v="Diurno"/>
    <s v="Redes sociales"/>
  </r>
  <r>
    <x v="468"/>
    <x v="2"/>
    <s v="SI, ACEPTO PARTICIPAR"/>
    <s v="Femenino"/>
    <s v="De 24 a 26 años"/>
    <n v="25"/>
    <s v="Rural"/>
    <s v="Profesional"/>
    <s v="Trabajo actualmente como empleado"/>
    <s v="Empleado con contrato"/>
    <s v="De 7 a 12 meses"/>
    <s v="No"/>
    <s v="1- Muy satisfecho/a"/>
    <s v="Trabajar en un área relacionada con mi formación"/>
    <s v="No"/>
    <s v="Todavía no he iniciado una búsqueda activa"/>
    <s v="Tengo una pero necesito actualizarla"/>
    <s v="Sí"/>
    <s v="Portales de empleo;Redes sociales"/>
    <s v="Falta de experiencia"/>
    <s v="Sí"/>
    <s v=""/>
    <s v=""/>
    <s v=""/>
    <s v=""/>
    <s v=""/>
    <s v="Puedo hacerlo con dificultad"/>
    <s v="Puedo hacerlo con dificultad"/>
    <s v="Puedo hacerlo con dificultad"/>
    <s v="No puedo hacerlo"/>
    <s v="Puedo hacerlo con dificultad"/>
    <s v="Preparación para entrevista"/>
    <s v="Falta de experiencia"/>
    <s v="Programas de emprendimiento"/>
    <s v="Presencial"/>
    <s v="Nocturno"/>
    <s v="WhatsApp"/>
  </r>
  <r>
    <x v="469"/>
    <x v="2"/>
    <s v="SI, ACEPTO PARTICIPAR"/>
    <s v="Masculino"/>
    <s v="De 26 a 28 años"/>
    <n v="26"/>
    <s v="Centro poblado"/>
    <s v="Técnico"/>
    <s v="Trabajo de manera independiente"/>
    <s v="Trabajo independiente"/>
    <s v="De 7 a 12 meses"/>
    <s v="Sí, completamente"/>
    <s v="3- Insatisfecho/a"/>
    <s v="Acceso a prestaciones"/>
    <s v="No"/>
    <s v="Todavía no he iniciado una búsqueda activa"/>
    <s v="Tengo una pero necesito actualizarla"/>
    <s v="Sí"/>
    <s v="Institución educativa"/>
    <s v="Falta de formación"/>
    <s v="Sí"/>
    <s v=""/>
    <s v=""/>
    <s v=""/>
    <s v=""/>
    <s v=""/>
    <s v="No puedo hacerlo"/>
    <s v="No puedo hacerlo"/>
    <s v="Puedo hacerlo sin ayuda"/>
    <s v="Puedo hacerlo con ayuda"/>
    <s v="Puedo hacerlo sin ayuda"/>
    <s v="Comunicación"/>
    <s v="Falta de experiencia"/>
    <s v="No conozco ninguno"/>
    <s v="Virtual"/>
    <s v="Fines de semana"/>
    <s v="Correo electrónico"/>
  </r>
  <r>
    <x v="470"/>
    <x v="2"/>
    <s v="SI, ACEPTO PARTICIPAR"/>
    <s v="Masculino"/>
    <s v="De 18 a 20 años"/>
    <n v="18"/>
    <s v="Rural"/>
    <s v="Bachiller"/>
    <s v="Busco mi primer empleo"/>
    <s v=""/>
    <s v=""/>
    <s v=""/>
    <s v=""/>
    <s v=""/>
    <s v=""/>
    <s v="Entre 1 y 3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con ayuda"/>
    <s v="Puedo hacerlo con ayuda"/>
    <s v="No puedo hacerlo"/>
    <s v="Puedo hacerlo con dificultad"/>
    <s v="No puedo hacerlo"/>
    <s v="Liderazgo"/>
    <s v="Falta de experiencia"/>
    <s v="Ferias de empleo"/>
    <s v="Me es indiferente"/>
    <s v="Diurno"/>
    <s v="Celular"/>
  </r>
  <r>
    <x v="471"/>
    <x v="2"/>
    <s v="SI, ACEPTO PARTICIPAR"/>
    <s v="Femenino"/>
    <s v="De 20 a 22 años"/>
    <n v="20"/>
    <s v="Centro poblado"/>
    <s v="Bachiller"/>
    <s v="Trabajo actualmente como empleado"/>
    <s v="Empleado con contrato"/>
    <s v="Más de un año"/>
    <s v="Sí, completamente"/>
    <s v="2- Satisfecho/a"/>
    <s v="Oportunidades de crecimiento"/>
    <s v="No"/>
    <s v="Todavía no he iniciado una búsqueda activa"/>
    <s v="Sí"/>
    <s v="No"/>
    <s v="Familiares o conocidos;Empresas directamente"/>
    <s v="Falta de experiencia"/>
    <s v="No"/>
    <s v=""/>
    <s v=""/>
    <s v=""/>
    <s v=""/>
    <s v=""/>
    <s v="Puedo hacerlo sin ayuda"/>
    <s v="Puedo hacerlo sin ayuda"/>
    <s v="Puedo hacerlo con dificultad"/>
    <s v="Puedo hacerlo sin ayuda"/>
    <s v="No puedo hacerlo"/>
    <s v="Emprendimiento"/>
    <s v="Distancia"/>
    <s v="No conozco ninguno"/>
    <s v="Presencial"/>
    <s v="Nocturno"/>
    <s v="WhatsApp"/>
  </r>
  <r>
    <x v="472"/>
    <x v="2"/>
    <s v="SI, ACEPTO PARTICIPAR"/>
    <s v="No quiero responder"/>
    <s v="De 22 a 24 años"/>
    <n v="22"/>
    <s v="Rural"/>
    <s v="Bachiller"/>
    <s v="Trabajo de manera independiente"/>
    <s v="Trabajo independiente"/>
    <s v="Más de un año"/>
    <s v="Parcialmente"/>
    <s v="3- Insatisfecho/a"/>
    <s v="Acceso a prestaciones"/>
    <s v="No estoy seguro/a"/>
    <s v="Entre 4 y 6 meses"/>
    <s v="Tengo una pero necesito actualizarla"/>
    <s v="No"/>
    <s v="Institución educativa"/>
    <s v="Falta de formación"/>
    <s v="Sí"/>
    <s v=""/>
    <s v=""/>
    <s v=""/>
    <s v=""/>
    <s v=""/>
    <s v="No puedo hacerlo"/>
    <s v="No puedo hacerlo"/>
    <s v="Puedo hacerlo sin ayuda"/>
    <s v="Puedo hacerlo sin ayuda"/>
    <s v="Puedo hacerlo con ayuda"/>
    <s v="Herramientas digitales"/>
    <s v="Distancia"/>
    <s v="Oficina de orientación laboral"/>
    <s v="Virtual"/>
    <s v="Fines de semana"/>
    <s v="Redes sociales"/>
  </r>
  <r>
    <x v="473"/>
    <x v="2"/>
    <s v="SI, ACEPTO PARTICIPAR"/>
    <s v="Masculino"/>
    <s v="De 24 a 26 años"/>
    <n v="24"/>
    <s v="Centro poblado"/>
    <s v="Técnico"/>
    <s v="Estudio y quiero comenzar a trabajar"/>
    <s v=""/>
    <s v=""/>
    <s v=""/>
    <s v=""/>
    <s v=""/>
    <s v=""/>
    <s v="Todavía no he iniciado una búsqueda activa"/>
    <s v="Tengo una pero necesito actualizarla"/>
    <s v="Sí"/>
    <s v="Familiares o conocidos;Empresas directamente"/>
    <s v="Dificultades con la hoja de vida"/>
    <s v="No"/>
    <s v=""/>
    <s v=""/>
    <s v=""/>
    <s v=""/>
    <s v=""/>
    <s v="Puedo hacerlo con dificultad"/>
    <s v="Puedo hacerlo con dificultad"/>
    <s v="No puedo hacerlo"/>
    <s v="No puedo hacerlo"/>
    <s v="Puedo hacerlo con ayuda"/>
    <s v="Educación financiera"/>
    <s v="Distancia"/>
    <s v="Programas de emprendimiento"/>
    <s v="Presencial y virtual"/>
    <s v="Diurno"/>
    <s v="Celular"/>
  </r>
  <r>
    <x v="474"/>
    <x v="2"/>
    <s v="SI, ACEPTO PARTICIPAR"/>
    <s v="Femenino"/>
    <s v="De 26 a 28 años"/>
    <n v="27"/>
    <s v="Rural"/>
    <s v="Profesional"/>
    <s v="Trabajo actualmente como empleado"/>
    <s v="Empleado con contrato"/>
    <s v="Menos de 3 meses"/>
    <s v="Parcialmente"/>
    <s v="2- Satisfecho/a"/>
    <s v="Trabajar en un área relacionada con mi formación"/>
    <s v="No"/>
    <s v="Todavía no he iniciado una búsqueda activa"/>
    <s v="Sí"/>
    <s v="Sí"/>
    <s v="Familiares o conocidos;Empresas directamente"/>
    <s v="Falta de formación"/>
    <s v="No"/>
    <s v=""/>
    <s v=""/>
    <s v=""/>
    <s v=""/>
    <s v=""/>
    <s v="No puedo hacerlo"/>
    <s v="No puedo hacerlo"/>
    <s v="Puedo hacerlo con dificultad"/>
    <s v="Puedo hacerlo con ayuda"/>
    <s v="Puedo hacerlo con dificultad"/>
    <s v="Crear una hoja de vida;Preparación para entrevista"/>
    <s v="Falta de experiencia;Falta de información"/>
    <s v="Oficina de orientación laboral"/>
    <s v="Me es indiferente"/>
    <s v="Mañana entre semana"/>
    <s v="Correo electrónico"/>
  </r>
  <r>
    <x v="475"/>
    <x v="2"/>
    <s v="SI, ACEPTO PARTICIPAR"/>
    <s v="Femenino"/>
    <s v="De 18 a 20 años"/>
    <n v="19"/>
    <s v="Centro poblado"/>
    <s v="Bachiller"/>
    <s v="Actualmente no trabajo y estoy buscando empleo"/>
    <s v=""/>
    <s v=""/>
    <s v=""/>
    <s v=""/>
    <s v=""/>
    <s v=""/>
    <s v="Menos de 1 mes"/>
    <s v="Sí"/>
    <s v="Sí"/>
    <s v="Familiares o conocidos;Empresas directamente"/>
    <s v="Transporte"/>
    <s v="No"/>
    <s v=""/>
    <s v=""/>
    <s v=""/>
    <s v=""/>
    <s v=""/>
    <s v="Puedo hacerlo con ayuda"/>
    <s v="Puedo hacerlo con ayuda"/>
    <s v="Puedo hacerlo sin ayuda"/>
    <s v="Puedo hacerlo con dificultad"/>
    <s v="Puedo hacerlo sin ayuda"/>
    <s v="Comunicación;Liderazgo"/>
    <s v="Falta de experiencia;Falta de información"/>
    <s v="Ferias de empleo"/>
    <s v="Presencial"/>
    <s v="Fines de semana"/>
    <s v="Redes sociales"/>
  </r>
  <r>
    <x v="476"/>
    <x v="2"/>
    <s v="SI, ACEPTO PARTICIPAR"/>
    <s v="Masculino"/>
    <s v="De 20 a 22 años"/>
    <n v="21"/>
    <s v="Rural"/>
    <s v="Técnico"/>
    <s v="Estudio y quiero comenzar a trabajar"/>
    <s v=""/>
    <s v=""/>
    <s v=""/>
    <s v=""/>
    <s v=""/>
    <s v=""/>
    <s v="Entre 4 y 6 meses"/>
    <s v="Tengo una pero necesito actualizarla"/>
    <s v="No"/>
    <s v="Familiares o conocidos;Empresas directamente"/>
    <s v="Dificultades con la hoja de vida"/>
    <s v="No"/>
    <s v=""/>
    <s v=""/>
    <s v=""/>
    <s v=""/>
    <s v=""/>
    <s v="Puedo hacerlo sin ayuda"/>
    <s v="Puedo hacerlo sin ayuda"/>
    <s v="No puedo hacerlo"/>
    <s v="Puedo hacerlo con dificultad"/>
    <s v="Puedo hacerlo sin ayuda"/>
    <s v="Herramientas digitales;Educación financiera"/>
    <s v="Falta de experiencia;Falta de información"/>
    <s v="No conozco ninguno"/>
    <s v="Virtual"/>
    <s v="Diurno"/>
    <s v="WhatsApp"/>
  </r>
  <r>
    <x v="477"/>
    <x v="2"/>
    <s v="SI, ACEPTO PARTICIPAR"/>
    <s v="Masculino"/>
    <s v="De 22 a 24 años"/>
    <n v="23"/>
    <s v="Centro poblado"/>
    <s v="Tecnólogo"/>
    <s v="Trabajo actualmente como empleado"/>
    <s v="Empleado sin contrato formal"/>
    <s v="De 3 a 6 meses"/>
    <s v="No"/>
    <s v="2- Satisfecho/a"/>
    <s v="Trabajar en un área relacionada con mi formación"/>
    <s v="No estoy seguro/a"/>
    <s v="Entre 4 y 6 meses"/>
    <s v="Sí"/>
    <s v="No"/>
    <s v="Familiares o conocidos;Empresas directamente"/>
    <s v="Falta de formación"/>
    <s v="No"/>
    <s v=""/>
    <s v=""/>
    <s v=""/>
    <s v=""/>
    <s v=""/>
    <s v="No puedo hacerlo"/>
    <s v="No puedo hacerlo"/>
    <s v="Puedo hacerlo con dificultad"/>
    <s v="Puedo hacerlo sin ayuda"/>
    <s v="No puedo hacerlo"/>
    <s v="Crear una hoja de vida"/>
    <s v="Costos de transporte;Distancia"/>
    <s v="Ferias de empleo"/>
    <s v="Presencial y virtual"/>
    <s v="Mañana entre semana"/>
    <s v="Correo electrónico"/>
  </r>
  <r>
    <x v="478"/>
    <x v="2"/>
    <s v="SI, ACEPTO PARTICIPAR"/>
    <s v="Femenino"/>
    <s v="De 24 a 26 años"/>
    <n v="25"/>
    <s v="Rural"/>
    <s v="Profesional"/>
    <s v="Actualmente no trabajo y estoy buscando empleo"/>
    <s v=""/>
    <s v=""/>
    <s v=""/>
    <s v=""/>
    <s v=""/>
    <s v=""/>
    <s v="Más de 6 meses"/>
    <s v="Sí"/>
    <s v="No"/>
    <s v="Familiares o conocidos;Empresas directamente"/>
    <s v="Transporte"/>
    <s v="No"/>
    <s v=""/>
    <s v=""/>
    <s v=""/>
    <s v=""/>
    <s v=""/>
    <s v="Puedo hacerlo con dificultad"/>
    <s v="Puedo hacerlo con dificultad"/>
    <s v="Puedo hacerlo sin ayuda"/>
    <s v="No puedo hacerlo"/>
    <s v="No puedo hacerlo"/>
    <s v="Preparación para entrevista"/>
    <s v="Costos de transporte;Distancia"/>
    <s v="Programas de emprendimiento"/>
    <s v="Me es indiferente"/>
    <s v="Fines de semana"/>
    <s v="Cel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9E714-560D-4C1B-8424-AD7C58B33AD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DOMINIO  TERRITORIAL">
  <location ref="A3:C7" firstHeaderRow="0" firstDataRow="1" firstDataCol="1"/>
  <pivotFields count="37">
    <pivotField dataField="1" showAll="0">
      <items count="4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ORCENTAJE DE REGISTROS" fld="0" subtotal="count" showDataAs="percentOfTotal" baseField="1" baseItem="0" numFmtId="10"/>
    <dataField name="NUMERO D REGISTRO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141272-3901-49DE-B09A-1D6052FCEFC7}" name="Tabla1" displayName="Tabla1" ref="A1:AK480" totalsRowShown="0" headerRowDxfId="32" dataDxfId="31">
  <autoFilter ref="A1:AK480" xr:uid="{21141272-3901-49DE-B09A-1D6052FCEFC7}"/>
  <tableColumns count="37">
    <tableColumn id="1" xr3:uid="{60F38304-C48E-4DB2-8630-50969BAB1EEC}" name="ID artificial.">
      <calculatedColumnFormula>"SG"&amp;TEXT(ROW()-1,"000")</calculatedColumnFormula>
    </tableColumn>
    <tableColumn id="2" xr3:uid="{09EA2AC8-BBFA-4B28-88AD-F0D74DE4F397}" name="Dominio territorial."/>
    <tableColumn id="3" xr3:uid="{615503E9-7A23-486C-AE14-7FF3AE93DCC7}" name="¿Aceptas participar voluntariamente en este formulario y autorizas el uso de la información proporcionada para los fines académicos anteriormente descritos?" dataDxfId="30"/>
    <tableColumn id="4" xr3:uid="{751D0045-3DC6-4AAC-9CFB-E07138A56DF2}" name="¿Con que género te identificas?">
      <calculatedColumnFormula>IF(MOD((ROW()-2)*137,479)&lt;230,"Masculino",IF(MOD((ROW()-2)*137,479)&lt;460,"Femenino",IF(MOD((ROW()-2)*137,479)&lt;470,"Otro","No quiero responder")))</calculatedColumnFormula>
    </tableColumn>
    <tableColumn id="5" xr3:uid="{F5E4105C-8DE9-42F7-AF60-A7F8CFF7D2C4}" name="¿En que rango de edad te encuentras?">
      <calculatedColumnFormula>CHOOSE(MOD(ROW()-2,5)+1,"De 18 a 20 años","De 20 a 22 años","De 22 a 24 años","De 24 a 26 años","De 26 a 28 años")</calculatedColumnFormula>
    </tableColumn>
    <tableColumn id="6" xr3:uid="{3C0A83CE-506F-4D37-82A1-DEA24B55BF7B}" name="¿Cuál es tu edad?" dataDxfId="29">
      <calculatedColumnFormula>CHOOSE(MOD(ROW()-2,5)+1,18,20,22,24,26)+MOD(INT((ROW()-2)/5),IF(MOD(ROW()-2,5)=4,3,2))</calculatedColumnFormula>
    </tableColumn>
    <tableColumn id="7" xr3:uid="{921642FC-B247-42DE-9DA7-3D8DE69BC930}" name="¿En qué zona vives actualmente?" dataDxfId="28">
      <calculatedColumnFormula>IF(MOD(ROW()-371,2)=0,"Centro poblado","Rural")</calculatedColumnFormula>
    </tableColumn>
    <tableColumn id="8" xr3:uid="{43AEDBBD-5961-42C4-8E1B-0956F65B9281}" name="¿Cuál es tu nivel educativo?" dataDxfId="27">
      <calculatedColumnFormula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calculatedColumnFormula>
    </tableColumn>
    <tableColumn id="9" xr3:uid="{42B6C196-3980-4800-8D5D-87B8DE290283}" name="¿Cuál de las siguientes opciones describe mejor tu situación actual?" dataDxfId="26">
      <calculatedColumnFormula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calculatedColumnFormula>
    </tableColumn>
    <tableColumn id="10" xr3:uid="{ABB96F35-735E-41EB-A196-47E6F305A74B}" name="¿Cuál describe mejor tu tipo de contrato o trabajo actual?" dataDxfId="25">
      <calculatedColumnFormula>IF(I2="Trabajo actualmente como empleado",IF(MOD((COUNTIF($I$2:I2,"Trabajo actualmente como empleado")-1)*37,150)&lt;100,"Empleado con contrato","Empleado sin contrato formal"),IF(I2="Trabajo de manera independiente","Trabajo independiente",""))</calculatedColumnFormula>
    </tableColumn>
    <tableColumn id="11" xr3:uid="{7A2904AC-265F-4CDE-A756-4C92522B865F}" name="¿Cuánto tiempo llevas trabajando?" dataDxfId="24">
      <calculatedColumnFormula>IF(OR(I2="Trabajo actualmente como empleado",I2="Trabajo de manera independiente"),CHOOSE(MOD(COUNTIF($I$2:I2,I2)-1,4)+1,"Menos de 3 meses","De 3 a 6 meses","De 7 a 12 meses","Más de un año"),"")</calculatedColumnFormula>
    </tableColumn>
    <tableColumn id="12" xr3:uid="{D229D092-D5F9-4C98-871F-DB91ED2B06F0}" name="¿Tú trabajo está relacionado con tu formación o habilidades?" dataDxfId="23">
      <calculatedColumnFormula>IF(OR(I2="Trabajo actualmente como empleado",I2="Trabajo de manera independiente"),CHOOSE(MOD(COUNTIF($I$2:I2,I2)-1,3)+1,"Sí, completamente","Parcialmente","No"),"")</calculatedColumnFormula>
    </tableColumn>
    <tableColumn id="13" xr3:uid="{9813FA6B-E178-4141-BDD6-D41914539292}" name="¿Qué tan satisfecho/a estás con tus condiciones laborales actuales?" dataDxfId="22">
      <calculatedColumnFormula>IF(OR(I2="Trabajo actualmente como empleado",I2="Trabajo de manera independiente"),CHOOSE(MOD(INT((COUNTIF($I$2:I2,I2)-1)/3),4)+1,"1- Muy satisfecho/a","2- Satisfecho/a","3- Insatisfecho/a","4- Muy insatisfecho/a"),"")</calculatedColumnFormula>
    </tableColumn>
    <tableColumn id="14" xr3:uid="{CF66EC04-C689-469F-9B4A-C29CA0739969}" name="¿Qué aspecto te gustaría mejorar principalmente de tu situación laboral?" dataDxfId="21">
      <calculatedColumnFormula>IF(OR(I2="Trabajo actualmente como empleado",I2="Trabajo de manera independiente"),_xlfn.LET(_xlpm.opcion,MOD(INT((COUNTIF($I$2:I2,I2)-1)/5),6)+1,CHOOSE(IF(AND(_xlpm.opcion=6,L2="Sí, completamente"),5,_xlpm.opcion),"Salario","Estabilidad laboral","Horario","Acceso a prestaciones","Oportunidades de crecimiento","Trabajar en un área relacionada con mi formación")),"")</calculatedColumnFormula>
    </tableColumn>
    <tableColumn id="15" xr3:uid="{D40024A8-38DE-44A0-A4E4-F0E460DFF11F}" name="¿Actualmente estás interesado/a en encontrar un empleo diferente?" dataDxfId="20">
      <calculatedColumnFormula>IF(OR(I2="Trabajo actualmente como empleado",I2="Trabajo de manera independiente"),_xlfn.LET(_xlpm.turno,MOD(COUNTIF($I$2:I2,I2)-1,5),_xlpm.nivel,VALUE(LEFT(M2,1)),IF(_xlpm.turno=4,"No estoy seguro/a",IF(_xlpm.turno&lt;IF(_xlpm.nivel&lt;=2,1,3),"Sí","No"))),"")</calculatedColumnFormula>
    </tableColumn>
    <tableColumn id="16" xr3:uid="{8C474C7F-E0AF-4195-81BC-E77619B0721A}" name="¿Cuánto tiempo llevas buscando empleo?" dataDxfId="19">
      <calculatedColumnFormula>_xlfn.LET(_xlpm.perfil,I2,_xlpm.turno,COUNTIF($I$2:I2,_xlpm.perfil)-1,_xlpm.busca,OR(_xlpm.perfil="Actualmente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trabajar"),IF(AND(_xlpm.trabaja,O2="No"),"Todavía no he iniciado una búsqueda activa",CHOOSE(MOD(_xlpm.turno*3,5)+1,"Menos de 1 mes","Entre 1 y 3 meses","Entre 4 y 6 meses","Más de 6 meses","Todavía no he iniciado una búsqueda activa")),"")))</calculatedColumnFormula>
    </tableColumn>
    <tableColumn id="17" xr3:uid="{999C6BDF-E793-4468-BC2A-B8C77D04C981}" name="¿Tienes actualmente una hoja de vida actualizada?" dataDxfId="18">
      <calculatedColumnFormula>IF(I2="Tengo un emprendimiento o quiero iniciar uno","",CHOOSE(MOD(INT((COUNTIF($I$2:I2,I2)-1)/7),3)+1,"Sí","No","Tengo una pero necesito actualizarla"))</calculatedColumnFormula>
    </tableColumn>
    <tableColumn id="18" xr3:uid="{FEFA6804-82AA-4A2B-B357-8ADF10BFDECF}" name="¿Has tenido anteriormente un empleo o trabajo remunerado?" dataDxfId="17">
      <calculatedColumnFormula>IF(I2="Tengo un emprendimiento o quiero iniciar uno","",IF(I2="Busco mi primer empleo","No",IF(MOD(COUNTIF($I$2:I2,I2)-1,2)=0,"Sí","No")))</calculatedColumnFormula>
    </tableColumn>
    <tableColumn id="19" xr3:uid="{3462012F-71FD-4E9B-AEC3-5903869B5550}" name="¿Dónde buscas o buscarias principalmente oportunidades laborales?">
      <calculatedColumnFormula>IF(I2="Tengo un emprendimiento o quiero iniciar uno","",CHOOSE(MOD(INT((COUNTIF($I$2:I2,I2)-1)/3),10)+1,"Portales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calculatedColumnFormula>
    </tableColumn>
    <tableColumn id="20" xr3:uid="{8DB388E8-78D1-4774-A002-7E0B17F52755}" name="¿Cuál consideras que es tu principal dificultad para conseguir empleo?" dataDxfId="16">
      <calculatedColumnFormula>IF(I2="Tengo un emprendimiento o quiero iniciar uno","",_xlfn.LET(_xlpm.opcion,MOD(INT((COUNTIF($I$2:I2,I2)-1)/4),6)+1,CHOOSE(IF(AND(_xlpm.opcion=3,Q2="Sí"),1,_xlpm.opcion),"Falta de experiencia","Falta de formación","Dificultades con la hoja de vida","Horarios disponibles","Transporte","Internet")))</calculatedColumnFormula>
    </tableColumn>
    <tableColumn id="21" xr3:uid="{609DB06D-5631-4010-B2FB-8996CE4DAD58}" name="¿Has participado en una entrevista laboral durante los últimos 6 meses?" dataDxfId="15">
      <calculatedColumnFormula>IF(I2="Tengo un emprendimiento o quiero iniciar uno","",IF(MOD(INT((COUNTIF($I$2:I2,I2)-1)/3),2)=0,"Sí","No"))</calculatedColumnFormula>
    </tableColumn>
    <tableColumn id="22" xr3:uid="{0D1839EA-6901-40BE-8A04-91FB6A87E6A2}" name="¿Cuál describe mejor tu situación?" dataDxfId="14">
      <calculatedColumnFormula>IF(I2="Tengo un emprendimiento o quiero iniciar uno",CHOOSE(MOD(COUNTIF($I$2:I2,I2)-1,3)+1,"Tengo un emprendimiento","Estoy iniciando un emprendimiento","Me interesa emprender"),"")</calculatedColumnFormula>
    </tableColumn>
    <tableColumn id="23" xr3:uid="{FBC91922-99B0-4A41-899B-A4F7C8E545A4}" name="Si tienes o estás iniciando un emprendimiento, ¿en qué etapa se encuentra?" dataDxfId="13">
      <calculatedColumnFormula>IF(V2="Tengo un emprendimiento","Funcionamiento estable",IF(V2="Estoy iniciando un emprendimiento","Inicio",""))</calculatedColumnFormula>
    </tableColumn>
    <tableColumn id="24" xr3:uid="{85FDC9AA-E857-44D9-8319-3DB0BA8FEF72}" name="¿Cuál es la principal dificultad para iniciar o fortalecer tu emprendimiento?" dataDxfId="12">
      <calculatedColumnFormula>IF(I2="Tengo un emprendimiento o quiero iniciar uno",CHOOSE(MOD(COUNTIF($I$2:I2,I2)-1,5)+1,"Falta de financiación","Falta de conocimientos administrativos","Falta de conocimientos financieros","Falta de tiempo","Falta de herramientas"),"")</calculatedColumnFormula>
    </tableColumn>
    <tableColumn id="25" xr3:uid="{55B9E0E4-E775-41C2-9DB4-F9DBD212C9F6}" name="¿Qué tipo de apoyo consideras más importante?" dataDxfId="11">
      <calculatedColumnFormula>IF(I2="Tengo un emprendimiento o quiero iniciar uno",X2,"")</calculatedColumnFormula>
    </tableColumn>
    <tableColumn id="26" xr3:uid="{072B32C8-5E18-4348-A5F6-F75DEB8D459F}" name="¿Has participado anteriormente en algún programa de apoyo al emprendimiento?">
      <calculatedColumnFormula>IF(I2="Tengo un emprendimiento o quiero iniciar uno",CHOOSE(INT(MOD((COUNTIF($I$2:I2,I2)-1)*7,39)/13)+1,"Sí","No","No conozco programas de ese tipo"),"")</calculatedColumnFormula>
    </tableColumn>
    <tableColumn id="27" xr3:uid="{5C99F6E0-341B-49D9-BAF1-438C5F73371A}" name="Indica qué tan preparado/a te sientes para realizar las siguientes actividades relacionadas con el empleo..Elaborar o actualizar mi hoja de vida. " dataDxfId="10">
      <calculatedColumnFormula>CHOOSE(INT(MOD((ROW()-2)*191,479)/120)+1,"No puedo hacerlo","Puedo hacerlo con ayuda","Puedo hacerlo con dificultad","Puedo hacerlo sin ayuda")</calculatedColumnFormula>
    </tableColumn>
    <tableColumn id="28" xr3:uid="{277C17F2-0670-4473-9DD0-7328BA6540ED}" name="Indica qué tan preparado/a te sientes para realizar las siguientes actividades relacionadas con el empleo..Buscar vacantes por internet. " dataDxfId="9">
      <calculatedColumnFormula>CHOOSE(INT(MOD((ROW()-2)*191,479)/120)+1,"No puedo hacerlo","Puedo hacerlo con ayuda","Puedo hacerlo con dificultad","Puedo hacerlo sin ayuda")</calculatedColumnFormula>
    </tableColumn>
    <tableColumn id="29" xr3:uid="{87CFA6B2-0C3E-47B5-99BB-1CFA1BFF74E1}" name="Indica qué tan preparado/a te sientes para realizar las siguientes actividades relacionadas con el empleo..Presentarme a una entrevista laboral. " dataDxfId="8">
      <calculatedColumnFormula>CHOOSE(INT(MOD((ROW()-2)*157+83,479)/120)+1,"No puedo hacerlo","Puedo hacerlo con ayuda","Puedo hacerlo con dificultad","Puedo hacerlo sin ayuda")</calculatedColumnFormula>
    </tableColumn>
    <tableColumn id="30" xr3:uid="{62AA67FF-AA96-40FC-8871-383EB76099BF}" name="Indica qué tan preparado/a te sientes para realizar las siguientes actividades relacionadas con el empleo..Explicar mis habilidades y experiencia. " dataDxfId="7">
      <calculatedColumnFormula>CHOOSE(INT(MOD((ROW()-2)*89+131,479)/120)+1,"No puedo hacerlo","Puedo hacerlo con ayuda","Puedo hacerlo con dificultad","Puedo hacerlo sin ayuda")</calculatedColumnFormula>
    </tableColumn>
    <tableColumn id="31" xr3:uid="{A2392F3D-D481-447B-92C1-A47E767264E2}" name="Indica qué tan preparado/a te sientes para realizar las siguientes actividades relacionadas con el empleo..Utilizar herramientas digitales para trabajar." dataDxfId="6">
      <calculatedColumnFormula>CHOOSE(INT(MOD((ROW()-2)*73+179,479)/120)+1,"No puedo hacerlo","Puedo hacerlo con ayuda","Puedo hacerlo con dificultad","Puedo hacerlo sin ayuda")</calculatedColumnFormula>
    </tableColumn>
    <tableColumn id="32" xr3:uid="{99E830BB-8E8A-4EA2-BA12-9E90404429EA}" name="¿Qué competencias te gustaría fortalecer?" dataDxfId="5">
      <calculatedColumnFormula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calculatedColumnFormula>
    </tableColumn>
    <tableColumn id="33" xr3:uid="{F2A9F147-A5FD-4C7D-A9BA-1DEBCDC25584}" name="¿Qué situaciones dificultan actualmente tu acceso a oportunidades laborales o de formación?" dataDxfId="4">
      <calculatedColumnFormula>CHOOSE(MOD(INT((ROW()-2)/3)*7,9)+1,"Costos de transporte","Distancia","Horarios","Falta de experiencia","Falta de información","Ninguna","Costos de transporte;Distancia","Horarios;Falta de información","Falta de experiencia;Falta de información")</calculatedColumnFormula>
    </tableColumn>
    <tableColumn id="34" xr3:uid="{275CFFE7-693D-4890-BCB2-81C59C3893BF}" name="¿Cuáles de los siguientes servicios conoces?" dataDxfId="3">
      <calculatedColumnFormula>CHOOSE(INT(MOD((ROW()-2)*199+59,479)/120)+1,"Oficina de orientación laboral","Ferias de empleo","Programas de emprendimiento","No conozco ninguno")</calculatedColumnFormula>
    </tableColumn>
    <tableColumn id="35" xr3:uid="{982EA782-D5EB-45A0-A982-A1CDEB31B160}" name="¿Cómo prefieres participar en actividades de empleabilidad? " dataDxfId="2">
      <calculatedColumnFormula>CHOOSE(INT(MOD((ROW()-2)*127+71,479)/120)+1,"Presencial","Virtual","Presencial y virtual","Me es indiferente")</calculatedColumnFormula>
    </tableColumn>
    <tableColumn id="36" xr3:uid="{0471B110-6217-4C44-AB2E-4E12F8B9ADFA}" name="¿Qué horario te resulta más conveniente?" dataDxfId="1">
      <calculatedColumnFormula>CHOOSE(INT(MOD((ROW()-2)*163+97,479)/120)+1,"Diurno","Nocturno","Mañana entre semana","Fines de semana")</calculatedColumnFormula>
    </tableColumn>
    <tableColumn id="37" xr3:uid="{BA87A6B1-C487-4664-B5D5-A03AC3E8F587}" name="¿Por qué medio preferirías recibir información sobre oportunidades laborales?" dataDxfId="0">
      <calculatedColumnFormula>CHOOSE(INT(MOD((ROW()-2)*181+109,479)/120)+1,"WhatsApp","Correo electrónico","Redes sociales","Celular")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CF29-17D7-4360-8E68-0250A8016012}">
  <dimension ref="A1:Y480"/>
  <sheetViews>
    <sheetView tabSelected="1" topLeftCell="C124" workbookViewId="0">
      <selection activeCell="C140" sqref="C140"/>
    </sheetView>
  </sheetViews>
  <sheetFormatPr baseColWidth="10" defaultColWidth="11.42578125" defaultRowHeight="11.25"/>
  <cols>
    <col min="1" max="1" width="57.5703125" style="1" bestFit="1" customWidth="1"/>
    <col min="2" max="2" width="154.7109375" style="1" bestFit="1" customWidth="1"/>
    <col min="3" max="3" width="102.85546875" style="1" bestFit="1" customWidth="1"/>
    <col min="4" max="7" width="11.42578125" style="1"/>
    <col min="8" max="8" width="38.85546875" style="1" bestFit="1" customWidth="1"/>
    <col min="9" max="16384" width="11.42578125" style="1"/>
  </cols>
  <sheetData>
    <row r="1" spans="1:25">
      <c r="A1" s="1" t="s">
        <v>44</v>
      </c>
      <c r="B1" s="1" t="s">
        <v>45</v>
      </c>
      <c r="C1" s="1" t="s">
        <v>46</v>
      </c>
      <c r="H1" s="1" t="s">
        <v>47</v>
      </c>
    </row>
    <row r="2" spans="1:25">
      <c r="A2" s="1" t="s">
        <v>48</v>
      </c>
      <c r="B2" s="1" t="s">
        <v>49</v>
      </c>
      <c r="C2" s="1" t="s">
        <v>50</v>
      </c>
    </row>
    <row r="3" spans="1:25">
      <c r="A3" s="2" t="s">
        <v>51</v>
      </c>
      <c r="B3" s="1" t="s">
        <v>52</v>
      </c>
      <c r="C3" s="1" t="s">
        <v>50</v>
      </c>
      <c r="Y3" s="1" t="str">
        <f t="shared" ref="Y3:Y65" si="0">IF(I3="Tengo un emprendimiento o quiero iniciar uno",X3,"")</f>
        <v/>
      </c>
    </row>
    <row r="4" spans="1:25">
      <c r="A4" s="1" t="s">
        <v>53</v>
      </c>
      <c r="B4" s="1" t="s">
        <v>54</v>
      </c>
      <c r="C4" s="1" t="s">
        <v>50</v>
      </c>
      <c r="Y4" s="1" t="str">
        <f t="shared" si="0"/>
        <v/>
      </c>
    </row>
    <row r="5" spans="1:25">
      <c r="A5" s="1" t="s">
        <v>55</v>
      </c>
      <c r="B5" s="1" t="s">
        <v>56</v>
      </c>
      <c r="C5" s="1" t="s">
        <v>50</v>
      </c>
      <c r="Y5" s="1" t="str">
        <f t="shared" si="0"/>
        <v/>
      </c>
    </row>
    <row r="6" spans="1:25">
      <c r="A6" s="1" t="s">
        <v>57</v>
      </c>
      <c r="B6" s="1" t="s">
        <v>58</v>
      </c>
      <c r="C6" s="1" t="s">
        <v>50</v>
      </c>
      <c r="Y6" s="1" t="str">
        <f t="shared" si="0"/>
        <v/>
      </c>
    </row>
    <row r="7" spans="1:25">
      <c r="A7" s="1" t="s">
        <v>59</v>
      </c>
      <c r="B7" s="1" t="s">
        <v>60</v>
      </c>
      <c r="C7" s="1" t="s">
        <v>61</v>
      </c>
      <c r="E7" s="3"/>
      <c r="Y7" s="1" t="str">
        <f t="shared" si="0"/>
        <v/>
      </c>
    </row>
    <row r="8" spans="1:25">
      <c r="A8" s="1" t="s">
        <v>62</v>
      </c>
      <c r="B8" s="1" t="s">
        <v>63</v>
      </c>
      <c r="C8" s="1" t="s">
        <v>64</v>
      </c>
      <c r="Y8" s="1" t="str">
        <f t="shared" si="0"/>
        <v/>
      </c>
    </row>
    <row r="9" spans="1:25">
      <c r="A9" s="1" t="s">
        <v>65</v>
      </c>
      <c r="B9" s="1" t="s">
        <v>66</v>
      </c>
      <c r="C9" s="1" t="s">
        <v>67</v>
      </c>
      <c r="Y9" s="1" t="str">
        <f t="shared" si="0"/>
        <v/>
      </c>
    </row>
    <row r="10" spans="1:25">
      <c r="A10" s="1" t="s">
        <v>68</v>
      </c>
      <c r="B10" s="1" t="s">
        <v>69</v>
      </c>
      <c r="C10" s="3" t="s">
        <v>70</v>
      </c>
      <c r="J10" s="3"/>
      <c r="Y10" s="1" t="str">
        <f t="shared" si="0"/>
        <v/>
      </c>
    </row>
    <row r="11" spans="1:25">
      <c r="A11" s="1" t="s">
        <v>71</v>
      </c>
      <c r="B11" s="1" t="s">
        <v>72</v>
      </c>
      <c r="C11" s="1" t="s">
        <v>73</v>
      </c>
      <c r="Y11" s="1" t="str">
        <f t="shared" si="0"/>
        <v/>
      </c>
    </row>
    <row r="12" spans="1:25">
      <c r="A12" s="1" t="s">
        <v>74</v>
      </c>
      <c r="B12" s="1" t="s">
        <v>75</v>
      </c>
      <c r="C12" s="1" t="s">
        <v>76</v>
      </c>
      <c r="D12" s="3"/>
      <c r="Y12" s="1" t="str">
        <f t="shared" si="0"/>
        <v/>
      </c>
    </row>
    <row r="13" spans="1:25">
      <c r="A13" s="1" t="s">
        <v>77</v>
      </c>
      <c r="B13" s="1" t="s">
        <v>78</v>
      </c>
      <c r="C13" s="1" t="s">
        <v>79</v>
      </c>
      <c r="Y13" s="1" t="str">
        <f t="shared" si="0"/>
        <v/>
      </c>
    </row>
    <row r="14" spans="1:25">
      <c r="A14" s="1" t="s">
        <v>80</v>
      </c>
      <c r="B14" s="1" t="s">
        <v>81</v>
      </c>
      <c r="C14" s="1" t="s">
        <v>82</v>
      </c>
      <c r="Y14" s="1" t="str">
        <f t="shared" si="0"/>
        <v/>
      </c>
    </row>
    <row r="15" spans="1:25" ht="12.75">
      <c r="A15" s="1" t="s">
        <v>83</v>
      </c>
      <c r="B15" s="6" t="s">
        <v>84</v>
      </c>
      <c r="C15" s="1" t="s">
        <v>85</v>
      </c>
      <c r="Y15" s="1" t="str">
        <f t="shared" si="0"/>
        <v/>
      </c>
    </row>
    <row r="16" spans="1:25">
      <c r="A16" s="1" t="s">
        <v>86</v>
      </c>
      <c r="B16" s="1" t="s">
        <v>87</v>
      </c>
      <c r="C16" s="1" t="s">
        <v>82</v>
      </c>
      <c r="E16" s="3"/>
      <c r="Y16" s="1" t="str">
        <f t="shared" si="0"/>
        <v/>
      </c>
    </row>
    <row r="17" spans="1:25">
      <c r="A17" s="1" t="s">
        <v>88</v>
      </c>
      <c r="B17" s="1" t="s">
        <v>89</v>
      </c>
      <c r="C17" s="1" t="s">
        <v>90</v>
      </c>
      <c r="D17" s="3"/>
      <c r="Y17" s="1" t="str">
        <f t="shared" si="0"/>
        <v/>
      </c>
    </row>
    <row r="18" spans="1:25">
      <c r="A18" s="1" t="s">
        <v>91</v>
      </c>
      <c r="B18" s="1" t="s">
        <v>92</v>
      </c>
      <c r="C18" s="1" t="s">
        <v>82</v>
      </c>
      <c r="Y18" s="1" t="str">
        <f t="shared" si="0"/>
        <v/>
      </c>
    </row>
    <row r="19" spans="1:25">
      <c r="A19" s="1" t="s">
        <v>93</v>
      </c>
      <c r="B19" s="1" t="s">
        <v>94</v>
      </c>
      <c r="C19" s="1" t="s">
        <v>90</v>
      </c>
      <c r="E19" s="3"/>
      <c r="Y19" s="1" t="str">
        <f t="shared" si="0"/>
        <v/>
      </c>
    </row>
    <row r="20" spans="1:25">
      <c r="A20" s="1" t="s">
        <v>95</v>
      </c>
      <c r="B20" s="1" t="s">
        <v>96</v>
      </c>
      <c r="C20" s="3" t="s">
        <v>82</v>
      </c>
      <c r="D20" s="3"/>
      <c r="E20" s="3"/>
      <c r="Y20" s="1" t="str">
        <f t="shared" si="0"/>
        <v/>
      </c>
    </row>
    <row r="21" spans="1:25" ht="15">
      <c r="A21" s="1" t="s">
        <v>97</v>
      </c>
      <c r="B21" t="s">
        <v>98</v>
      </c>
      <c r="C21" t="s">
        <v>99</v>
      </c>
      <c r="Y21" s="1" t="str">
        <f t="shared" si="0"/>
        <v/>
      </c>
    </row>
    <row r="22" spans="1:25" ht="15">
      <c r="A22" s="1" t="s">
        <v>100</v>
      </c>
      <c r="B22" t="s">
        <v>101</v>
      </c>
      <c r="C22" s="1" t="s">
        <v>102</v>
      </c>
      <c r="Y22" s="1" t="str">
        <f t="shared" si="0"/>
        <v/>
      </c>
    </row>
    <row r="23" spans="1:25">
      <c r="A23" s="1" t="s">
        <v>103</v>
      </c>
      <c r="B23" s="1" t="s">
        <v>104</v>
      </c>
      <c r="C23" s="1" t="s">
        <v>105</v>
      </c>
      <c r="Y23" s="1" t="str">
        <f t="shared" si="0"/>
        <v/>
      </c>
    </row>
    <row r="24" spans="1:25">
      <c r="A24" s="1" t="s">
        <v>106</v>
      </c>
      <c r="B24" s="1" t="s">
        <v>107</v>
      </c>
      <c r="C24" s="1" t="s">
        <v>82</v>
      </c>
      <c r="Y24" s="1" t="str">
        <f t="shared" si="0"/>
        <v/>
      </c>
    </row>
    <row r="25" spans="1:25">
      <c r="A25" s="1" t="s">
        <v>108</v>
      </c>
      <c r="B25" s="1" t="s">
        <v>96</v>
      </c>
      <c r="C25" s="1" t="s">
        <v>82</v>
      </c>
      <c r="E25" s="3"/>
      <c r="Y25" s="1" t="str">
        <f t="shared" si="0"/>
        <v/>
      </c>
    </row>
    <row r="26" spans="1:25">
      <c r="A26" s="1" t="s">
        <v>109</v>
      </c>
      <c r="B26" s="1" t="s">
        <v>110</v>
      </c>
      <c r="C26" s="1" t="s">
        <v>82</v>
      </c>
      <c r="E26" s="3"/>
      <c r="Y26" s="1" t="str">
        <f t="shared" si="0"/>
        <v/>
      </c>
    </row>
    <row r="27" spans="1:25">
      <c r="A27" s="1" t="s">
        <v>111</v>
      </c>
      <c r="B27" s="1" t="s">
        <v>112</v>
      </c>
      <c r="C27" s="1" t="s">
        <v>82</v>
      </c>
      <c r="Y27" s="1" t="str">
        <f t="shared" si="0"/>
        <v/>
      </c>
    </row>
    <row r="28" spans="1:25" ht="12.75">
      <c r="A28" s="1" t="s">
        <v>113</v>
      </c>
      <c r="B28" s="6" t="s">
        <v>114</v>
      </c>
      <c r="C28" s="6" t="s">
        <v>115</v>
      </c>
      <c r="Y28" s="1" t="str">
        <f t="shared" si="0"/>
        <v/>
      </c>
    </row>
    <row r="29" spans="1:25">
      <c r="A29" s="1" t="s">
        <v>116</v>
      </c>
      <c r="B29" s="1" t="s">
        <v>117</v>
      </c>
      <c r="C29" s="1" t="s">
        <v>82</v>
      </c>
      <c r="Y29" s="1" t="str">
        <f t="shared" si="0"/>
        <v/>
      </c>
    </row>
    <row r="30" spans="1:25">
      <c r="A30" s="1" t="s">
        <v>118</v>
      </c>
      <c r="B30" s="1" t="s">
        <v>96</v>
      </c>
      <c r="C30" s="1" t="s">
        <v>82</v>
      </c>
      <c r="Y30" s="1" t="str">
        <f t="shared" si="0"/>
        <v/>
      </c>
    </row>
    <row r="31" spans="1:25">
      <c r="A31" s="1" t="s">
        <v>119</v>
      </c>
      <c r="B31" s="1" t="s">
        <v>120</v>
      </c>
      <c r="C31" s="1" t="s">
        <v>121</v>
      </c>
      <c r="Y31" s="1" t="str">
        <f t="shared" si="0"/>
        <v/>
      </c>
    </row>
    <row r="32" spans="1:25">
      <c r="A32" s="1" t="s">
        <v>122</v>
      </c>
      <c r="B32" s="1" t="s">
        <v>123</v>
      </c>
      <c r="C32" s="1" t="s">
        <v>82</v>
      </c>
      <c r="Y32" s="1" t="str">
        <f t="shared" si="0"/>
        <v/>
      </c>
    </row>
    <row r="33" spans="1:25">
      <c r="A33" s="1" t="s">
        <v>124</v>
      </c>
      <c r="B33" s="1" t="s">
        <v>125</v>
      </c>
      <c r="C33" s="3" t="s">
        <v>126</v>
      </c>
      <c r="Y33" s="1" t="str">
        <f t="shared" si="0"/>
        <v/>
      </c>
    </row>
    <row r="34" spans="1:25" ht="15">
      <c r="A34" s="1" t="s">
        <v>127</v>
      </c>
      <c r="B34" t="s">
        <v>128</v>
      </c>
      <c r="C34" t="s">
        <v>129</v>
      </c>
      <c r="Y34" s="1" t="str">
        <f t="shared" si="0"/>
        <v/>
      </c>
    </row>
    <row r="35" spans="1:25">
      <c r="A35" s="1" t="s">
        <v>130</v>
      </c>
      <c r="B35" s="1" t="s">
        <v>131</v>
      </c>
      <c r="C35" s="1" t="s">
        <v>82</v>
      </c>
      <c r="Y35" s="1" t="str">
        <f t="shared" si="0"/>
        <v/>
      </c>
    </row>
    <row r="36" spans="1:25">
      <c r="A36" s="1" t="s">
        <v>132</v>
      </c>
      <c r="B36" s="1" t="s">
        <v>133</v>
      </c>
      <c r="C36" s="3" t="s">
        <v>134</v>
      </c>
      <c r="Y36" s="1" t="str">
        <f t="shared" si="0"/>
        <v/>
      </c>
    </row>
    <row r="37" spans="1:25">
      <c r="A37" s="1" t="s">
        <v>135</v>
      </c>
      <c r="B37" s="1" t="s">
        <v>136</v>
      </c>
      <c r="C37" s="1" t="s">
        <v>82</v>
      </c>
      <c r="G37" s="3"/>
      <c r="Y37" s="1" t="str">
        <f t="shared" si="0"/>
        <v/>
      </c>
    </row>
    <row r="38" spans="1:25">
      <c r="A38" s="1" t="s">
        <v>137</v>
      </c>
      <c r="B38" s="1" t="s">
        <v>120</v>
      </c>
      <c r="C38" s="1" t="s">
        <v>138</v>
      </c>
      <c r="D38" s="3"/>
      <c r="Y38" s="1" t="str">
        <f t="shared" si="0"/>
        <v/>
      </c>
    </row>
    <row r="39" spans="1:25">
      <c r="A39" s="1" t="s">
        <v>139</v>
      </c>
      <c r="B39" s="1" t="s">
        <v>140</v>
      </c>
      <c r="C39" s="1" t="s">
        <v>82</v>
      </c>
      <c r="Y39" s="1" t="str">
        <f t="shared" si="0"/>
        <v/>
      </c>
    </row>
    <row r="40" spans="1:25">
      <c r="A40" s="3" t="s">
        <v>141</v>
      </c>
      <c r="B40" s="1" t="s">
        <v>142</v>
      </c>
      <c r="C40" s="1" t="s">
        <v>143</v>
      </c>
      <c r="D40" s="3"/>
      <c r="Y40" s="1" t="str">
        <f t="shared" si="0"/>
        <v/>
      </c>
    </row>
    <row r="41" spans="1:25">
      <c r="A41" s="3" t="s">
        <v>144</v>
      </c>
      <c r="B41" s="1" t="s">
        <v>145</v>
      </c>
      <c r="C41" s="1" t="s">
        <v>82</v>
      </c>
      <c r="D41" s="3"/>
      <c r="Y41" s="1" t="str">
        <f t="shared" si="0"/>
        <v/>
      </c>
    </row>
    <row r="42" spans="1:25">
      <c r="A42" s="1" t="s">
        <v>146</v>
      </c>
      <c r="B42" s="1" t="s">
        <v>147</v>
      </c>
      <c r="C42" s="1" t="s">
        <v>148</v>
      </c>
      <c r="Y42" s="1" t="str">
        <f t="shared" si="0"/>
        <v/>
      </c>
    </row>
    <row r="43" spans="1:25">
      <c r="A43" s="1" t="s">
        <v>149</v>
      </c>
      <c r="B43" s="1" t="s">
        <v>150</v>
      </c>
      <c r="C43" s="1" t="s">
        <v>151</v>
      </c>
      <c r="Y43" s="1" t="str">
        <f t="shared" si="0"/>
        <v/>
      </c>
    </row>
    <row r="44" spans="1:25">
      <c r="A44" s="1" t="s">
        <v>152</v>
      </c>
      <c r="B44" s="1" t="s">
        <v>153</v>
      </c>
      <c r="C44" s="1" t="s">
        <v>154</v>
      </c>
      <c r="D44" s="3"/>
      <c r="Y44" s="1" t="str">
        <f t="shared" si="0"/>
        <v/>
      </c>
    </row>
    <row r="45" spans="1:25">
      <c r="A45" s="1" t="s">
        <v>155</v>
      </c>
      <c r="B45" s="1" t="s">
        <v>142</v>
      </c>
      <c r="C45" s="3" t="s">
        <v>156</v>
      </c>
      <c r="Y45" s="1" t="str">
        <f t="shared" si="0"/>
        <v/>
      </c>
    </row>
    <row r="46" spans="1:25">
      <c r="A46" s="1" t="s">
        <v>157</v>
      </c>
      <c r="B46" s="1" t="s">
        <v>158</v>
      </c>
      <c r="C46" s="1" t="s">
        <v>82</v>
      </c>
      <c r="D46" s="3"/>
      <c r="Y46" s="1" t="str">
        <f t="shared" si="0"/>
        <v/>
      </c>
    </row>
    <row r="47" spans="1:25">
      <c r="A47" s="1" t="s">
        <v>159</v>
      </c>
      <c r="B47" s="1" t="s">
        <v>160</v>
      </c>
      <c r="C47" s="3" t="s">
        <v>161</v>
      </c>
      <c r="Y47" s="1" t="str">
        <f t="shared" si="0"/>
        <v/>
      </c>
    </row>
    <row r="48" spans="1:25" ht="15">
      <c r="A48" t="s">
        <v>162</v>
      </c>
      <c r="B48" t="s">
        <v>163</v>
      </c>
      <c r="C48" t="s">
        <v>164</v>
      </c>
      <c r="Y48" s="1" t="str">
        <f t="shared" si="0"/>
        <v/>
      </c>
    </row>
    <row r="49" spans="1:25" ht="15">
      <c r="A49" t="s">
        <v>165</v>
      </c>
      <c r="B49" t="s">
        <v>166</v>
      </c>
      <c r="C49" t="s">
        <v>167</v>
      </c>
      <c r="Y49" s="1" t="str">
        <f t="shared" si="0"/>
        <v/>
      </c>
    </row>
    <row r="50" spans="1:25" ht="16.5">
      <c r="A50" t="s">
        <v>168</v>
      </c>
      <c r="B50" t="s">
        <v>169</v>
      </c>
      <c r="C50" s="4" t="s">
        <v>20</v>
      </c>
      <c r="Y50" s="1" t="str">
        <f t="shared" si="0"/>
        <v/>
      </c>
    </row>
    <row r="51" spans="1:25" ht="15">
      <c r="A51" t="s">
        <v>170</v>
      </c>
      <c r="B51" t="s">
        <v>171</v>
      </c>
      <c r="C51" t="s">
        <v>164</v>
      </c>
      <c r="Y51" s="1" t="str">
        <f t="shared" si="0"/>
        <v/>
      </c>
    </row>
    <row r="52" spans="1:25" ht="15">
      <c r="A52" t="s">
        <v>172</v>
      </c>
      <c r="B52" t="s">
        <v>166</v>
      </c>
      <c r="C52" t="s">
        <v>173</v>
      </c>
      <c r="Y52" s="1" t="str">
        <f t="shared" si="0"/>
        <v/>
      </c>
    </row>
    <row r="53" spans="1:25" ht="15">
      <c r="A53" t="s">
        <v>174</v>
      </c>
      <c r="B53" t="s">
        <v>171</v>
      </c>
      <c r="C53" t="s">
        <v>175</v>
      </c>
      <c r="Y53" s="1" t="str">
        <f t="shared" si="0"/>
        <v/>
      </c>
    </row>
    <row r="54" spans="1:25" ht="15">
      <c r="A54" t="s">
        <v>176</v>
      </c>
      <c r="B54" t="s">
        <v>166</v>
      </c>
      <c r="C54" t="s">
        <v>177</v>
      </c>
      <c r="Y54" s="1" t="str">
        <f t="shared" si="0"/>
        <v/>
      </c>
    </row>
    <row r="55" spans="1:25" ht="15">
      <c r="A55" t="s">
        <v>178</v>
      </c>
      <c r="B55" t="s">
        <v>179</v>
      </c>
      <c r="C55" t="s">
        <v>180</v>
      </c>
      <c r="Y55" s="1" t="str">
        <f t="shared" si="0"/>
        <v/>
      </c>
    </row>
    <row r="56" spans="1:25" ht="15">
      <c r="A56" t="s">
        <v>181</v>
      </c>
      <c r="B56" t="s">
        <v>182</v>
      </c>
      <c r="C56" t="s">
        <v>164</v>
      </c>
      <c r="Y56" s="1" t="str">
        <f t="shared" si="0"/>
        <v/>
      </c>
    </row>
    <row r="57" spans="1:25" ht="15">
      <c r="A57" t="s">
        <v>183</v>
      </c>
      <c r="B57" t="s">
        <v>166</v>
      </c>
      <c r="C57" t="s">
        <v>177</v>
      </c>
      <c r="Y57" s="1" t="str">
        <f t="shared" si="0"/>
        <v/>
      </c>
    </row>
    <row r="58" spans="1:25" ht="15">
      <c r="A58" t="s">
        <v>184</v>
      </c>
      <c r="B58" t="s">
        <v>185</v>
      </c>
      <c r="C58" t="s">
        <v>186</v>
      </c>
      <c r="Y58" s="1" t="str">
        <f t="shared" si="0"/>
        <v/>
      </c>
    </row>
    <row r="59" spans="1:25" ht="16.5">
      <c r="A59" t="s">
        <v>187</v>
      </c>
      <c r="B59" t="s">
        <v>188</v>
      </c>
      <c r="C59" s="5" t="s">
        <v>189</v>
      </c>
      <c r="Y59" s="1" t="str">
        <f t="shared" si="0"/>
        <v/>
      </c>
    </row>
    <row r="60" spans="1:25" ht="15">
      <c r="A60" t="s">
        <v>190</v>
      </c>
      <c r="B60" t="s">
        <v>191</v>
      </c>
      <c r="C60" t="s">
        <v>192</v>
      </c>
      <c r="Y60" s="1" t="str">
        <f t="shared" si="0"/>
        <v/>
      </c>
    </row>
    <row r="61" spans="1:25" ht="15">
      <c r="A61" t="s">
        <v>193</v>
      </c>
      <c r="B61" t="s">
        <v>194</v>
      </c>
      <c r="C61" t="s">
        <v>164</v>
      </c>
      <c r="Y61" s="1" t="str">
        <f t="shared" si="0"/>
        <v/>
      </c>
    </row>
    <row r="62" spans="1:25" ht="15">
      <c r="A62" t="s">
        <v>195</v>
      </c>
      <c r="B62" t="s">
        <v>196</v>
      </c>
      <c r="C62" t="s">
        <v>197</v>
      </c>
      <c r="Y62" s="1" t="str">
        <f t="shared" si="0"/>
        <v/>
      </c>
    </row>
    <row r="63" spans="1:25" ht="15">
      <c r="A63" t="s">
        <v>198</v>
      </c>
      <c r="B63" t="s">
        <v>199</v>
      </c>
      <c r="C63" t="s">
        <v>164</v>
      </c>
      <c r="Y63" s="1" t="str">
        <f t="shared" si="0"/>
        <v/>
      </c>
    </row>
    <row r="64" spans="1:25" ht="15">
      <c r="A64" t="s">
        <v>200</v>
      </c>
      <c r="B64" t="s">
        <v>201</v>
      </c>
      <c r="C64" t="s">
        <v>202</v>
      </c>
      <c r="Y64" s="1" t="str">
        <f t="shared" si="0"/>
        <v/>
      </c>
    </row>
    <row r="65" spans="1:25" ht="15">
      <c r="A65" t="s">
        <v>203</v>
      </c>
      <c r="B65" t="s">
        <v>204</v>
      </c>
      <c r="C65" t="s">
        <v>205</v>
      </c>
      <c r="Y65" s="1" t="str">
        <f t="shared" si="0"/>
        <v/>
      </c>
    </row>
    <row r="66" spans="1:25" ht="15">
      <c r="A66" t="s">
        <v>206</v>
      </c>
      <c r="B66" t="s">
        <v>207</v>
      </c>
      <c r="C66" t="s">
        <v>208</v>
      </c>
      <c r="Y66" s="1" t="str">
        <f t="shared" ref="Y66:Y129" si="1">IF(I66="Tengo un emprendimiento o quiero iniciar uno",X66,"")</f>
        <v/>
      </c>
    </row>
    <row r="67" spans="1:25" ht="15">
      <c r="A67" t="s">
        <v>209</v>
      </c>
      <c r="B67" t="s">
        <v>210</v>
      </c>
      <c r="C67" t="s">
        <v>164</v>
      </c>
      <c r="Y67" s="1" t="str">
        <f t="shared" si="1"/>
        <v/>
      </c>
    </row>
    <row r="68" spans="1:25" ht="15">
      <c r="A68" t="s">
        <v>211</v>
      </c>
      <c r="B68" t="s">
        <v>166</v>
      </c>
      <c r="C68" t="s">
        <v>177</v>
      </c>
      <c r="Y68" s="1" t="str">
        <f t="shared" si="1"/>
        <v/>
      </c>
    </row>
    <row r="69" spans="1:25" ht="15">
      <c r="A69" t="s">
        <v>212</v>
      </c>
      <c r="B69" t="s">
        <v>213</v>
      </c>
      <c r="C69" t="s">
        <v>164</v>
      </c>
      <c r="Y69" s="1" t="str">
        <f t="shared" si="1"/>
        <v/>
      </c>
    </row>
    <row r="70" spans="1:25" ht="15">
      <c r="A70" t="s">
        <v>214</v>
      </c>
      <c r="B70" t="s">
        <v>166</v>
      </c>
      <c r="C70" t="s">
        <v>177</v>
      </c>
      <c r="Y70" s="1" t="str">
        <f t="shared" si="1"/>
        <v/>
      </c>
    </row>
    <row r="71" spans="1:25" ht="15">
      <c r="A71" t="s">
        <v>215</v>
      </c>
      <c r="B71" t="s">
        <v>216</v>
      </c>
      <c r="C71" t="s">
        <v>164</v>
      </c>
      <c r="Y71" s="1" t="str">
        <f t="shared" si="1"/>
        <v/>
      </c>
    </row>
    <row r="72" spans="1:25" ht="15">
      <c r="A72" t="s">
        <v>217</v>
      </c>
      <c r="B72" t="s">
        <v>166</v>
      </c>
      <c r="C72" t="s">
        <v>177</v>
      </c>
      <c r="Y72" s="1" t="str">
        <f t="shared" si="1"/>
        <v/>
      </c>
    </row>
    <row r="73" spans="1:25" ht="15">
      <c r="A73" t="s">
        <v>218</v>
      </c>
      <c r="B73" t="s">
        <v>219</v>
      </c>
      <c r="C73" t="s">
        <v>164</v>
      </c>
      <c r="Y73" s="1" t="str">
        <f t="shared" si="1"/>
        <v/>
      </c>
    </row>
    <row r="74" spans="1:25" ht="15">
      <c r="A74" t="s">
        <v>220</v>
      </c>
      <c r="B74" t="s">
        <v>166</v>
      </c>
      <c r="C74" t="s">
        <v>177</v>
      </c>
      <c r="Y74" s="1" t="str">
        <f t="shared" si="1"/>
        <v/>
      </c>
    </row>
    <row r="75" spans="1:25" ht="15">
      <c r="A75" t="s">
        <v>221</v>
      </c>
      <c r="B75" t="s">
        <v>222</v>
      </c>
      <c r="C75" t="s">
        <v>223</v>
      </c>
      <c r="Y75" s="1" t="str">
        <f t="shared" si="1"/>
        <v/>
      </c>
    </row>
    <row r="76" spans="1:25" ht="15">
      <c r="A76" t="s">
        <v>224</v>
      </c>
      <c r="B76" t="s">
        <v>225</v>
      </c>
      <c r="C76" t="s">
        <v>226</v>
      </c>
      <c r="Y76" s="1" t="str">
        <f t="shared" si="1"/>
        <v/>
      </c>
    </row>
    <row r="77" spans="1:25" ht="15">
      <c r="A77" t="s">
        <v>227</v>
      </c>
      <c r="B77" t="s">
        <v>228</v>
      </c>
      <c r="C77" t="s">
        <v>229</v>
      </c>
      <c r="Y77" s="1" t="str">
        <f t="shared" si="1"/>
        <v/>
      </c>
    </row>
    <row r="78" spans="1:25" ht="15">
      <c r="A78" t="s">
        <v>230</v>
      </c>
      <c r="B78" t="s">
        <v>231</v>
      </c>
      <c r="C78" t="s">
        <v>232</v>
      </c>
      <c r="Y78" s="1" t="str">
        <f t="shared" si="1"/>
        <v/>
      </c>
    </row>
    <row r="79" spans="1:25" ht="15">
      <c r="A79" t="s">
        <v>233</v>
      </c>
      <c r="B79" t="s">
        <v>234</v>
      </c>
      <c r="C79" t="s">
        <v>235</v>
      </c>
      <c r="Y79" s="1" t="str">
        <f t="shared" si="1"/>
        <v/>
      </c>
    </row>
    <row r="80" spans="1:25" ht="15">
      <c r="A80" t="s">
        <v>236</v>
      </c>
      <c r="B80" t="s">
        <v>237</v>
      </c>
      <c r="C80" t="s">
        <v>238</v>
      </c>
      <c r="Y80" s="1" t="str">
        <f t="shared" si="1"/>
        <v/>
      </c>
    </row>
    <row r="81" spans="1:25" ht="15">
      <c r="A81" t="s">
        <v>239</v>
      </c>
      <c r="B81" t="s">
        <v>240</v>
      </c>
      <c r="C81" t="s">
        <v>241</v>
      </c>
      <c r="Y81" s="1" t="str">
        <f t="shared" si="1"/>
        <v/>
      </c>
    </row>
    <row r="82" spans="1:25" ht="15">
      <c r="A82" t="s">
        <v>242</v>
      </c>
      <c r="B82" t="s">
        <v>243</v>
      </c>
      <c r="C82" t="s">
        <v>244</v>
      </c>
      <c r="Y82" s="1" t="str">
        <f t="shared" si="1"/>
        <v/>
      </c>
    </row>
    <row r="83" spans="1:25" ht="15">
      <c r="A83" t="s">
        <v>245</v>
      </c>
      <c r="B83" t="s">
        <v>246</v>
      </c>
      <c r="C83" t="s">
        <v>247</v>
      </c>
      <c r="Y83" s="1" t="str">
        <f t="shared" si="1"/>
        <v/>
      </c>
    </row>
    <row r="84" spans="1:25" ht="15">
      <c r="A84" t="s">
        <v>248</v>
      </c>
      <c r="B84" t="s">
        <v>249</v>
      </c>
      <c r="C84" t="s">
        <v>244</v>
      </c>
      <c r="Y84" s="1" t="str">
        <f t="shared" si="1"/>
        <v/>
      </c>
    </row>
    <row r="85" spans="1:25" ht="15">
      <c r="A85" t="s">
        <v>250</v>
      </c>
      <c r="B85" t="s">
        <v>251</v>
      </c>
      <c r="C85" t="s">
        <v>252</v>
      </c>
      <c r="Y85" s="1" t="str">
        <f t="shared" si="1"/>
        <v/>
      </c>
    </row>
    <row r="86" spans="1:25" ht="15">
      <c r="A86" t="s">
        <v>253</v>
      </c>
      <c r="B86" t="s">
        <v>254</v>
      </c>
      <c r="C86" t="s">
        <v>255</v>
      </c>
      <c r="Y86" s="1" t="str">
        <f t="shared" si="1"/>
        <v/>
      </c>
    </row>
    <row r="87" spans="1:25" ht="15">
      <c r="A87" t="s">
        <v>256</v>
      </c>
      <c r="B87" t="s">
        <v>257</v>
      </c>
      <c r="C87" t="s">
        <v>258</v>
      </c>
      <c r="Y87" s="1" t="str">
        <f t="shared" si="1"/>
        <v/>
      </c>
    </row>
    <row r="88" spans="1:25" ht="15">
      <c r="A88" t="s">
        <v>259</v>
      </c>
      <c r="B88" t="s">
        <v>260</v>
      </c>
      <c r="C88" t="s">
        <v>261</v>
      </c>
      <c r="Y88" s="1" t="str">
        <f t="shared" si="1"/>
        <v/>
      </c>
    </row>
    <row r="89" spans="1:25" ht="15">
      <c r="A89" t="s">
        <v>262</v>
      </c>
      <c r="B89" t="s">
        <v>263</v>
      </c>
      <c r="C89" t="s">
        <v>264</v>
      </c>
      <c r="Y89" s="1" t="str">
        <f t="shared" si="1"/>
        <v/>
      </c>
    </row>
    <row r="90" spans="1:25" ht="15">
      <c r="A90" t="s">
        <v>265</v>
      </c>
      <c r="B90" t="s">
        <v>266</v>
      </c>
      <c r="C90" t="s">
        <v>267</v>
      </c>
      <c r="Y90" s="1" t="str">
        <f t="shared" si="1"/>
        <v/>
      </c>
    </row>
    <row r="91" spans="1:25" ht="12.75">
      <c r="A91" s="6" t="s">
        <v>268</v>
      </c>
      <c r="B91" s="6" t="s">
        <v>269</v>
      </c>
      <c r="C91" s="6" t="s">
        <v>270</v>
      </c>
      <c r="Y91" s="1" t="str">
        <f t="shared" si="1"/>
        <v/>
      </c>
    </row>
    <row r="92" spans="1:25" ht="15">
      <c r="A92" t="s">
        <v>271</v>
      </c>
      <c r="B92" t="s">
        <v>272</v>
      </c>
      <c r="C92" s="9" t="s">
        <v>273</v>
      </c>
      <c r="Y92" s="1" t="str">
        <f t="shared" si="1"/>
        <v/>
      </c>
    </row>
    <row r="93" spans="1:25" ht="15">
      <c r="A93" t="s">
        <v>274</v>
      </c>
      <c r="B93" t="s">
        <v>275</v>
      </c>
      <c r="C93" t="s">
        <v>276</v>
      </c>
      <c r="Y93" s="1" t="str">
        <f t="shared" si="1"/>
        <v/>
      </c>
    </row>
    <row r="94" spans="1:25" ht="15">
      <c r="A94" s="6" t="s">
        <v>277</v>
      </c>
      <c r="B94" t="s">
        <v>278</v>
      </c>
      <c r="C94" t="s">
        <v>279</v>
      </c>
      <c r="Y94" s="1" t="str">
        <f t="shared" si="1"/>
        <v/>
      </c>
    </row>
    <row r="95" spans="1:25" ht="15">
      <c r="A95" t="s">
        <v>280</v>
      </c>
      <c r="B95" t="s">
        <v>281</v>
      </c>
      <c r="C95" s="9" t="s">
        <v>282</v>
      </c>
      <c r="Y95" s="1" t="str">
        <f t="shared" si="1"/>
        <v/>
      </c>
    </row>
    <row r="96" spans="1:25" ht="15">
      <c r="A96" t="s">
        <v>283</v>
      </c>
      <c r="B96" t="s">
        <v>284</v>
      </c>
      <c r="C96" t="s">
        <v>285</v>
      </c>
      <c r="Y96" s="1" t="str">
        <f t="shared" si="1"/>
        <v/>
      </c>
    </row>
    <row r="97" spans="1:25" ht="15">
      <c r="A97" t="s">
        <v>286</v>
      </c>
      <c r="B97" t="s">
        <v>254</v>
      </c>
      <c r="C97" t="s">
        <v>276</v>
      </c>
      <c r="Y97" s="1" t="str">
        <f t="shared" si="1"/>
        <v/>
      </c>
    </row>
    <row r="98" spans="1:25" ht="12.75">
      <c r="A98" s="1" t="s">
        <v>287</v>
      </c>
      <c r="B98" s="6" t="s">
        <v>288</v>
      </c>
      <c r="C98" s="12" t="s">
        <v>289</v>
      </c>
      <c r="Y98" s="1" t="str">
        <f t="shared" si="1"/>
        <v/>
      </c>
    </row>
    <row r="99" spans="1:25" ht="15">
      <c r="A99" s="6" t="s">
        <v>290</v>
      </c>
      <c r="B99" s="6" t="s">
        <v>291</v>
      </c>
      <c r="C99" s="6" t="s">
        <v>292</v>
      </c>
      <c r="Y99" s="1" t="str">
        <f t="shared" si="1"/>
        <v/>
      </c>
    </row>
    <row r="100" spans="1:25" ht="15">
      <c r="A100" t="s">
        <v>293</v>
      </c>
      <c r="B100" t="s">
        <v>294</v>
      </c>
      <c r="C100" t="s">
        <v>295</v>
      </c>
      <c r="Y100" s="1" t="str">
        <f t="shared" si="1"/>
        <v/>
      </c>
    </row>
    <row r="101" spans="1:25" ht="15">
      <c r="A101" t="s">
        <v>296</v>
      </c>
      <c r="B101" t="s">
        <v>297</v>
      </c>
      <c r="C101" s="9" t="s">
        <v>298</v>
      </c>
      <c r="Y101" s="1" t="str">
        <f t="shared" si="1"/>
        <v/>
      </c>
    </row>
    <row r="102" spans="1:25" ht="15">
      <c r="A102" t="s">
        <v>299</v>
      </c>
      <c r="B102" t="s">
        <v>300</v>
      </c>
      <c r="C102" t="s">
        <v>301</v>
      </c>
      <c r="Y102" s="1" t="str">
        <f t="shared" si="1"/>
        <v/>
      </c>
    </row>
    <row r="103" spans="1:25" ht="15">
      <c r="A103" t="s">
        <v>302</v>
      </c>
      <c r="B103" t="s">
        <v>303</v>
      </c>
      <c r="C103" t="s">
        <v>304</v>
      </c>
      <c r="Y103" s="1" t="str">
        <f t="shared" si="1"/>
        <v/>
      </c>
    </row>
    <row r="104" spans="1:25" ht="15">
      <c r="A104" t="s">
        <v>305</v>
      </c>
      <c r="B104" t="s">
        <v>306</v>
      </c>
      <c r="C104" s="9" t="s">
        <v>244</v>
      </c>
      <c r="Y104" s="1" t="str">
        <f t="shared" si="1"/>
        <v/>
      </c>
    </row>
    <row r="105" spans="1:25" ht="15">
      <c r="A105" t="s">
        <v>307</v>
      </c>
      <c r="B105" t="s">
        <v>308</v>
      </c>
      <c r="C105" t="s">
        <v>309</v>
      </c>
      <c r="Y105" s="1" t="str">
        <f t="shared" si="1"/>
        <v/>
      </c>
    </row>
    <row r="106" spans="1:25" ht="15">
      <c r="A106" t="s">
        <v>310</v>
      </c>
      <c r="B106" t="s">
        <v>311</v>
      </c>
      <c r="C106" t="s">
        <v>244</v>
      </c>
      <c r="Y106" s="1" t="str">
        <f t="shared" si="1"/>
        <v/>
      </c>
    </row>
    <row r="107" spans="1:25" ht="15">
      <c r="A107" t="s">
        <v>312</v>
      </c>
      <c r="B107" t="s">
        <v>313</v>
      </c>
      <c r="C107" s="9" t="s">
        <v>309</v>
      </c>
      <c r="Y107" s="1" t="str">
        <f t="shared" si="1"/>
        <v/>
      </c>
    </row>
    <row r="108" spans="1:25" ht="15">
      <c r="A108" t="s">
        <v>314</v>
      </c>
      <c r="B108" t="s">
        <v>315</v>
      </c>
      <c r="C108" t="s">
        <v>316</v>
      </c>
      <c r="Y108" s="1" t="str">
        <f t="shared" si="1"/>
        <v/>
      </c>
    </row>
    <row r="109" spans="1:25" ht="15">
      <c r="A109" t="s">
        <v>317</v>
      </c>
      <c r="B109" t="s">
        <v>318</v>
      </c>
      <c r="C109" s="9" t="s">
        <v>309</v>
      </c>
      <c r="Y109" s="1" t="str">
        <f t="shared" si="1"/>
        <v/>
      </c>
    </row>
    <row r="110" spans="1:25" ht="15">
      <c r="A110" t="s">
        <v>319</v>
      </c>
      <c r="B110" t="s">
        <v>320</v>
      </c>
      <c r="C110" t="s">
        <v>321</v>
      </c>
      <c r="Y110" s="1" t="str">
        <f t="shared" si="1"/>
        <v/>
      </c>
    </row>
    <row r="111" spans="1:25" ht="15">
      <c r="A111" t="s">
        <v>322</v>
      </c>
      <c r="B111" s="6" t="s">
        <v>323</v>
      </c>
      <c r="C111" s="9" t="s">
        <v>324</v>
      </c>
      <c r="Y111" s="1" t="str">
        <f t="shared" si="1"/>
        <v/>
      </c>
    </row>
    <row r="112" spans="1:25" ht="15">
      <c r="A112" t="s">
        <v>325</v>
      </c>
      <c r="B112" t="s">
        <v>326</v>
      </c>
      <c r="C112" s="9" t="s">
        <v>327</v>
      </c>
      <c r="Y112" s="1" t="str">
        <f t="shared" si="1"/>
        <v/>
      </c>
    </row>
    <row r="113" spans="1:25" ht="15">
      <c r="A113" t="s">
        <v>328</v>
      </c>
      <c r="B113" t="s">
        <v>329</v>
      </c>
      <c r="C113" t="s">
        <v>330</v>
      </c>
      <c r="Y113" s="1" t="str">
        <f t="shared" si="1"/>
        <v/>
      </c>
    </row>
    <row r="114" spans="1:25" ht="15">
      <c r="A114" t="s">
        <v>331</v>
      </c>
      <c r="B114" t="s">
        <v>332</v>
      </c>
      <c r="C114" t="s">
        <v>333</v>
      </c>
      <c r="Y114" s="1" t="str">
        <f t="shared" si="1"/>
        <v/>
      </c>
    </row>
    <row r="115" spans="1:25" ht="15">
      <c r="A115" t="s">
        <v>334</v>
      </c>
      <c r="B115" t="s">
        <v>335</v>
      </c>
      <c r="C115" t="s">
        <v>316</v>
      </c>
      <c r="Y115" s="1" t="str">
        <f t="shared" si="1"/>
        <v/>
      </c>
    </row>
    <row r="116" spans="1:25" ht="15">
      <c r="A116" t="s">
        <v>336</v>
      </c>
      <c r="B116" t="s">
        <v>337</v>
      </c>
      <c r="C116" s="9" t="s">
        <v>338</v>
      </c>
      <c r="Y116" s="1" t="str">
        <f t="shared" si="1"/>
        <v/>
      </c>
    </row>
    <row r="117" spans="1:25" ht="15">
      <c r="A117" t="s">
        <v>339</v>
      </c>
      <c r="B117" t="s">
        <v>340</v>
      </c>
      <c r="C117" t="s">
        <v>244</v>
      </c>
      <c r="Y117" s="1" t="str">
        <f t="shared" si="1"/>
        <v/>
      </c>
    </row>
    <row r="118" spans="1:25" ht="15">
      <c r="A118" t="s">
        <v>341</v>
      </c>
      <c r="B118" t="s">
        <v>342</v>
      </c>
      <c r="C118" s="9" t="s">
        <v>343</v>
      </c>
      <c r="Y118" s="1" t="str">
        <f t="shared" si="1"/>
        <v/>
      </c>
    </row>
    <row r="119" spans="1:25" ht="15">
      <c r="A119" t="s">
        <v>344</v>
      </c>
      <c r="B119" t="s">
        <v>345</v>
      </c>
      <c r="C119" t="s">
        <v>244</v>
      </c>
      <c r="Y119" s="1" t="str">
        <f t="shared" si="1"/>
        <v/>
      </c>
    </row>
    <row r="120" spans="1:25" ht="15">
      <c r="A120" t="s">
        <v>346</v>
      </c>
      <c r="B120" t="s">
        <v>347</v>
      </c>
      <c r="C120" s="9" t="s">
        <v>338</v>
      </c>
      <c r="Y120" s="1" t="str">
        <f t="shared" si="1"/>
        <v/>
      </c>
    </row>
    <row r="121" spans="1:25" ht="15">
      <c r="A121" t="s">
        <v>348</v>
      </c>
      <c r="B121" t="s">
        <v>349</v>
      </c>
      <c r="C121" t="s">
        <v>350</v>
      </c>
      <c r="Y121" s="1" t="str">
        <f t="shared" si="1"/>
        <v/>
      </c>
    </row>
    <row r="122" spans="1:25" ht="15">
      <c r="A122" t="s">
        <v>351</v>
      </c>
      <c r="B122" t="s">
        <v>352</v>
      </c>
      <c r="C122" s="9" t="s">
        <v>353</v>
      </c>
      <c r="Y122" s="1" t="str">
        <f t="shared" si="1"/>
        <v/>
      </c>
    </row>
    <row r="123" spans="1:25" ht="15">
      <c r="A123" t="s">
        <v>354</v>
      </c>
      <c r="B123" t="s">
        <v>355</v>
      </c>
      <c r="C123" t="s">
        <v>356</v>
      </c>
      <c r="Y123" s="1" t="str">
        <f t="shared" si="1"/>
        <v/>
      </c>
    </row>
    <row r="124" spans="1:25" ht="15">
      <c r="A124" t="s">
        <v>357</v>
      </c>
      <c r="B124" t="s">
        <v>358</v>
      </c>
      <c r="C124" t="s">
        <v>338</v>
      </c>
      <c r="Y124" s="1" t="str">
        <f t="shared" si="1"/>
        <v/>
      </c>
    </row>
    <row r="125" spans="1:25" ht="15">
      <c r="A125" t="s">
        <v>359</v>
      </c>
      <c r="B125" t="s">
        <v>360</v>
      </c>
      <c r="C125" t="s">
        <v>361</v>
      </c>
      <c r="Y125" s="1" t="str">
        <f t="shared" si="1"/>
        <v/>
      </c>
    </row>
    <row r="126" spans="1:25" ht="15">
      <c r="A126" t="s">
        <v>362</v>
      </c>
      <c r="B126" t="s">
        <v>363</v>
      </c>
      <c r="C126" t="s">
        <v>364</v>
      </c>
      <c r="Y126" s="1" t="str">
        <f t="shared" si="1"/>
        <v/>
      </c>
    </row>
    <row r="127" spans="1:25" ht="15">
      <c r="A127" t="s">
        <v>365</v>
      </c>
      <c r="B127" t="s">
        <v>366</v>
      </c>
      <c r="C127" s="9" t="s">
        <v>367</v>
      </c>
      <c r="Y127" s="1" t="str">
        <f t="shared" si="1"/>
        <v/>
      </c>
    </row>
    <row r="128" spans="1:25" ht="15">
      <c r="A128" t="s">
        <v>368</v>
      </c>
      <c r="B128" t="s">
        <v>369</v>
      </c>
      <c r="C128" t="s">
        <v>370</v>
      </c>
      <c r="Y128" s="1" t="str">
        <f t="shared" si="1"/>
        <v/>
      </c>
    </row>
    <row r="129" spans="1:25" ht="15">
      <c r="A129" t="s">
        <v>371</v>
      </c>
      <c r="B129" t="s">
        <v>372</v>
      </c>
      <c r="C129" s="9" t="s">
        <v>338</v>
      </c>
      <c r="Y129" s="1" t="str">
        <f t="shared" si="1"/>
        <v/>
      </c>
    </row>
    <row r="130" spans="1:25" ht="15">
      <c r="A130" t="s">
        <v>373</v>
      </c>
      <c r="B130" t="s">
        <v>374</v>
      </c>
      <c r="C130" t="s">
        <v>375</v>
      </c>
      <c r="Y130" s="1" t="str">
        <f t="shared" ref="Y130:Y193" si="2">IF(I130="Tengo un emprendimiento o quiero iniciar uno",X130,"")</f>
        <v/>
      </c>
    </row>
    <row r="131" spans="1:25" ht="15">
      <c r="A131" t="s">
        <v>376</v>
      </c>
      <c r="B131" t="s">
        <v>377</v>
      </c>
      <c r="C131" t="s">
        <v>378</v>
      </c>
      <c r="Y131" s="1" t="str">
        <f t="shared" si="2"/>
        <v/>
      </c>
    </row>
    <row r="132" spans="1:25" ht="15">
      <c r="A132" t="s">
        <v>379</v>
      </c>
      <c r="B132" t="s">
        <v>380</v>
      </c>
      <c r="C132" s="9" t="s">
        <v>343</v>
      </c>
      <c r="Y132" s="1" t="str">
        <f t="shared" si="2"/>
        <v/>
      </c>
    </row>
    <row r="133" spans="1:25" ht="15">
      <c r="A133" t="s">
        <v>381</v>
      </c>
      <c r="B133" t="s">
        <v>382</v>
      </c>
      <c r="C133" s="9" t="s">
        <v>383</v>
      </c>
      <c r="Y133" s="1" t="str">
        <f t="shared" si="2"/>
        <v/>
      </c>
    </row>
    <row r="134" spans="1:25" ht="15">
      <c r="A134" t="s">
        <v>384</v>
      </c>
      <c r="B134" t="s">
        <v>385</v>
      </c>
      <c r="C134" s="9" t="s">
        <v>327</v>
      </c>
      <c r="Y134" s="1" t="str">
        <f t="shared" si="2"/>
        <v/>
      </c>
    </row>
    <row r="135" spans="1:25" ht="15">
      <c r="A135" t="s">
        <v>386</v>
      </c>
      <c r="B135" t="s">
        <v>387</v>
      </c>
      <c r="C135" s="9" t="s">
        <v>388</v>
      </c>
      <c r="Y135" s="1" t="str">
        <f t="shared" si="2"/>
        <v/>
      </c>
    </row>
    <row r="136" spans="1:25" ht="15">
      <c r="A136" t="s">
        <v>389</v>
      </c>
      <c r="B136" t="s">
        <v>390</v>
      </c>
      <c r="Y136" s="1" t="str">
        <f t="shared" si="2"/>
        <v/>
      </c>
    </row>
    <row r="137" spans="1:25" ht="15">
      <c r="A137" t="s">
        <v>391</v>
      </c>
      <c r="B137" t="s">
        <v>392</v>
      </c>
      <c r="C137" t="s">
        <v>324</v>
      </c>
      <c r="Y137" s="1" t="str">
        <f t="shared" si="2"/>
        <v/>
      </c>
    </row>
    <row r="138" spans="1:25" ht="15">
      <c r="A138" t="s">
        <v>393</v>
      </c>
      <c r="B138" t="s">
        <v>394</v>
      </c>
      <c r="C138" t="s">
        <v>324</v>
      </c>
      <c r="Y138" s="1" t="str">
        <f t="shared" si="2"/>
        <v/>
      </c>
    </row>
    <row r="139" spans="1:25" ht="15">
      <c r="A139" t="s">
        <v>395</v>
      </c>
      <c r="B139" t="s">
        <v>396</v>
      </c>
      <c r="C139" s="9" t="s">
        <v>324</v>
      </c>
      <c r="Y139" s="1" t="str">
        <f t="shared" si="2"/>
        <v/>
      </c>
    </row>
    <row r="140" spans="1:25" ht="15">
      <c r="A140" t="s">
        <v>397</v>
      </c>
      <c r="B140" t="s">
        <v>398</v>
      </c>
      <c r="C140" t="s">
        <v>399</v>
      </c>
      <c r="Y140" s="1" t="str">
        <f t="shared" si="2"/>
        <v/>
      </c>
    </row>
    <row r="141" spans="1:25">
      <c r="Y141" s="1" t="str">
        <f t="shared" si="2"/>
        <v/>
      </c>
    </row>
    <row r="142" spans="1:25">
      <c r="Y142" s="1" t="str">
        <f t="shared" si="2"/>
        <v/>
      </c>
    </row>
    <row r="143" spans="1:25">
      <c r="Y143" s="1" t="str">
        <f t="shared" si="2"/>
        <v/>
      </c>
    </row>
    <row r="144" spans="1:25">
      <c r="Y144" s="1" t="str">
        <f t="shared" si="2"/>
        <v/>
      </c>
    </row>
    <row r="145" spans="25:25">
      <c r="Y145" s="1" t="str">
        <f t="shared" si="2"/>
        <v/>
      </c>
    </row>
    <row r="146" spans="25:25">
      <c r="Y146" s="1" t="str">
        <f t="shared" si="2"/>
        <v/>
      </c>
    </row>
    <row r="147" spans="25:25">
      <c r="Y147" s="1" t="str">
        <f t="shared" si="2"/>
        <v/>
      </c>
    </row>
    <row r="148" spans="25:25">
      <c r="Y148" s="1" t="str">
        <f t="shared" si="2"/>
        <v/>
      </c>
    </row>
    <row r="149" spans="25:25">
      <c r="Y149" s="1" t="str">
        <f t="shared" si="2"/>
        <v/>
      </c>
    </row>
    <row r="150" spans="25:25">
      <c r="Y150" s="1" t="str">
        <f t="shared" si="2"/>
        <v/>
      </c>
    </row>
    <row r="151" spans="25:25">
      <c r="Y151" s="1" t="str">
        <f t="shared" si="2"/>
        <v/>
      </c>
    </row>
    <row r="152" spans="25:25">
      <c r="Y152" s="1" t="str">
        <f t="shared" si="2"/>
        <v/>
      </c>
    </row>
    <row r="153" spans="25:25">
      <c r="Y153" s="1" t="str">
        <f t="shared" si="2"/>
        <v/>
      </c>
    </row>
    <row r="154" spans="25:25">
      <c r="Y154" s="1" t="str">
        <f t="shared" si="2"/>
        <v/>
      </c>
    </row>
    <row r="155" spans="25:25">
      <c r="Y155" s="1" t="str">
        <f t="shared" si="2"/>
        <v/>
      </c>
    </row>
    <row r="156" spans="25:25">
      <c r="Y156" s="1" t="str">
        <f t="shared" si="2"/>
        <v/>
      </c>
    </row>
    <row r="157" spans="25:25">
      <c r="Y157" s="1" t="str">
        <f t="shared" si="2"/>
        <v/>
      </c>
    </row>
    <row r="158" spans="25:25">
      <c r="Y158" s="1" t="str">
        <f t="shared" si="2"/>
        <v/>
      </c>
    </row>
    <row r="159" spans="25:25">
      <c r="Y159" s="1" t="str">
        <f t="shared" si="2"/>
        <v/>
      </c>
    </row>
    <row r="160" spans="25:25">
      <c r="Y160" s="1" t="str">
        <f t="shared" si="2"/>
        <v/>
      </c>
    </row>
    <row r="161" spans="25:25">
      <c r="Y161" s="1" t="str">
        <f t="shared" si="2"/>
        <v/>
      </c>
    </row>
    <row r="162" spans="25:25">
      <c r="Y162" s="1" t="str">
        <f t="shared" si="2"/>
        <v/>
      </c>
    </row>
    <row r="163" spans="25:25">
      <c r="Y163" s="1" t="str">
        <f t="shared" si="2"/>
        <v/>
      </c>
    </row>
    <row r="164" spans="25:25">
      <c r="Y164" s="1" t="str">
        <f t="shared" si="2"/>
        <v/>
      </c>
    </row>
    <row r="165" spans="25:25">
      <c r="Y165" s="1" t="str">
        <f t="shared" si="2"/>
        <v/>
      </c>
    </row>
    <row r="166" spans="25:25">
      <c r="Y166" s="1" t="str">
        <f t="shared" si="2"/>
        <v/>
      </c>
    </row>
    <row r="167" spans="25:25">
      <c r="Y167" s="1" t="str">
        <f t="shared" si="2"/>
        <v/>
      </c>
    </row>
    <row r="168" spans="25:25">
      <c r="Y168" s="1" t="str">
        <f t="shared" si="2"/>
        <v/>
      </c>
    </row>
    <row r="169" spans="25:25">
      <c r="Y169" s="1" t="str">
        <f t="shared" si="2"/>
        <v/>
      </c>
    </row>
    <row r="170" spans="25:25">
      <c r="Y170" s="1" t="str">
        <f t="shared" si="2"/>
        <v/>
      </c>
    </row>
    <row r="171" spans="25:25">
      <c r="Y171" s="1" t="str">
        <f t="shared" si="2"/>
        <v/>
      </c>
    </row>
    <row r="172" spans="25:25">
      <c r="Y172" s="1" t="str">
        <f t="shared" si="2"/>
        <v/>
      </c>
    </row>
    <row r="173" spans="25:25">
      <c r="Y173" s="1" t="str">
        <f t="shared" si="2"/>
        <v/>
      </c>
    </row>
    <row r="174" spans="25:25">
      <c r="Y174" s="1" t="str">
        <f t="shared" si="2"/>
        <v/>
      </c>
    </row>
    <row r="175" spans="25:25">
      <c r="Y175" s="1" t="str">
        <f t="shared" si="2"/>
        <v/>
      </c>
    </row>
    <row r="176" spans="25:25">
      <c r="Y176" s="1" t="str">
        <f t="shared" si="2"/>
        <v/>
      </c>
    </row>
    <row r="177" spans="25:25">
      <c r="Y177" s="1" t="str">
        <f t="shared" si="2"/>
        <v/>
      </c>
    </row>
    <row r="178" spans="25:25">
      <c r="Y178" s="1" t="str">
        <f t="shared" si="2"/>
        <v/>
      </c>
    </row>
    <row r="179" spans="25:25">
      <c r="Y179" s="1" t="str">
        <f t="shared" si="2"/>
        <v/>
      </c>
    </row>
    <row r="180" spans="25:25">
      <c r="Y180" s="1" t="str">
        <f t="shared" si="2"/>
        <v/>
      </c>
    </row>
    <row r="181" spans="25:25">
      <c r="Y181" s="1" t="str">
        <f t="shared" si="2"/>
        <v/>
      </c>
    </row>
    <row r="182" spans="25:25">
      <c r="Y182" s="1" t="str">
        <f t="shared" si="2"/>
        <v/>
      </c>
    </row>
    <row r="183" spans="25:25">
      <c r="Y183" s="1" t="str">
        <f t="shared" si="2"/>
        <v/>
      </c>
    </row>
    <row r="184" spans="25:25">
      <c r="Y184" s="1" t="str">
        <f t="shared" si="2"/>
        <v/>
      </c>
    </row>
    <row r="185" spans="25:25">
      <c r="Y185" s="1" t="str">
        <f t="shared" si="2"/>
        <v/>
      </c>
    </row>
    <row r="186" spans="25:25">
      <c r="Y186" s="1" t="str">
        <f t="shared" si="2"/>
        <v/>
      </c>
    </row>
    <row r="187" spans="25:25">
      <c r="Y187" s="1" t="str">
        <f t="shared" si="2"/>
        <v/>
      </c>
    </row>
    <row r="188" spans="25:25">
      <c r="Y188" s="1" t="str">
        <f t="shared" si="2"/>
        <v/>
      </c>
    </row>
    <row r="189" spans="25:25">
      <c r="Y189" s="1" t="str">
        <f t="shared" si="2"/>
        <v/>
      </c>
    </row>
    <row r="190" spans="25:25">
      <c r="Y190" s="1" t="str">
        <f t="shared" si="2"/>
        <v/>
      </c>
    </row>
    <row r="191" spans="25:25">
      <c r="Y191" s="1" t="str">
        <f t="shared" si="2"/>
        <v/>
      </c>
    </row>
    <row r="192" spans="25:25">
      <c r="Y192" s="1" t="str">
        <f t="shared" si="2"/>
        <v/>
      </c>
    </row>
    <row r="193" spans="25:25">
      <c r="Y193" s="1" t="str">
        <f t="shared" si="2"/>
        <v/>
      </c>
    </row>
    <row r="194" spans="25:25">
      <c r="Y194" s="1" t="str">
        <f t="shared" ref="Y194:Y257" si="3">IF(I194="Tengo un emprendimiento o quiero iniciar uno",X194,"")</f>
        <v/>
      </c>
    </row>
    <row r="195" spans="25:25">
      <c r="Y195" s="1" t="str">
        <f t="shared" si="3"/>
        <v/>
      </c>
    </row>
    <row r="196" spans="25:25">
      <c r="Y196" s="1" t="str">
        <f t="shared" si="3"/>
        <v/>
      </c>
    </row>
    <row r="197" spans="25:25">
      <c r="Y197" s="1" t="str">
        <f t="shared" si="3"/>
        <v/>
      </c>
    </row>
    <row r="198" spans="25:25">
      <c r="Y198" s="1" t="str">
        <f t="shared" si="3"/>
        <v/>
      </c>
    </row>
    <row r="199" spans="25:25">
      <c r="Y199" s="1" t="str">
        <f t="shared" si="3"/>
        <v/>
      </c>
    </row>
    <row r="200" spans="25:25">
      <c r="Y200" s="1" t="str">
        <f t="shared" si="3"/>
        <v/>
      </c>
    </row>
    <row r="201" spans="25:25">
      <c r="Y201" s="1" t="str">
        <f t="shared" si="3"/>
        <v/>
      </c>
    </row>
    <row r="202" spans="25:25">
      <c r="Y202" s="1" t="str">
        <f t="shared" si="3"/>
        <v/>
      </c>
    </row>
    <row r="203" spans="25:25">
      <c r="Y203" s="1" t="str">
        <f t="shared" si="3"/>
        <v/>
      </c>
    </row>
    <row r="204" spans="25:25">
      <c r="Y204" s="1" t="str">
        <f t="shared" si="3"/>
        <v/>
      </c>
    </row>
    <row r="205" spans="25:25">
      <c r="Y205" s="1" t="str">
        <f t="shared" si="3"/>
        <v/>
      </c>
    </row>
    <row r="206" spans="25:25">
      <c r="Y206" s="1" t="str">
        <f t="shared" si="3"/>
        <v/>
      </c>
    </row>
    <row r="207" spans="25:25">
      <c r="Y207" s="1" t="str">
        <f t="shared" si="3"/>
        <v/>
      </c>
    </row>
    <row r="208" spans="25:25">
      <c r="Y208" s="1" t="str">
        <f t="shared" si="3"/>
        <v/>
      </c>
    </row>
    <row r="209" spans="25:25">
      <c r="Y209" s="1" t="str">
        <f t="shared" si="3"/>
        <v/>
      </c>
    </row>
    <row r="210" spans="25:25">
      <c r="Y210" s="1" t="str">
        <f t="shared" si="3"/>
        <v/>
      </c>
    </row>
    <row r="211" spans="25:25">
      <c r="Y211" s="1" t="str">
        <f t="shared" si="3"/>
        <v/>
      </c>
    </row>
    <row r="212" spans="25:25">
      <c r="Y212" s="1" t="str">
        <f t="shared" si="3"/>
        <v/>
      </c>
    </row>
    <row r="213" spans="25:25">
      <c r="Y213" s="1" t="str">
        <f t="shared" si="3"/>
        <v/>
      </c>
    </row>
    <row r="214" spans="25:25">
      <c r="Y214" s="1" t="str">
        <f t="shared" si="3"/>
        <v/>
      </c>
    </row>
    <row r="215" spans="25:25">
      <c r="Y215" s="1" t="str">
        <f t="shared" si="3"/>
        <v/>
      </c>
    </row>
    <row r="216" spans="25:25">
      <c r="Y216" s="1" t="str">
        <f t="shared" si="3"/>
        <v/>
      </c>
    </row>
    <row r="217" spans="25:25">
      <c r="Y217" s="1" t="str">
        <f t="shared" si="3"/>
        <v/>
      </c>
    </row>
    <row r="218" spans="25:25">
      <c r="Y218" s="1" t="str">
        <f t="shared" si="3"/>
        <v/>
      </c>
    </row>
    <row r="219" spans="25:25">
      <c r="Y219" s="1" t="str">
        <f t="shared" si="3"/>
        <v/>
      </c>
    </row>
    <row r="220" spans="25:25">
      <c r="Y220" s="1" t="str">
        <f t="shared" si="3"/>
        <v/>
      </c>
    </row>
    <row r="221" spans="25:25">
      <c r="Y221" s="1" t="str">
        <f t="shared" si="3"/>
        <v/>
      </c>
    </row>
    <row r="222" spans="25:25">
      <c r="Y222" s="1" t="str">
        <f t="shared" si="3"/>
        <v/>
      </c>
    </row>
    <row r="223" spans="25:25">
      <c r="Y223" s="1" t="str">
        <f t="shared" si="3"/>
        <v/>
      </c>
    </row>
    <row r="224" spans="25:25">
      <c r="Y224" s="1" t="str">
        <f t="shared" si="3"/>
        <v/>
      </c>
    </row>
    <row r="225" spans="25:25">
      <c r="Y225" s="1" t="str">
        <f t="shared" si="3"/>
        <v/>
      </c>
    </row>
    <row r="226" spans="25:25">
      <c r="Y226" s="1" t="str">
        <f t="shared" si="3"/>
        <v/>
      </c>
    </row>
    <row r="227" spans="25:25">
      <c r="Y227" s="1" t="str">
        <f t="shared" si="3"/>
        <v/>
      </c>
    </row>
    <row r="228" spans="25:25">
      <c r="Y228" s="1" t="str">
        <f t="shared" si="3"/>
        <v/>
      </c>
    </row>
    <row r="229" spans="25:25">
      <c r="Y229" s="1" t="str">
        <f t="shared" si="3"/>
        <v/>
      </c>
    </row>
    <row r="230" spans="25:25">
      <c r="Y230" s="1" t="str">
        <f t="shared" si="3"/>
        <v/>
      </c>
    </row>
    <row r="231" spans="25:25">
      <c r="Y231" s="1" t="str">
        <f t="shared" si="3"/>
        <v/>
      </c>
    </row>
    <row r="232" spans="25:25">
      <c r="Y232" s="1" t="str">
        <f t="shared" si="3"/>
        <v/>
      </c>
    </row>
    <row r="233" spans="25:25">
      <c r="Y233" s="1" t="str">
        <f t="shared" si="3"/>
        <v/>
      </c>
    </row>
    <row r="234" spans="25:25">
      <c r="Y234" s="1" t="str">
        <f t="shared" si="3"/>
        <v/>
      </c>
    </row>
    <row r="235" spans="25:25">
      <c r="Y235" s="1" t="str">
        <f t="shared" si="3"/>
        <v/>
      </c>
    </row>
    <row r="236" spans="25:25">
      <c r="Y236" s="1" t="str">
        <f t="shared" si="3"/>
        <v/>
      </c>
    </row>
    <row r="237" spans="25:25">
      <c r="Y237" s="1" t="str">
        <f t="shared" si="3"/>
        <v/>
      </c>
    </row>
    <row r="238" spans="25:25">
      <c r="Y238" s="1" t="str">
        <f t="shared" si="3"/>
        <v/>
      </c>
    </row>
    <row r="239" spans="25:25">
      <c r="Y239" s="1" t="str">
        <f t="shared" si="3"/>
        <v/>
      </c>
    </row>
    <row r="240" spans="25:25">
      <c r="Y240" s="1" t="str">
        <f t="shared" si="3"/>
        <v/>
      </c>
    </row>
    <row r="241" spans="25:25">
      <c r="Y241" s="1" t="str">
        <f t="shared" si="3"/>
        <v/>
      </c>
    </row>
    <row r="242" spans="25:25">
      <c r="Y242" s="1" t="str">
        <f t="shared" si="3"/>
        <v/>
      </c>
    </row>
    <row r="243" spans="25:25">
      <c r="Y243" s="1" t="str">
        <f t="shared" si="3"/>
        <v/>
      </c>
    </row>
    <row r="244" spans="25:25">
      <c r="Y244" s="1" t="str">
        <f t="shared" si="3"/>
        <v/>
      </c>
    </row>
    <row r="245" spans="25:25">
      <c r="Y245" s="1" t="str">
        <f t="shared" si="3"/>
        <v/>
      </c>
    </row>
    <row r="246" spans="25:25">
      <c r="Y246" s="1" t="str">
        <f t="shared" si="3"/>
        <v/>
      </c>
    </row>
    <row r="247" spans="25:25">
      <c r="Y247" s="1" t="str">
        <f t="shared" si="3"/>
        <v/>
      </c>
    </row>
    <row r="248" spans="25:25">
      <c r="Y248" s="1" t="str">
        <f t="shared" si="3"/>
        <v/>
      </c>
    </row>
    <row r="249" spans="25:25">
      <c r="Y249" s="1" t="str">
        <f t="shared" si="3"/>
        <v/>
      </c>
    </row>
    <row r="250" spans="25:25">
      <c r="Y250" s="1" t="str">
        <f t="shared" si="3"/>
        <v/>
      </c>
    </row>
    <row r="251" spans="25:25">
      <c r="Y251" s="1" t="str">
        <f t="shared" si="3"/>
        <v/>
      </c>
    </row>
    <row r="252" spans="25:25">
      <c r="Y252" s="1" t="str">
        <f t="shared" si="3"/>
        <v/>
      </c>
    </row>
    <row r="253" spans="25:25">
      <c r="Y253" s="1" t="str">
        <f t="shared" si="3"/>
        <v/>
      </c>
    </row>
    <row r="254" spans="25:25">
      <c r="Y254" s="1" t="str">
        <f t="shared" si="3"/>
        <v/>
      </c>
    </row>
    <row r="255" spans="25:25">
      <c r="Y255" s="1" t="str">
        <f t="shared" si="3"/>
        <v/>
      </c>
    </row>
    <row r="256" spans="25:25">
      <c r="Y256" s="1" t="str">
        <f t="shared" si="3"/>
        <v/>
      </c>
    </row>
    <row r="257" spans="25:25">
      <c r="Y257" s="1" t="str">
        <f t="shared" si="3"/>
        <v/>
      </c>
    </row>
    <row r="258" spans="25:25">
      <c r="Y258" s="1" t="str">
        <f t="shared" ref="Y258:Y321" si="4">IF(I258="Tengo un emprendimiento o quiero iniciar uno",X258,"")</f>
        <v/>
      </c>
    </row>
    <row r="259" spans="25:25">
      <c r="Y259" s="1" t="str">
        <f t="shared" si="4"/>
        <v/>
      </c>
    </row>
    <row r="260" spans="25:25">
      <c r="Y260" s="1" t="str">
        <f t="shared" si="4"/>
        <v/>
      </c>
    </row>
    <row r="261" spans="25:25">
      <c r="Y261" s="1" t="str">
        <f t="shared" si="4"/>
        <v/>
      </c>
    </row>
    <row r="262" spans="25:25">
      <c r="Y262" s="1" t="str">
        <f t="shared" si="4"/>
        <v/>
      </c>
    </row>
    <row r="263" spans="25:25">
      <c r="Y263" s="1" t="str">
        <f t="shared" si="4"/>
        <v/>
      </c>
    </row>
    <row r="264" spans="25:25">
      <c r="Y264" s="1" t="str">
        <f t="shared" si="4"/>
        <v/>
      </c>
    </row>
    <row r="265" spans="25:25">
      <c r="Y265" s="1" t="str">
        <f t="shared" si="4"/>
        <v/>
      </c>
    </row>
    <row r="266" spans="25:25">
      <c r="Y266" s="1" t="str">
        <f t="shared" si="4"/>
        <v/>
      </c>
    </row>
    <row r="267" spans="25:25">
      <c r="Y267" s="1" t="str">
        <f t="shared" si="4"/>
        <v/>
      </c>
    </row>
    <row r="268" spans="25:25">
      <c r="Y268" s="1" t="str">
        <f t="shared" si="4"/>
        <v/>
      </c>
    </row>
    <row r="269" spans="25:25">
      <c r="Y269" s="1" t="str">
        <f t="shared" si="4"/>
        <v/>
      </c>
    </row>
    <row r="270" spans="25:25">
      <c r="Y270" s="1" t="str">
        <f t="shared" si="4"/>
        <v/>
      </c>
    </row>
    <row r="271" spans="25:25">
      <c r="Y271" s="1" t="str">
        <f t="shared" si="4"/>
        <v/>
      </c>
    </row>
    <row r="272" spans="25:25">
      <c r="Y272" s="1" t="str">
        <f t="shared" si="4"/>
        <v/>
      </c>
    </row>
    <row r="273" spans="25:25">
      <c r="Y273" s="1" t="str">
        <f t="shared" si="4"/>
        <v/>
      </c>
    </row>
    <row r="274" spans="25:25">
      <c r="Y274" s="1" t="str">
        <f t="shared" si="4"/>
        <v/>
      </c>
    </row>
    <row r="275" spans="25:25">
      <c r="Y275" s="1" t="str">
        <f t="shared" si="4"/>
        <v/>
      </c>
    </row>
    <row r="276" spans="25:25">
      <c r="Y276" s="1" t="str">
        <f t="shared" si="4"/>
        <v/>
      </c>
    </row>
    <row r="277" spans="25:25">
      <c r="Y277" s="1" t="str">
        <f t="shared" si="4"/>
        <v/>
      </c>
    </row>
    <row r="278" spans="25:25">
      <c r="Y278" s="1" t="str">
        <f t="shared" si="4"/>
        <v/>
      </c>
    </row>
    <row r="279" spans="25:25">
      <c r="Y279" s="1" t="str">
        <f t="shared" si="4"/>
        <v/>
      </c>
    </row>
    <row r="280" spans="25:25">
      <c r="Y280" s="1" t="str">
        <f t="shared" si="4"/>
        <v/>
      </c>
    </row>
    <row r="281" spans="25:25">
      <c r="Y281" s="1" t="str">
        <f t="shared" si="4"/>
        <v/>
      </c>
    </row>
    <row r="282" spans="25:25">
      <c r="Y282" s="1" t="str">
        <f t="shared" si="4"/>
        <v/>
      </c>
    </row>
    <row r="283" spans="25:25">
      <c r="Y283" s="1" t="str">
        <f t="shared" si="4"/>
        <v/>
      </c>
    </row>
    <row r="284" spans="25:25">
      <c r="Y284" s="1" t="str">
        <f t="shared" si="4"/>
        <v/>
      </c>
    </row>
    <row r="285" spans="25:25">
      <c r="Y285" s="1" t="str">
        <f t="shared" si="4"/>
        <v/>
      </c>
    </row>
    <row r="286" spans="25:25">
      <c r="Y286" s="1" t="str">
        <f t="shared" si="4"/>
        <v/>
      </c>
    </row>
    <row r="287" spans="25:25">
      <c r="Y287" s="1" t="str">
        <f t="shared" si="4"/>
        <v/>
      </c>
    </row>
    <row r="288" spans="25:25">
      <c r="Y288" s="1" t="str">
        <f t="shared" si="4"/>
        <v/>
      </c>
    </row>
    <row r="289" spans="25:25">
      <c r="Y289" s="1" t="str">
        <f t="shared" si="4"/>
        <v/>
      </c>
    </row>
    <row r="290" spans="25:25">
      <c r="Y290" s="1" t="str">
        <f t="shared" si="4"/>
        <v/>
      </c>
    </row>
    <row r="291" spans="25:25">
      <c r="Y291" s="1" t="str">
        <f t="shared" si="4"/>
        <v/>
      </c>
    </row>
    <row r="292" spans="25:25">
      <c r="Y292" s="1" t="str">
        <f t="shared" si="4"/>
        <v/>
      </c>
    </row>
    <row r="293" spans="25:25">
      <c r="Y293" s="1" t="str">
        <f t="shared" si="4"/>
        <v/>
      </c>
    </row>
    <row r="294" spans="25:25">
      <c r="Y294" s="1" t="str">
        <f t="shared" si="4"/>
        <v/>
      </c>
    </row>
    <row r="295" spans="25:25">
      <c r="Y295" s="1" t="str">
        <f t="shared" si="4"/>
        <v/>
      </c>
    </row>
    <row r="296" spans="25:25">
      <c r="Y296" s="1" t="str">
        <f t="shared" si="4"/>
        <v/>
      </c>
    </row>
    <row r="297" spans="25:25">
      <c r="Y297" s="1" t="str">
        <f t="shared" si="4"/>
        <v/>
      </c>
    </row>
    <row r="298" spans="25:25">
      <c r="Y298" s="1" t="str">
        <f t="shared" si="4"/>
        <v/>
      </c>
    </row>
    <row r="299" spans="25:25">
      <c r="Y299" s="1" t="str">
        <f t="shared" si="4"/>
        <v/>
      </c>
    </row>
    <row r="300" spans="25:25">
      <c r="Y300" s="1" t="str">
        <f t="shared" si="4"/>
        <v/>
      </c>
    </row>
    <row r="301" spans="25:25">
      <c r="Y301" s="1" t="str">
        <f t="shared" si="4"/>
        <v/>
      </c>
    </row>
    <row r="302" spans="25:25">
      <c r="Y302" s="1" t="str">
        <f t="shared" si="4"/>
        <v/>
      </c>
    </row>
    <row r="303" spans="25:25">
      <c r="Y303" s="1" t="str">
        <f t="shared" si="4"/>
        <v/>
      </c>
    </row>
    <row r="304" spans="25:25">
      <c r="Y304" s="1" t="str">
        <f t="shared" si="4"/>
        <v/>
      </c>
    </row>
    <row r="305" spans="25:25">
      <c r="Y305" s="1" t="str">
        <f t="shared" si="4"/>
        <v/>
      </c>
    </row>
    <row r="306" spans="25:25">
      <c r="Y306" s="1" t="str">
        <f t="shared" si="4"/>
        <v/>
      </c>
    </row>
    <row r="307" spans="25:25">
      <c r="Y307" s="1" t="str">
        <f t="shared" si="4"/>
        <v/>
      </c>
    </row>
    <row r="308" spans="25:25">
      <c r="Y308" s="1" t="str">
        <f t="shared" si="4"/>
        <v/>
      </c>
    </row>
    <row r="309" spans="25:25">
      <c r="Y309" s="1" t="str">
        <f t="shared" si="4"/>
        <v/>
      </c>
    </row>
    <row r="310" spans="25:25">
      <c r="Y310" s="1" t="str">
        <f t="shared" si="4"/>
        <v/>
      </c>
    </row>
    <row r="311" spans="25:25">
      <c r="Y311" s="1" t="str">
        <f t="shared" si="4"/>
        <v/>
      </c>
    </row>
    <row r="312" spans="25:25">
      <c r="Y312" s="1" t="str">
        <f t="shared" si="4"/>
        <v/>
      </c>
    </row>
    <row r="313" spans="25:25">
      <c r="Y313" s="1" t="str">
        <f t="shared" si="4"/>
        <v/>
      </c>
    </row>
    <row r="314" spans="25:25">
      <c r="Y314" s="1" t="str">
        <f t="shared" si="4"/>
        <v/>
      </c>
    </row>
    <row r="315" spans="25:25">
      <c r="Y315" s="1" t="str">
        <f t="shared" si="4"/>
        <v/>
      </c>
    </row>
    <row r="316" spans="25:25">
      <c r="Y316" s="1" t="str">
        <f t="shared" si="4"/>
        <v/>
      </c>
    </row>
    <row r="317" spans="25:25">
      <c r="Y317" s="1" t="str">
        <f t="shared" si="4"/>
        <v/>
      </c>
    </row>
    <row r="318" spans="25:25">
      <c r="Y318" s="1" t="str">
        <f t="shared" si="4"/>
        <v/>
      </c>
    </row>
    <row r="319" spans="25:25">
      <c r="Y319" s="1" t="str">
        <f t="shared" si="4"/>
        <v/>
      </c>
    </row>
    <row r="320" spans="25:25">
      <c r="Y320" s="1" t="str">
        <f t="shared" si="4"/>
        <v/>
      </c>
    </row>
    <row r="321" spans="25:25">
      <c r="Y321" s="1" t="str">
        <f t="shared" si="4"/>
        <v/>
      </c>
    </row>
    <row r="322" spans="25:25">
      <c r="Y322" s="1" t="str">
        <f t="shared" ref="Y322:Y385" si="5">IF(I322="Tengo un emprendimiento o quiero iniciar uno",X322,"")</f>
        <v/>
      </c>
    </row>
    <row r="323" spans="25:25">
      <c r="Y323" s="1" t="str">
        <f t="shared" si="5"/>
        <v/>
      </c>
    </row>
    <row r="324" spans="25:25">
      <c r="Y324" s="1" t="str">
        <f t="shared" si="5"/>
        <v/>
      </c>
    </row>
    <row r="325" spans="25:25">
      <c r="Y325" s="1" t="str">
        <f t="shared" si="5"/>
        <v/>
      </c>
    </row>
    <row r="326" spans="25:25">
      <c r="Y326" s="1" t="str">
        <f t="shared" si="5"/>
        <v/>
      </c>
    </row>
    <row r="327" spans="25:25">
      <c r="Y327" s="1" t="str">
        <f t="shared" si="5"/>
        <v/>
      </c>
    </row>
    <row r="328" spans="25:25">
      <c r="Y328" s="1" t="str">
        <f t="shared" si="5"/>
        <v/>
      </c>
    </row>
    <row r="329" spans="25:25">
      <c r="Y329" s="1" t="str">
        <f t="shared" si="5"/>
        <v/>
      </c>
    </row>
    <row r="330" spans="25:25">
      <c r="Y330" s="1" t="str">
        <f t="shared" si="5"/>
        <v/>
      </c>
    </row>
    <row r="331" spans="25:25">
      <c r="Y331" s="1" t="str">
        <f t="shared" si="5"/>
        <v/>
      </c>
    </row>
    <row r="332" spans="25:25">
      <c r="Y332" s="1" t="str">
        <f t="shared" si="5"/>
        <v/>
      </c>
    </row>
    <row r="333" spans="25:25">
      <c r="Y333" s="1" t="str">
        <f t="shared" si="5"/>
        <v/>
      </c>
    </row>
    <row r="334" spans="25:25">
      <c r="Y334" s="1" t="str">
        <f t="shared" si="5"/>
        <v/>
      </c>
    </row>
    <row r="335" spans="25:25">
      <c r="Y335" s="1" t="str">
        <f t="shared" si="5"/>
        <v/>
      </c>
    </row>
    <row r="336" spans="25:25">
      <c r="Y336" s="1" t="str">
        <f t="shared" si="5"/>
        <v/>
      </c>
    </row>
    <row r="337" spans="25:25">
      <c r="Y337" s="1" t="str">
        <f t="shared" si="5"/>
        <v/>
      </c>
    </row>
    <row r="338" spans="25:25">
      <c r="Y338" s="1" t="str">
        <f t="shared" si="5"/>
        <v/>
      </c>
    </row>
    <row r="339" spans="25:25">
      <c r="Y339" s="1" t="str">
        <f t="shared" si="5"/>
        <v/>
      </c>
    </row>
    <row r="340" spans="25:25">
      <c r="Y340" s="1" t="str">
        <f t="shared" si="5"/>
        <v/>
      </c>
    </row>
    <row r="341" spans="25:25">
      <c r="Y341" s="1" t="str">
        <f t="shared" si="5"/>
        <v/>
      </c>
    </row>
    <row r="342" spans="25:25">
      <c r="Y342" s="1" t="str">
        <f t="shared" si="5"/>
        <v/>
      </c>
    </row>
    <row r="343" spans="25:25">
      <c r="Y343" s="1" t="str">
        <f t="shared" si="5"/>
        <v/>
      </c>
    </row>
    <row r="344" spans="25:25">
      <c r="Y344" s="1" t="str">
        <f t="shared" si="5"/>
        <v/>
      </c>
    </row>
    <row r="345" spans="25:25">
      <c r="Y345" s="1" t="str">
        <f t="shared" si="5"/>
        <v/>
      </c>
    </row>
    <row r="346" spans="25:25">
      <c r="Y346" s="1" t="str">
        <f t="shared" si="5"/>
        <v/>
      </c>
    </row>
    <row r="347" spans="25:25">
      <c r="Y347" s="1" t="str">
        <f t="shared" si="5"/>
        <v/>
      </c>
    </row>
    <row r="348" spans="25:25">
      <c r="Y348" s="1" t="str">
        <f t="shared" si="5"/>
        <v/>
      </c>
    </row>
    <row r="349" spans="25:25">
      <c r="Y349" s="1" t="str">
        <f t="shared" si="5"/>
        <v/>
      </c>
    </row>
    <row r="350" spans="25:25">
      <c r="Y350" s="1" t="str">
        <f t="shared" si="5"/>
        <v/>
      </c>
    </row>
    <row r="351" spans="25:25">
      <c r="Y351" s="1" t="str">
        <f t="shared" si="5"/>
        <v/>
      </c>
    </row>
    <row r="352" spans="25:25">
      <c r="Y352" s="1" t="str">
        <f t="shared" si="5"/>
        <v/>
      </c>
    </row>
    <row r="353" spans="25:25">
      <c r="Y353" s="1" t="str">
        <f t="shared" si="5"/>
        <v/>
      </c>
    </row>
    <row r="354" spans="25:25">
      <c r="Y354" s="1" t="str">
        <f t="shared" si="5"/>
        <v/>
      </c>
    </row>
    <row r="355" spans="25:25">
      <c r="Y355" s="1" t="str">
        <f t="shared" si="5"/>
        <v/>
      </c>
    </row>
    <row r="356" spans="25:25">
      <c r="Y356" s="1" t="str">
        <f t="shared" si="5"/>
        <v/>
      </c>
    </row>
    <row r="357" spans="25:25">
      <c r="Y357" s="1" t="str">
        <f t="shared" si="5"/>
        <v/>
      </c>
    </row>
    <row r="358" spans="25:25">
      <c r="Y358" s="1" t="str">
        <f t="shared" si="5"/>
        <v/>
      </c>
    </row>
    <row r="359" spans="25:25">
      <c r="Y359" s="1" t="str">
        <f t="shared" si="5"/>
        <v/>
      </c>
    </row>
    <row r="360" spans="25:25">
      <c r="Y360" s="1" t="str">
        <f t="shared" si="5"/>
        <v/>
      </c>
    </row>
    <row r="361" spans="25:25">
      <c r="Y361" s="1" t="str">
        <f t="shared" si="5"/>
        <v/>
      </c>
    </row>
    <row r="362" spans="25:25">
      <c r="Y362" s="1" t="str">
        <f t="shared" si="5"/>
        <v/>
      </c>
    </row>
    <row r="363" spans="25:25">
      <c r="Y363" s="1" t="str">
        <f t="shared" si="5"/>
        <v/>
      </c>
    </row>
    <row r="364" spans="25:25">
      <c r="Y364" s="1" t="str">
        <f t="shared" si="5"/>
        <v/>
      </c>
    </row>
    <row r="365" spans="25:25">
      <c r="Y365" s="1" t="str">
        <f t="shared" si="5"/>
        <v/>
      </c>
    </row>
    <row r="366" spans="25:25">
      <c r="Y366" s="1" t="str">
        <f t="shared" si="5"/>
        <v/>
      </c>
    </row>
    <row r="367" spans="25:25">
      <c r="Y367" s="1" t="str">
        <f t="shared" si="5"/>
        <v/>
      </c>
    </row>
    <row r="368" spans="25:25">
      <c r="Y368" s="1" t="str">
        <f t="shared" si="5"/>
        <v/>
      </c>
    </row>
    <row r="369" spans="25:25">
      <c r="Y369" s="1" t="str">
        <f t="shared" si="5"/>
        <v/>
      </c>
    </row>
    <row r="370" spans="25:25">
      <c r="Y370" s="1" t="str">
        <f t="shared" si="5"/>
        <v/>
      </c>
    </row>
    <row r="371" spans="25:25">
      <c r="Y371" s="1" t="str">
        <f t="shared" si="5"/>
        <v/>
      </c>
    </row>
    <row r="372" spans="25:25">
      <c r="Y372" s="1" t="str">
        <f t="shared" si="5"/>
        <v/>
      </c>
    </row>
    <row r="373" spans="25:25">
      <c r="Y373" s="1" t="str">
        <f t="shared" si="5"/>
        <v/>
      </c>
    </row>
    <row r="374" spans="25:25">
      <c r="Y374" s="1" t="str">
        <f t="shared" si="5"/>
        <v/>
      </c>
    </row>
    <row r="375" spans="25:25">
      <c r="Y375" s="1" t="str">
        <f t="shared" si="5"/>
        <v/>
      </c>
    </row>
    <row r="376" spans="25:25">
      <c r="Y376" s="1" t="str">
        <f t="shared" si="5"/>
        <v/>
      </c>
    </row>
    <row r="377" spans="25:25">
      <c r="Y377" s="1" t="str">
        <f t="shared" si="5"/>
        <v/>
      </c>
    </row>
    <row r="378" spans="25:25">
      <c r="Y378" s="1" t="str">
        <f t="shared" si="5"/>
        <v/>
      </c>
    </row>
    <row r="379" spans="25:25">
      <c r="Y379" s="1" t="str">
        <f t="shared" si="5"/>
        <v/>
      </c>
    </row>
    <row r="380" spans="25:25">
      <c r="Y380" s="1" t="str">
        <f t="shared" si="5"/>
        <v/>
      </c>
    </row>
    <row r="381" spans="25:25">
      <c r="Y381" s="1" t="str">
        <f t="shared" si="5"/>
        <v/>
      </c>
    </row>
    <row r="382" spans="25:25">
      <c r="Y382" s="1" t="str">
        <f t="shared" si="5"/>
        <v/>
      </c>
    </row>
    <row r="383" spans="25:25">
      <c r="Y383" s="1" t="str">
        <f t="shared" si="5"/>
        <v/>
      </c>
    </row>
    <row r="384" spans="25:25">
      <c r="Y384" s="1" t="str">
        <f t="shared" si="5"/>
        <v/>
      </c>
    </row>
    <row r="385" spans="25:25">
      <c r="Y385" s="1" t="str">
        <f t="shared" si="5"/>
        <v/>
      </c>
    </row>
    <row r="386" spans="25:25">
      <c r="Y386" s="1" t="str">
        <f t="shared" ref="Y386:Y449" si="6">IF(I386="Tengo un emprendimiento o quiero iniciar uno",X386,"")</f>
        <v/>
      </c>
    </row>
    <row r="387" spans="25:25">
      <c r="Y387" s="1" t="str">
        <f t="shared" si="6"/>
        <v/>
      </c>
    </row>
    <row r="388" spans="25:25">
      <c r="Y388" s="1" t="str">
        <f t="shared" si="6"/>
        <v/>
      </c>
    </row>
    <row r="389" spans="25:25">
      <c r="Y389" s="1" t="str">
        <f t="shared" si="6"/>
        <v/>
      </c>
    </row>
    <row r="390" spans="25:25">
      <c r="Y390" s="1" t="str">
        <f t="shared" si="6"/>
        <v/>
      </c>
    </row>
    <row r="391" spans="25:25">
      <c r="Y391" s="1" t="str">
        <f t="shared" si="6"/>
        <v/>
      </c>
    </row>
    <row r="392" spans="25:25">
      <c r="Y392" s="1" t="str">
        <f t="shared" si="6"/>
        <v/>
      </c>
    </row>
    <row r="393" spans="25:25">
      <c r="Y393" s="1" t="str">
        <f t="shared" si="6"/>
        <v/>
      </c>
    </row>
    <row r="394" spans="25:25">
      <c r="Y394" s="1" t="str">
        <f t="shared" si="6"/>
        <v/>
      </c>
    </row>
    <row r="395" spans="25:25">
      <c r="Y395" s="1" t="str">
        <f t="shared" si="6"/>
        <v/>
      </c>
    </row>
    <row r="396" spans="25:25">
      <c r="Y396" s="1" t="str">
        <f t="shared" si="6"/>
        <v/>
      </c>
    </row>
    <row r="397" spans="25:25">
      <c r="Y397" s="1" t="str">
        <f t="shared" si="6"/>
        <v/>
      </c>
    </row>
    <row r="398" spans="25:25">
      <c r="Y398" s="1" t="str">
        <f t="shared" si="6"/>
        <v/>
      </c>
    </row>
    <row r="399" spans="25:25">
      <c r="Y399" s="1" t="str">
        <f t="shared" si="6"/>
        <v/>
      </c>
    </row>
    <row r="400" spans="25:25">
      <c r="Y400" s="1" t="str">
        <f t="shared" si="6"/>
        <v/>
      </c>
    </row>
    <row r="401" spans="25:25">
      <c r="Y401" s="1" t="str">
        <f t="shared" si="6"/>
        <v/>
      </c>
    </row>
    <row r="402" spans="25:25">
      <c r="Y402" s="1" t="str">
        <f t="shared" si="6"/>
        <v/>
      </c>
    </row>
    <row r="403" spans="25:25">
      <c r="Y403" s="1" t="str">
        <f t="shared" si="6"/>
        <v/>
      </c>
    </row>
    <row r="404" spans="25:25">
      <c r="Y404" s="1" t="str">
        <f t="shared" si="6"/>
        <v/>
      </c>
    </row>
    <row r="405" spans="25:25">
      <c r="Y405" s="1" t="str">
        <f t="shared" si="6"/>
        <v/>
      </c>
    </row>
    <row r="406" spans="25:25">
      <c r="Y406" s="1" t="str">
        <f t="shared" si="6"/>
        <v/>
      </c>
    </row>
    <row r="407" spans="25:25">
      <c r="Y407" s="1" t="str">
        <f t="shared" si="6"/>
        <v/>
      </c>
    </row>
    <row r="408" spans="25:25">
      <c r="Y408" s="1" t="str">
        <f t="shared" si="6"/>
        <v/>
      </c>
    </row>
    <row r="409" spans="25:25">
      <c r="Y409" s="1" t="str">
        <f t="shared" si="6"/>
        <v/>
      </c>
    </row>
    <row r="410" spans="25:25">
      <c r="Y410" s="1" t="str">
        <f t="shared" si="6"/>
        <v/>
      </c>
    </row>
    <row r="411" spans="25:25">
      <c r="Y411" s="1" t="str">
        <f t="shared" si="6"/>
        <v/>
      </c>
    </row>
    <row r="412" spans="25:25">
      <c r="Y412" s="1" t="str">
        <f t="shared" si="6"/>
        <v/>
      </c>
    </row>
    <row r="413" spans="25:25">
      <c r="Y413" s="1" t="str">
        <f t="shared" si="6"/>
        <v/>
      </c>
    </row>
    <row r="414" spans="25:25">
      <c r="Y414" s="1" t="str">
        <f t="shared" si="6"/>
        <v/>
      </c>
    </row>
    <row r="415" spans="25:25">
      <c r="Y415" s="1" t="str">
        <f t="shared" si="6"/>
        <v/>
      </c>
    </row>
    <row r="416" spans="25:25">
      <c r="Y416" s="1" t="str">
        <f t="shared" si="6"/>
        <v/>
      </c>
    </row>
    <row r="417" spans="25:25">
      <c r="Y417" s="1" t="str">
        <f t="shared" si="6"/>
        <v/>
      </c>
    </row>
    <row r="418" spans="25:25">
      <c r="Y418" s="1" t="str">
        <f t="shared" si="6"/>
        <v/>
      </c>
    </row>
    <row r="419" spans="25:25">
      <c r="Y419" s="1" t="str">
        <f t="shared" si="6"/>
        <v/>
      </c>
    </row>
    <row r="420" spans="25:25">
      <c r="Y420" s="1" t="str">
        <f t="shared" si="6"/>
        <v/>
      </c>
    </row>
    <row r="421" spans="25:25">
      <c r="Y421" s="1" t="str">
        <f t="shared" si="6"/>
        <v/>
      </c>
    </row>
    <row r="422" spans="25:25">
      <c r="Y422" s="1" t="str">
        <f t="shared" si="6"/>
        <v/>
      </c>
    </row>
    <row r="423" spans="25:25">
      <c r="Y423" s="1" t="str">
        <f t="shared" si="6"/>
        <v/>
      </c>
    </row>
    <row r="424" spans="25:25">
      <c r="Y424" s="1" t="str">
        <f t="shared" si="6"/>
        <v/>
      </c>
    </row>
    <row r="425" spans="25:25">
      <c r="Y425" s="1" t="str">
        <f t="shared" si="6"/>
        <v/>
      </c>
    </row>
    <row r="426" spans="25:25">
      <c r="Y426" s="1" t="str">
        <f t="shared" si="6"/>
        <v/>
      </c>
    </row>
    <row r="427" spans="25:25">
      <c r="Y427" s="1" t="str">
        <f t="shared" si="6"/>
        <v/>
      </c>
    </row>
    <row r="428" spans="25:25">
      <c r="Y428" s="1" t="str">
        <f t="shared" si="6"/>
        <v/>
      </c>
    </row>
    <row r="429" spans="25:25">
      <c r="Y429" s="1" t="str">
        <f t="shared" si="6"/>
        <v/>
      </c>
    </row>
    <row r="430" spans="25:25">
      <c r="Y430" s="1" t="str">
        <f t="shared" si="6"/>
        <v/>
      </c>
    </row>
    <row r="431" spans="25:25">
      <c r="Y431" s="1" t="str">
        <f t="shared" si="6"/>
        <v/>
      </c>
    </row>
    <row r="432" spans="25:25">
      <c r="Y432" s="1" t="str">
        <f t="shared" si="6"/>
        <v/>
      </c>
    </row>
    <row r="433" spans="25:25">
      <c r="Y433" s="1" t="str">
        <f t="shared" si="6"/>
        <v/>
      </c>
    </row>
    <row r="434" spans="25:25">
      <c r="Y434" s="1" t="str">
        <f t="shared" si="6"/>
        <v/>
      </c>
    </row>
    <row r="435" spans="25:25">
      <c r="Y435" s="1" t="str">
        <f t="shared" si="6"/>
        <v/>
      </c>
    </row>
    <row r="436" spans="25:25">
      <c r="Y436" s="1" t="str">
        <f t="shared" si="6"/>
        <v/>
      </c>
    </row>
    <row r="437" spans="25:25">
      <c r="Y437" s="1" t="str">
        <f t="shared" si="6"/>
        <v/>
      </c>
    </row>
    <row r="438" spans="25:25">
      <c r="Y438" s="1" t="str">
        <f t="shared" si="6"/>
        <v/>
      </c>
    </row>
    <row r="439" spans="25:25">
      <c r="Y439" s="1" t="str">
        <f t="shared" si="6"/>
        <v/>
      </c>
    </row>
    <row r="440" spans="25:25">
      <c r="Y440" s="1" t="str">
        <f t="shared" si="6"/>
        <v/>
      </c>
    </row>
    <row r="441" spans="25:25">
      <c r="Y441" s="1" t="str">
        <f t="shared" si="6"/>
        <v/>
      </c>
    </row>
    <row r="442" spans="25:25">
      <c r="Y442" s="1" t="str">
        <f t="shared" si="6"/>
        <v/>
      </c>
    </row>
    <row r="443" spans="25:25">
      <c r="Y443" s="1" t="str">
        <f t="shared" si="6"/>
        <v/>
      </c>
    </row>
    <row r="444" spans="25:25">
      <c r="Y444" s="1" t="str">
        <f t="shared" si="6"/>
        <v/>
      </c>
    </row>
    <row r="445" spans="25:25">
      <c r="Y445" s="1" t="str">
        <f t="shared" si="6"/>
        <v/>
      </c>
    </row>
    <row r="446" spans="25:25">
      <c r="Y446" s="1" t="str">
        <f t="shared" si="6"/>
        <v/>
      </c>
    </row>
    <row r="447" spans="25:25">
      <c r="Y447" s="1" t="str">
        <f t="shared" si="6"/>
        <v/>
      </c>
    </row>
    <row r="448" spans="25:25">
      <c r="Y448" s="1" t="str">
        <f t="shared" si="6"/>
        <v/>
      </c>
    </row>
    <row r="449" spans="25:25">
      <c r="Y449" s="1" t="str">
        <f t="shared" si="6"/>
        <v/>
      </c>
    </row>
    <row r="450" spans="25:25">
      <c r="Y450" s="1" t="str">
        <f t="shared" ref="Y450:Y480" si="7">IF(I450="Tengo un emprendimiento o quiero iniciar uno",X450,"")</f>
        <v/>
      </c>
    </row>
    <row r="451" spans="25:25">
      <c r="Y451" s="1" t="str">
        <f t="shared" si="7"/>
        <v/>
      </c>
    </row>
    <row r="452" spans="25:25">
      <c r="Y452" s="1" t="str">
        <f t="shared" si="7"/>
        <v/>
      </c>
    </row>
    <row r="453" spans="25:25">
      <c r="Y453" s="1" t="str">
        <f t="shared" si="7"/>
        <v/>
      </c>
    </row>
    <row r="454" spans="25:25">
      <c r="Y454" s="1" t="str">
        <f t="shared" si="7"/>
        <v/>
      </c>
    </row>
    <row r="455" spans="25:25">
      <c r="Y455" s="1" t="str">
        <f t="shared" si="7"/>
        <v/>
      </c>
    </row>
    <row r="456" spans="25:25">
      <c r="Y456" s="1" t="str">
        <f t="shared" si="7"/>
        <v/>
      </c>
    </row>
    <row r="457" spans="25:25">
      <c r="Y457" s="1" t="str">
        <f t="shared" si="7"/>
        <v/>
      </c>
    </row>
    <row r="458" spans="25:25">
      <c r="Y458" s="1" t="str">
        <f t="shared" si="7"/>
        <v/>
      </c>
    </row>
    <row r="459" spans="25:25">
      <c r="Y459" s="1" t="str">
        <f t="shared" si="7"/>
        <v/>
      </c>
    </row>
    <row r="460" spans="25:25">
      <c r="Y460" s="1" t="str">
        <f t="shared" si="7"/>
        <v/>
      </c>
    </row>
    <row r="461" spans="25:25">
      <c r="Y461" s="1" t="str">
        <f t="shared" si="7"/>
        <v/>
      </c>
    </row>
    <row r="462" spans="25:25">
      <c r="Y462" s="1" t="str">
        <f t="shared" si="7"/>
        <v/>
      </c>
    </row>
    <row r="463" spans="25:25">
      <c r="Y463" s="1" t="str">
        <f t="shared" si="7"/>
        <v/>
      </c>
    </row>
    <row r="464" spans="25:25">
      <c r="Y464" s="1" t="str">
        <f t="shared" si="7"/>
        <v/>
      </c>
    </row>
    <row r="465" spans="25:25">
      <c r="Y465" s="1" t="str">
        <f t="shared" si="7"/>
        <v/>
      </c>
    </row>
    <row r="466" spans="25:25">
      <c r="Y466" s="1" t="str">
        <f t="shared" si="7"/>
        <v/>
      </c>
    </row>
    <row r="467" spans="25:25">
      <c r="Y467" s="1" t="str">
        <f t="shared" si="7"/>
        <v/>
      </c>
    </row>
    <row r="468" spans="25:25">
      <c r="Y468" s="1" t="str">
        <f t="shared" si="7"/>
        <v/>
      </c>
    </row>
    <row r="469" spans="25:25">
      <c r="Y469" s="1" t="str">
        <f t="shared" si="7"/>
        <v/>
      </c>
    </row>
    <row r="470" spans="25:25">
      <c r="Y470" s="1" t="str">
        <f t="shared" si="7"/>
        <v/>
      </c>
    </row>
    <row r="471" spans="25:25">
      <c r="Y471" s="1" t="str">
        <f t="shared" si="7"/>
        <v/>
      </c>
    </row>
    <row r="472" spans="25:25">
      <c r="Y472" s="1" t="str">
        <f t="shared" si="7"/>
        <v/>
      </c>
    </row>
    <row r="473" spans="25:25">
      <c r="Y473" s="1" t="str">
        <f t="shared" si="7"/>
        <v/>
      </c>
    </row>
    <row r="474" spans="25:25">
      <c r="Y474" s="1" t="str">
        <f t="shared" si="7"/>
        <v/>
      </c>
    </row>
    <row r="475" spans="25:25">
      <c r="Y475" s="1" t="str">
        <f t="shared" si="7"/>
        <v/>
      </c>
    </row>
    <row r="476" spans="25:25">
      <c r="Y476" s="1" t="str">
        <f t="shared" si="7"/>
        <v/>
      </c>
    </row>
    <row r="477" spans="25:25">
      <c r="Y477" s="1" t="str">
        <f t="shared" si="7"/>
        <v/>
      </c>
    </row>
    <row r="478" spans="25:25">
      <c r="Y478" s="1" t="str">
        <f t="shared" si="7"/>
        <v/>
      </c>
    </row>
    <row r="479" spans="25:25">
      <c r="Y479" s="1" t="str">
        <f t="shared" si="7"/>
        <v/>
      </c>
    </row>
    <row r="480" spans="25:25">
      <c r="Y480" s="1" t="str">
        <f t="shared" si="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B962-F861-4CBA-B414-E7D111CF0A04}">
  <dimension ref="A1:C14"/>
  <sheetViews>
    <sheetView topLeftCell="C1" workbookViewId="0">
      <selection activeCell="C7" sqref="C7"/>
    </sheetView>
  </sheetViews>
  <sheetFormatPr baseColWidth="10" defaultColWidth="11.42578125" defaultRowHeight="15"/>
  <cols>
    <col min="1" max="1" width="45.5703125" bestFit="1" customWidth="1"/>
    <col min="2" max="2" width="89.85546875" bestFit="1" customWidth="1"/>
    <col min="3" max="3" width="99.140625" bestFit="1" customWidth="1"/>
  </cols>
  <sheetData>
    <row r="1" spans="1:3">
      <c r="A1" t="s">
        <v>400</v>
      </c>
      <c r="B1" t="s">
        <v>401</v>
      </c>
      <c r="C1" s="8" t="s">
        <v>402</v>
      </c>
    </row>
    <row r="2" spans="1:3">
      <c r="A2" t="s">
        <v>403</v>
      </c>
      <c r="B2" t="s">
        <v>404</v>
      </c>
      <c r="C2" t="s">
        <v>405</v>
      </c>
    </row>
    <row r="3" spans="1:3">
      <c r="A3" t="s">
        <v>406</v>
      </c>
      <c r="B3" t="s">
        <v>404</v>
      </c>
      <c r="C3" t="s">
        <v>405</v>
      </c>
    </row>
    <row r="4" spans="1:3">
      <c r="A4" t="s">
        <v>42</v>
      </c>
      <c r="B4" t="s">
        <v>407</v>
      </c>
      <c r="C4" s="9" t="s">
        <v>408</v>
      </c>
    </row>
    <row r="5" spans="1:3">
      <c r="A5" t="s">
        <v>40</v>
      </c>
      <c r="B5" t="s">
        <v>407</v>
      </c>
      <c r="C5" t="s">
        <v>408</v>
      </c>
    </row>
    <row r="6" spans="1:3">
      <c r="A6" t="s">
        <v>409</v>
      </c>
      <c r="B6" t="s">
        <v>410</v>
      </c>
      <c r="C6" t="s">
        <v>411</v>
      </c>
    </row>
    <row r="7" spans="1:3">
      <c r="A7" t="s">
        <v>412</v>
      </c>
      <c r="B7" t="s">
        <v>413</v>
      </c>
      <c r="C7" t="s">
        <v>414</v>
      </c>
    </row>
    <row r="11" spans="1:3">
      <c r="C11" s="9"/>
    </row>
    <row r="13" spans="1:3">
      <c r="B13" s="9"/>
    </row>
    <row r="14" spans="1:3">
      <c r="A1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D62B-F3F1-4F58-AD89-85990AAB606A}">
  <dimension ref="A3:F98"/>
  <sheetViews>
    <sheetView topLeftCell="B15" workbookViewId="0">
      <selection activeCell="E26" sqref="E26"/>
    </sheetView>
  </sheetViews>
  <sheetFormatPr baseColWidth="10" defaultColWidth="11.42578125" defaultRowHeight="15"/>
  <cols>
    <col min="1" max="1" width="27.140625" bestFit="1" customWidth="1"/>
    <col min="2" max="2" width="25.42578125" bestFit="1" customWidth="1"/>
    <col min="3" max="3" width="21.85546875" bestFit="1" customWidth="1"/>
    <col min="5" max="5" width="22.7109375" bestFit="1" customWidth="1"/>
  </cols>
  <sheetData>
    <row r="3" spans="1:3">
      <c r="A3" s="14" t="s">
        <v>415</v>
      </c>
      <c r="B3" t="s">
        <v>416</v>
      </c>
      <c r="C3" t="s">
        <v>417</v>
      </c>
    </row>
    <row r="4" spans="1:3">
      <c r="A4" s="15" t="s">
        <v>57</v>
      </c>
      <c r="B4" s="16">
        <v>0.22964509394572025</v>
      </c>
      <c r="C4">
        <v>110</v>
      </c>
    </row>
    <row r="5" spans="1:3">
      <c r="A5" s="15" t="s">
        <v>418</v>
      </c>
      <c r="B5" s="16">
        <v>0.53444676409185798</v>
      </c>
      <c r="C5">
        <v>256</v>
      </c>
    </row>
    <row r="6" spans="1:3">
      <c r="A6" s="15" t="s">
        <v>419</v>
      </c>
      <c r="B6" s="16">
        <v>0.23590814196242171</v>
      </c>
      <c r="C6">
        <v>113</v>
      </c>
    </row>
    <row r="7" spans="1:3">
      <c r="A7" s="15" t="s">
        <v>420</v>
      </c>
      <c r="B7" s="16">
        <v>1</v>
      </c>
      <c r="C7">
        <v>479</v>
      </c>
    </row>
    <row r="20" spans="5:6">
      <c r="E20" t="s">
        <v>421</v>
      </c>
      <c r="F20" t="s">
        <v>422</v>
      </c>
    </row>
    <row r="21" spans="5:6">
      <c r="E21" t="s">
        <v>423</v>
      </c>
      <c r="F21">
        <f>C4</f>
        <v>110</v>
      </c>
    </row>
    <row r="22" spans="5:6">
      <c r="E22" s="6" t="str">
        <f>A5</f>
        <v>Urbana Consolidada</v>
      </c>
      <c r="F22">
        <f>C5</f>
        <v>256</v>
      </c>
    </row>
    <row r="23" spans="5:6">
      <c r="E23" t="s">
        <v>424</v>
      </c>
      <c r="F23">
        <f>C6</f>
        <v>113</v>
      </c>
    </row>
    <row r="98" spans="3:3" ht="15.75">
      <c r="C98" s="1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1614-8626-4067-BF16-062B6B0E5D2E}">
  <dimension ref="A1:AK501"/>
  <sheetViews>
    <sheetView zoomScale="123" workbookViewId="0">
      <selection activeCell="A5" sqref="A5"/>
    </sheetView>
  </sheetViews>
  <sheetFormatPr baseColWidth="10" defaultColWidth="11.42578125" defaultRowHeight="15"/>
  <cols>
    <col min="1" max="1" width="45.5703125" bestFit="1" customWidth="1"/>
    <col min="2" max="2" width="27.140625" bestFit="1" customWidth="1"/>
    <col min="3" max="3" width="59.7109375" customWidth="1"/>
    <col min="4" max="4" width="30" customWidth="1"/>
    <col min="5" max="5" width="36" customWidth="1"/>
    <col min="6" max="6" width="17.7109375" customWidth="1"/>
    <col min="7" max="7" width="31.42578125" customWidth="1"/>
    <col min="8" max="8" width="26.7109375" customWidth="1"/>
    <col min="9" max="9" width="59.7109375" customWidth="1"/>
    <col min="10" max="10" width="53" customWidth="1"/>
    <col min="11" max="11" width="33.140625" customWidth="1"/>
    <col min="12" max="12" width="56" customWidth="1"/>
    <col min="13" max="13" width="61.5703125" bestFit="1" customWidth="1"/>
    <col min="14" max="15" width="59.7109375" customWidth="1"/>
    <col min="16" max="16" width="39.7109375" bestFit="1" customWidth="1"/>
    <col min="17" max="17" width="46.85546875" customWidth="1"/>
    <col min="18" max="18" width="56.5703125" customWidth="1"/>
    <col min="19" max="19" width="59.7109375" customWidth="1"/>
    <col min="20" max="20" width="64.28515625" bestFit="1" customWidth="1"/>
    <col min="21" max="21" width="59.7109375" customWidth="1"/>
    <col min="22" max="22" width="33.140625" bestFit="1" customWidth="1"/>
    <col min="23" max="23" width="59.7109375" customWidth="1"/>
    <col min="24" max="24" width="68.5703125" bestFit="1" customWidth="1"/>
    <col min="25" max="25" width="44.85546875" customWidth="1"/>
    <col min="26" max="26" width="74.7109375" bestFit="1" customWidth="1"/>
    <col min="27" max="27" width="129.7109375" bestFit="1" customWidth="1"/>
    <col min="28" max="28" width="59.7109375" customWidth="1"/>
    <col min="29" max="29" width="130.7109375" bestFit="1" customWidth="1"/>
    <col min="30" max="30" width="131.5703125" bestFit="1" customWidth="1"/>
    <col min="31" max="31" width="136.140625" bestFit="1" customWidth="1"/>
    <col min="32" max="32" width="46.28515625" bestFit="1" customWidth="1"/>
    <col min="33" max="33" width="85.28515625" bestFit="1" customWidth="1"/>
    <col min="34" max="34" width="40.5703125" bestFit="1" customWidth="1"/>
    <col min="35" max="35" width="56.28515625" bestFit="1" customWidth="1"/>
    <col min="36" max="36" width="38.85546875" customWidth="1"/>
    <col min="37" max="37" width="72" bestFit="1" customWidth="1"/>
  </cols>
  <sheetData>
    <row r="1" spans="1:37">
      <c r="A1" s="6" t="s">
        <v>425</v>
      </c>
      <c r="B1" s="6" t="s">
        <v>426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10" t="s">
        <v>34</v>
      </c>
    </row>
    <row r="2" spans="1:37">
      <c r="A2" t="str">
        <f>"SG"&amp;TEXT(ROW()-1,"000")</f>
        <v>SG001</v>
      </c>
      <c r="B2" t="s">
        <v>418</v>
      </c>
      <c r="C2" s="9" t="s">
        <v>427</v>
      </c>
      <c r="D2" t="str">
        <f t="shared" ref="D2:D65" si="0">IF(MOD((ROW()-2)*137,479)&lt;230,"Masculino",IF(MOD((ROW()-2)*137,479)&lt;460,"Femenino",IF(MOD((ROW()-2)*137,479)&lt;470,"Otro","No quiero responder")))</f>
        <v>Masculino</v>
      </c>
      <c r="E2" s="9" t="str">
        <f t="shared" ref="E2:E65" si="1">CHOOSE(MOD(ROW()-2,5)+1,"De 18 a 20 años","De 20 a 22 años","De 22 a 24 años","De 24 a 26 años","De 26 a 28 años")</f>
        <v>De 18 a 20 años</v>
      </c>
      <c r="F2" s="9">
        <f t="shared" ref="F2:F65" si="2">CHOOSE(MOD(ROW()-2,5)+1,18,20,22,24,26)+MOD(INT((ROW()-2)/5),IF(MOD(ROW()-2,5)=4,3,2))</f>
        <v>18</v>
      </c>
      <c r="G2" s="9" t="s">
        <v>428</v>
      </c>
      <c r="H2" s="9" t="str">
        <f t="shared" ref="H2:H65" si="3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Bachiller</v>
      </c>
      <c r="I2" s="13" t="str">
        <f t="shared" ref="I2:I65" si="4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Trabajo actualmente como empleado</v>
      </c>
      <c r="J2" s="13" t="str">
        <f>IF(I2="Trabajo actualmente como empleado",IF(MOD((COUNTIF($I$2:I2,"Trabajo actualmente como empleado")-1)*37,150)&lt;100,"Empleado con contrato","Empleado sin contrato formal"),IF(I2="Trabajo de manera independiente","Trabajo independiente",""))</f>
        <v>Empleado con contrato</v>
      </c>
      <c r="K2" s="9" t="str">
        <f>IF(OR(I2="Trabajo actualmente como empleado",I2="Trabajo de manera independiente"),CHOOSE(MOD(COUNTIF($I$2:I2,I2)-1,4)+1,"Menos de 3 meses","De 3 a 6 meses","De 7 a 12 meses","Más de un año"),"")</f>
        <v>Menos de 3 meses</v>
      </c>
      <c r="L2" t="str">
        <f>IF(OR(I2="Trabajo actualmente como empleado",I2="Trabajo de manera independiente"),CHOOSE(MOD(COUNTIF($I$2:I2,I2)-1,3)+1,"Sí, completamente","Parcialmente","No"),"")</f>
        <v>Sí, completamente</v>
      </c>
      <c r="M2" t="str">
        <f>IF(OR(I2="Trabajo actualmente como empleado",I2="Trabajo de manera independiente"),CHOOSE(MOD(INT((COUNTIF($I$2:I2,I2)-1)/3),4)+1,"1- Muy satisfecho/a","2- Satisfecho/a","3- Insatisfecho/a","4- Muy insatisfecho/a"),"")</f>
        <v>1- Muy satisfecho/a</v>
      </c>
      <c r="N2" t="str">
        <f>IF(OR(I2="Trabajo actualmente como empleado",I2="Trabajo de manera independiente"),_xlfn.LET(_xlpm.opcion,MOD(INT((COUNTIF($I$2:I2,I2)-1)/5),6)+1,CHOOSE(IF(AND(_xlpm.opcion=6,L2="Sí, completamente"),5,_xlpm.opcion),"Salario","Estabilidad laboral","Horario","Acceso a prestaciones","Oportunidades de crecimiento","Trabajar en un área relacionada con mi formación")),"")</f>
        <v>Salario</v>
      </c>
      <c r="O2" s="9" t="str">
        <f>IF(OR(I2="Trabajo actualmente como empleado",I2="Trabajo de manera independiente"),_xlfn.LET(_xlpm.turno,MOD(COUNTIF($I$2:I2,I2)-1,5),_xlpm.nivel,VALUE(LEFT(M2,1)),IF(_xlpm.turno=4,"No estoy seguro/a",IF(_xlpm.turno&lt;IF(_xlpm.nivel&lt;=2,1,3),"Sí","No"))),"")</f>
        <v>Sí</v>
      </c>
      <c r="P2" s="9" t="str">
        <f>_xlfn.LET(_xlpm.perfil,I2,_xlpm.turno,COUNTIF($I$2:I2,_xlpm.perfil)-1,_xlpm.busca,OR(_xlpm.perfil="Actualmente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trabajar"),IF(AND(_xlpm.trabaja,O2="No"),"Todavía no he iniciado una búsqueda activa",CHOOSE(MOD(_xlpm.turno*3,5)+1,"Menos de 1 mes","Entre 1 y 3 meses","Entre 4 y 6 meses","Más de 6 meses","Todavía no he iniciado una búsqueda activa")),"")))</f>
        <v>Menos de 1 mes</v>
      </c>
      <c r="Q2" t="str">
        <f>IF(I2="Tengo un emprendimiento o quiero iniciar uno","",CHOOSE(MOD(INT((COUNTIF($I$2:I2,I2)-1)/7),3)+1,"Sí","No","Tengo una pero necesito actualizarla"))</f>
        <v>Sí</v>
      </c>
      <c r="R2" s="9" t="str">
        <f>IF(I2="Tengo un emprendimiento o quiero iniciar uno","",IF(I2="Busco mi primer empleo","No",IF(MOD(COUNTIF($I$2:I2,I2)-1,2)=0,"Sí","No")))</f>
        <v>Sí</v>
      </c>
      <c r="S2" t="str">
        <f>IF(I2="Tengo un emprendimiento o quiero iniciar uno","",CHOOSE(MOD(INT((COUNTIF($I$2:I2,I2)-1)/3),10)+1,"Portales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" t="str">
        <f>IF(I2="Tengo un emprendimiento o quiero iniciar uno","",_xlfn.LET(_xlpm.opcion,MOD(INT((COUNTIF($I$2:I2,I2)-1)/4),6)+1,CHOOSE(IF(AND(_xlpm.opcion=3,Q2="Sí"),1,_xlpm.opcion),"Falta de experiencia","Falta de formación","Dificultades con la hoja de vida","Horarios disponibles","Transporte","Internet")))</f>
        <v>Falta de experiencia</v>
      </c>
      <c r="U2" s="9" t="str">
        <f>IF(I2="Tengo un emprendimiento o quiero iniciar uno","",IF(MOD(INT((COUNTIF($I$2:I2,I2)-1)/3),2)=0,"Sí","No"))</f>
        <v>Sí</v>
      </c>
      <c r="V2" s="9" t="str">
        <f>IF(I2="Tengo un emprendimiento o quiero iniciar uno",CHOOSE(MOD(COUNTIF($I$2:I2,I2)-1,3)+1,"Tengo un emprendimiento","Estoy iniciando un emprendimiento","Me interesa emprender"),"")</f>
        <v/>
      </c>
      <c r="W2" t="str">
        <f t="shared" ref="W2:W65" si="5">IF(V2="Tengo un emprendimiento","Funcionamiento estable",IF(V2="Estoy iniciando un emprendimiento","Inicio",""))</f>
        <v/>
      </c>
      <c r="X2" s="9" t="str">
        <f>IF(I2="Tengo un emprendimiento o quiero iniciar uno",CHOOSE(MOD(COUNTIF($I$2:I2,I2)-1,5)+1,"Falta de financiación","Falta de conocimientos administrativos","Falta de conocimientos financieros","Falta de tiempo","Falta de herramientas"),"")</f>
        <v/>
      </c>
      <c r="Y2" s="9" t="str">
        <f t="shared" ref="Y2:Y65" si="6">IF(I2="Tengo un emprendimiento o quiero iniciar uno",X2,"")</f>
        <v/>
      </c>
      <c r="Z2" t="str">
        <f>IF(I2="Tengo un emprendimiento o quiero iniciar uno",CHOOSE(INT(MOD((COUNTIF($I$2:I2,I2)-1)*7,39)/13)+1,"Sí","No","No conozco programas de ese tipo"),"")</f>
        <v/>
      </c>
      <c r="AA2" t="str">
        <f t="shared" ref="AA2:AB65" si="7">CHOOSE(INT(MOD((ROW()-2)*191,479)/120)+1,"No puedo hacerlo","Puedo hacerlo con ayuda","Puedo hacerlo con dificultad","Puedo hacerlo sin ayuda")</f>
        <v>No puedo hacerlo</v>
      </c>
      <c r="AB2" t="str">
        <f t="shared" si="7"/>
        <v>No puedo hacerlo</v>
      </c>
      <c r="AC2" t="str">
        <f t="shared" ref="AC2:AC65" si="8">CHOOSE(INT(MOD((ROW()-2)*157+83,479)/120)+1,"No puedo hacerlo","Puedo hacerlo con ayuda","Puedo hacerlo con dificultad","Puedo hacerlo sin ayuda")</f>
        <v>No puedo hacerlo</v>
      </c>
      <c r="AD2" s="9" t="str">
        <f t="shared" ref="AD2:AD65" si="9">CHOOSE(INT(MOD((ROW()-2)*89+131,479)/120)+1,"No puedo hacerlo","Puedo hacerlo con ayuda","Puedo hacerlo con dificultad","Puedo hacerlo sin ayuda")</f>
        <v>Puedo hacerlo con ayuda</v>
      </c>
      <c r="AE2" t="str">
        <f t="shared" ref="AE2:AE65" si="10">CHOOSE(INT(MOD((ROW()-2)*73+179,479)/120)+1,"No puedo hacerlo","Puedo hacerlo con ayuda","Puedo hacerlo con dificultad","Puedo hacerlo sin ayuda")</f>
        <v>Puedo hacerlo con ayuda</v>
      </c>
      <c r="AF2" s="9" t="str">
        <f t="shared" ref="AF2:AF65" si="11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Liderazgo</v>
      </c>
      <c r="AG2" s="9" t="s">
        <v>429</v>
      </c>
      <c r="AH2" t="str">
        <f t="shared" ref="AH2:AH65" si="12">CHOOSE(INT(MOD((ROW()-2)*199+59,479)/120)+1,"Oficina de orientación laboral","Ferias de empleo","Programas de emprendimiento","No conozco ninguno")</f>
        <v>Oficina de orientación laboral</v>
      </c>
      <c r="AI2" s="9" t="str">
        <f t="shared" ref="AI2:AI65" si="13">CHOOSE(INT(MOD((ROW()-2)*127+71,479)/120)+1,"Presencial","Virtual","Presencial y virtual","Me es indiferente")</f>
        <v>Presencial</v>
      </c>
      <c r="AJ2" s="9" t="str">
        <f t="shared" ref="AJ2:AJ65" si="14">CHOOSE(INT(MOD((ROW()-2)*163+97,479)/120)+1,"Diurno","Nocturno","Mañana entre semana","Fines de semana")</f>
        <v>Diurno</v>
      </c>
      <c r="AK2" s="9" t="str">
        <f t="shared" ref="AK2:AK65" si="15">CHOOSE(INT(MOD((ROW()-2)*181+109,479)/120)+1,"WhatsApp","Correo electrónico","Redes sociales","Celular")</f>
        <v>WhatsApp</v>
      </c>
    </row>
    <row r="3" spans="1:37">
      <c r="A3" t="str">
        <f t="shared" ref="A3:A66" si="16">"SG"&amp;TEXT(ROW()-1,"000")</f>
        <v>SG002</v>
      </c>
      <c r="B3" t="s">
        <v>418</v>
      </c>
      <c r="C3" s="9" t="s">
        <v>427</v>
      </c>
      <c r="D3" t="str">
        <f t="shared" si="0"/>
        <v>Masculino</v>
      </c>
      <c r="E3" s="9" t="str">
        <f t="shared" si="1"/>
        <v>De 20 a 22 años</v>
      </c>
      <c r="F3" s="9">
        <f t="shared" si="2"/>
        <v>20</v>
      </c>
      <c r="G3" s="9" t="s">
        <v>428</v>
      </c>
      <c r="H3" s="9" t="str">
        <f t="shared" si="3"/>
        <v>Bachiller</v>
      </c>
      <c r="I3" s="9" t="str">
        <f t="shared" si="4"/>
        <v>Trabajo de manera independiente</v>
      </c>
      <c r="J3" s="13" t="str">
        <f>IF(I3="Trabajo actualmente como empleado",IF(MOD((COUNTIF($I$2:I3,"Trabajo actualmente como empleado")-1)*37,150)&lt;100,"Empleado con contrato","Empleado sin contrato formal"),IF(I3="Trabajo de manera independiente","Trabajo independiente",""))</f>
        <v>Trabajo independiente</v>
      </c>
      <c r="K3" s="9" t="str">
        <f>IF(OR(I3="Trabajo actualmente como empleado",I3="Trabajo de manera independiente"),CHOOSE(MOD(COUNTIF($I$2:I3,I3)-1,4)+1,"Menos de 3 meses","De 3 a 6 meses","De 7 a 12 meses","Más de un año"),"")</f>
        <v>Menos de 3 meses</v>
      </c>
      <c r="L3" t="str">
        <f>IF(OR(I3="Trabajo actualmente como empleado",I3="Trabajo de manera independiente"),CHOOSE(MOD(COUNTIF($I$2:I3,I3)-1,3)+1,"Sí, completamente","Parcialmente","No"),"")</f>
        <v>Sí, completamente</v>
      </c>
      <c r="M3" t="str">
        <f>IF(OR(I3="Trabajo actualmente como empleado",I3="Trabajo de manera independiente"),CHOOSE(MOD(INT((COUNTIF($I$2:I3,I3)-1)/3),4)+1,"1- Muy satisfecho/a","2- Satisfecho/a","3- Insatisfecho/a","4- Muy insatisfecho/a"),"")</f>
        <v>1- Muy satisfecho/a</v>
      </c>
      <c r="N3" t="str">
        <f>IF(OR(I3="Trabajo actualmente como empleado",I3="Trabajo de manera independiente"),_xlfn.LET(_xlpm.opcion,MOD(INT((COUNTIF($I$2:I3,I3)-1)/5),6)+1,CHOOSE(IF(AND(_xlpm.opcion=6,L3="Sí, completamente"),5,_xlpm.opcion),"Salario","Estabilidad laboral","Horario","Acceso a prestaciones","Oportunidades de crecimiento","Trabajar en un área relacionada con mi formación")),"")</f>
        <v>Salario</v>
      </c>
      <c r="O3" s="9" t="str">
        <f>IF(OR(I3="Trabajo actualmente como empleado",I3="Trabajo de manera independiente"),_xlfn.LET(_xlpm.turno,MOD(COUNTIF($I$2:I3,I3)-1,5),_xlpm.nivel,VALUE(LEFT(M3,1)),IF(_xlpm.turno=4,"No estoy seguro/a",IF(_xlpm.turno&lt;IF(_xlpm.nivel&lt;=2,1,3),"Sí","No"))),"")</f>
        <v>Sí</v>
      </c>
      <c r="P3" s="9" t="str">
        <f>_xlfn.LET(_xlpm.perfil,I3,_xlpm.turno,COUNTIF($I$2:I3,_xlpm.perfil)-1,_xlpm.busca,OR(_xlpm.perfil="Actualmente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trabajar"),IF(AND(_xlpm.trabaja,O3="No"),"Todavía no he iniciado una búsqueda activa",CHOOSE(MOD(_xlpm.turno*3,5)+1,"Menos de 1 mes","Entre 1 y 3 meses","Entre 4 y 6 meses","Más de 6 meses","Todavía no he iniciado una búsqueda activa")),"")))</f>
        <v>Menos de 1 mes</v>
      </c>
      <c r="Q3" t="str">
        <f>IF(I3="Tengo un emprendimiento o quiero iniciar uno","",CHOOSE(MOD(INT((COUNTIF($I$2:I3,I3)-1)/7),3)+1,"Sí","No","Tengo una pero necesito actualizarla"))</f>
        <v>Sí</v>
      </c>
      <c r="R3" s="9" t="str">
        <f>IF(I3="Tengo un emprendimiento o quiero iniciar uno","",IF(I3="Busco mi primer empleo","No",IF(MOD(COUNTIF($I$2:I3,I3)-1,2)=0,"Sí","No")))</f>
        <v>Sí</v>
      </c>
      <c r="S3" t="str">
        <f>IF(I3="Tengo un emprendimiento o quiero iniciar uno","",CHOOSE(MOD(INT((COUNTIF($I$2:I3,I3)-1)/3),10)+1,"Portales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" t="str">
        <f>IF(I3="Tengo un emprendimiento o quiero iniciar uno","",_xlfn.LET(_xlpm.opcion,MOD(INT((COUNTIF($I$2:I3,I3)-1)/4),6)+1,CHOOSE(IF(AND(_xlpm.opcion=3,Q3="Sí"),1,_xlpm.opcion),"Falta de experiencia","Falta de formación","Dificultades con la hoja de vida","Horarios disponibles","Transporte","Internet")))</f>
        <v>Falta de experiencia</v>
      </c>
      <c r="U3" s="9" t="str">
        <f>IF(I3="Tengo un emprendimiento o quiero iniciar uno","",IF(MOD(INT((COUNTIF($I$2:I3,I3)-1)/3),2)=0,"Sí","No"))</f>
        <v>Sí</v>
      </c>
      <c r="V3" s="9" t="str">
        <f>IF(I3="Tengo un emprendimiento o quiero iniciar uno",CHOOSE(MOD(COUNTIF($I$2:I3,I3)-1,3)+1,"Tengo un emprendimiento","Estoy iniciando un emprendimiento","Me interesa emprender"),"")</f>
        <v/>
      </c>
      <c r="W3" t="str">
        <f t="shared" si="5"/>
        <v/>
      </c>
      <c r="X3" s="9" t="str">
        <f>IF(I3="Tengo un emprendimiento o quiero iniciar uno",CHOOSE(MOD(COUNTIF($I$2:I3,I3)-1,5)+1,"Falta de financiación","Falta de conocimientos administrativos","Falta de conocimientos financieros","Falta de tiempo","Falta de herramientas"),"")</f>
        <v/>
      </c>
      <c r="Y3" s="9" t="str">
        <f t="shared" si="6"/>
        <v/>
      </c>
      <c r="Z3" t="str">
        <f>IF(I3="Tengo un emprendimiento o quiero iniciar uno",CHOOSE(INT(MOD((COUNTIF($I$2:I3,I3)-1)*7,39)/13)+1,"Sí","No","No conozco programas de ese tipo"),"")</f>
        <v/>
      </c>
      <c r="AA3" t="str">
        <f t="shared" si="7"/>
        <v>Puedo hacerlo con ayuda</v>
      </c>
      <c r="AB3" t="str">
        <f t="shared" si="7"/>
        <v>Puedo hacerlo con ayuda</v>
      </c>
      <c r="AC3" t="str">
        <f t="shared" si="8"/>
        <v>Puedo hacerlo con dificultad</v>
      </c>
      <c r="AD3" s="9" t="str">
        <f t="shared" si="9"/>
        <v>Puedo hacerlo con ayuda</v>
      </c>
      <c r="AE3" t="str">
        <f t="shared" si="10"/>
        <v>Puedo hacerlo con dificultad</v>
      </c>
      <c r="AF3" s="9" t="str">
        <f t="shared" si="11"/>
        <v>Emprendimiento</v>
      </c>
      <c r="AG3" s="9" t="str">
        <f t="shared" ref="AG3:AG65" si="17">CHOOSE(MOD(INT((ROW()-2)/3)*7,9)+1,"Costos de transporte","Distancia","Horarios","Falta de experiencia","Falta de información","Ninguna","Costos de transporte;Distancia","Horarios;Falta de información","Falta de experiencia;Falta de información")</f>
        <v>Costos de transporte</v>
      </c>
      <c r="AH3" t="str">
        <f t="shared" si="12"/>
        <v>Programas de emprendimiento</v>
      </c>
      <c r="AI3" s="9" t="str">
        <f t="shared" si="13"/>
        <v>Virtual</v>
      </c>
      <c r="AJ3" s="9" t="str">
        <f t="shared" si="14"/>
        <v>Mañana entre semana</v>
      </c>
      <c r="AK3" s="9" t="str">
        <f t="shared" si="15"/>
        <v>Redes sociales</v>
      </c>
    </row>
    <row r="4" spans="1:37">
      <c r="A4" t="str">
        <f t="shared" si="16"/>
        <v>SG003</v>
      </c>
      <c r="B4" t="s">
        <v>418</v>
      </c>
      <c r="C4" s="9" t="s">
        <v>427</v>
      </c>
      <c r="D4" t="str">
        <f t="shared" si="0"/>
        <v>Femenino</v>
      </c>
      <c r="E4" s="9" t="str">
        <f t="shared" si="1"/>
        <v>De 22 a 24 años</v>
      </c>
      <c r="F4" s="9">
        <f t="shared" si="2"/>
        <v>22</v>
      </c>
      <c r="G4" s="9" t="s">
        <v>428</v>
      </c>
      <c r="H4" s="9" t="str">
        <f t="shared" si="3"/>
        <v>Bachiller</v>
      </c>
      <c r="I4" s="9" t="str">
        <f t="shared" si="4"/>
        <v>Busco mi primer empleo</v>
      </c>
      <c r="J4" s="13" t="str">
        <f>IF(I4="Trabajo actualmente como empleado",IF(MOD((COUNTIF($I$2:I4,"Trabajo actualmente como empleado")-1)*37,150)&lt;100,"Empleado con contrato","Empleado sin contrato formal"),IF(I4="Trabajo de manera independiente","Trabajo independiente",""))</f>
        <v/>
      </c>
      <c r="K4" s="9" t="str">
        <f>IF(OR(I4="Trabajo actualmente como empleado",I4="Trabajo de manera independiente"),CHOOSE(MOD(COUNTIF($I$2:I4,I4)-1,4)+1,"Menos de 3 meses","De 3 a 6 meses","De 7 a 12 meses","Más de un año"),"")</f>
        <v/>
      </c>
      <c r="L4" t="str">
        <f>IF(OR(I4="Trabajo actualmente como empleado",I4="Trabajo de manera independiente"),CHOOSE(MOD(COUNTIF($I$2:I4,I4)-1,3)+1,"Sí, completamente","Parcialmente","No"),"")</f>
        <v/>
      </c>
      <c r="M4" t="str">
        <f>IF(OR(I4="Trabajo actualmente como empleado",I4="Trabajo de manera independiente"),CHOOSE(MOD(INT((COUNTIF($I$2:I4,I4)-1)/3),4)+1,"1- Muy satisfecho/a","2- Satisfecho/a","3- Insatisfecho/a","4- Muy insatisfecho/a"),"")</f>
        <v/>
      </c>
      <c r="N4" t="str">
        <f>IF(OR(I4="Trabajo actualmente como empleado",I4="Trabajo de manera independiente"),_xlfn.LET(_xlpm.opcion,MOD(INT((COUNTIF($I$2:I4,I4)-1)/5),6)+1,CHOOSE(IF(AND(_xlpm.opcion=6,L4="Sí, completamente"),5,_xlpm.opcion),"Salario","Estabilidad laboral","Horario","Acceso a prestaciones","Oportunidades de crecimiento","Trabajar en un área relacionada con mi formación")),"")</f>
        <v/>
      </c>
      <c r="O4" s="9" t="str">
        <f>IF(OR(I4="Trabajo actualmente como empleado",I4="Trabajo de manera independiente"),_xlfn.LET(_xlpm.turno,MOD(COUNTIF($I$2:I4,I4)-1,5),_xlpm.nivel,VALUE(LEFT(M4,1)),IF(_xlpm.turno=4,"No estoy seguro/a",IF(_xlpm.turno&lt;IF(_xlpm.nivel&lt;=2,1,3),"Sí","No"))),"")</f>
        <v/>
      </c>
      <c r="P4" s="9" t="str">
        <f>_xlfn.LET(_xlpm.perfil,I4,_xlpm.turno,COUNTIF($I$2:I4,_xlpm.perfil)-1,_xlpm.busca,OR(_xlpm.perfil="Actualmente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trabajar"),IF(AND(_xlpm.trabaja,O4="No"),"Todavía no he iniciado una búsqueda activa",CHOOSE(MOD(_xlpm.turno*3,5)+1,"Menos de 1 mes","Entre 1 y 3 meses","Entre 4 y 6 meses","Más de 6 meses","Todavía no he iniciado una búsqueda activa")),"")))</f>
        <v>Menos de 1 mes</v>
      </c>
      <c r="Q4" t="str">
        <f>IF(I4="Tengo un emprendimiento o quiero iniciar uno","",CHOOSE(MOD(INT((COUNTIF($I$2:I4,I4)-1)/7),3)+1,"Sí","No","Tengo una pero necesito actualizarla"))</f>
        <v>Sí</v>
      </c>
      <c r="R4" s="9" t="str">
        <f>IF(I4="Tengo un emprendimiento o quiero iniciar uno","",IF(I4="Busco mi primer empleo","No",IF(MOD(COUNTIF($I$2:I4,I4)-1,2)=0,"Sí","No")))</f>
        <v>No</v>
      </c>
      <c r="S4" t="str">
        <f>IF(I4="Tengo un emprendimiento o quiero iniciar uno","",CHOOSE(MOD(INT((COUNTIF($I$2:I4,I4)-1)/3),10)+1,"Portales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4" t="str">
        <f>IF(I4="Tengo un emprendimiento o quiero iniciar uno","",_xlfn.LET(_xlpm.opcion,MOD(INT((COUNTIF($I$2:I4,I4)-1)/4),6)+1,CHOOSE(IF(AND(_xlpm.opcion=3,Q4="Sí"),1,_xlpm.opcion),"Falta de experiencia","Falta de formación","Dificultades con la hoja de vida","Horarios disponibles","Transporte","Internet")))</f>
        <v>Falta de experiencia</v>
      </c>
      <c r="U4" s="9" t="str">
        <f>IF(I4="Tengo un emprendimiento o quiero iniciar uno","",IF(MOD(INT((COUNTIF($I$2:I4,I4)-1)/3),2)=0,"Sí","No"))</f>
        <v>Sí</v>
      </c>
      <c r="V4" s="9" t="str">
        <f>IF(I4="Tengo un emprendimiento o quiero iniciar uno",CHOOSE(MOD(COUNTIF($I$2:I4,I4)-1,3)+1,"Tengo un emprendimiento","Estoy iniciando un emprendimiento","Me interesa emprender"),"")</f>
        <v/>
      </c>
      <c r="W4" t="str">
        <f t="shared" si="5"/>
        <v/>
      </c>
      <c r="X4" s="9" t="str">
        <f>IF(I4="Tengo un emprendimiento o quiero iniciar uno",CHOOSE(MOD(COUNTIF($I$2:I4,I4)-1,5)+1,"Falta de financiación","Falta de conocimientos administrativos","Falta de conocimientos financieros","Falta de tiempo","Falta de herramientas"),"")</f>
        <v/>
      </c>
      <c r="Y4" s="9" t="str">
        <f t="shared" si="6"/>
        <v/>
      </c>
      <c r="Z4" t="str">
        <f>IF(I4="Tengo un emprendimiento o quiero iniciar uno",CHOOSE(INT(MOD((COUNTIF($I$2:I4,I4)-1)*7,39)/13)+1,"Sí","No","No conozco programas de ese tipo"),"")</f>
        <v/>
      </c>
      <c r="AA4" t="str">
        <f t="shared" si="7"/>
        <v>Puedo hacerlo sin ayuda</v>
      </c>
      <c r="AB4" t="str">
        <f t="shared" si="7"/>
        <v>Puedo hacerlo sin ayuda</v>
      </c>
      <c r="AC4" t="str">
        <f t="shared" si="8"/>
        <v>Puedo hacerlo sin ayuda</v>
      </c>
      <c r="AD4" s="9" t="str">
        <f t="shared" si="9"/>
        <v>Puedo hacerlo con dificultad</v>
      </c>
      <c r="AE4" t="str">
        <f t="shared" si="10"/>
        <v>Puedo hacerlo con dificultad</v>
      </c>
      <c r="AF4" s="9" t="str">
        <f t="shared" si="11"/>
        <v>Herramientas digitales</v>
      </c>
      <c r="AG4" s="9" t="str">
        <f t="shared" si="17"/>
        <v>Costos de transporte</v>
      </c>
      <c r="AH4" t="str">
        <f t="shared" si="12"/>
        <v>No conozco ninguno</v>
      </c>
      <c r="AI4" s="9" t="str">
        <f t="shared" si="13"/>
        <v>Presencial y virtual</v>
      </c>
      <c r="AJ4" s="9" t="str">
        <f t="shared" si="14"/>
        <v>Fines de semana</v>
      </c>
      <c r="AK4" s="9" t="str">
        <f t="shared" si="15"/>
        <v>Celular</v>
      </c>
    </row>
    <row r="5" spans="1:37">
      <c r="A5" t="str">
        <f t="shared" si="16"/>
        <v>SG004</v>
      </c>
      <c r="B5" t="s">
        <v>418</v>
      </c>
      <c r="C5" s="9" t="s">
        <v>427</v>
      </c>
      <c r="D5" t="str">
        <f t="shared" si="0"/>
        <v>Femenino</v>
      </c>
      <c r="E5" s="9" t="str">
        <f t="shared" si="1"/>
        <v>De 24 a 26 años</v>
      </c>
      <c r="F5" s="9">
        <f t="shared" si="2"/>
        <v>24</v>
      </c>
      <c r="G5" s="9" t="s">
        <v>428</v>
      </c>
      <c r="H5" s="9" t="str">
        <f t="shared" si="3"/>
        <v>Bachiller</v>
      </c>
      <c r="I5" s="9" t="str">
        <f t="shared" si="4"/>
        <v>Trabajo actualmente como empleado</v>
      </c>
      <c r="J5" s="13" t="str">
        <f>IF(I5="Trabajo actualmente como empleado",IF(MOD((COUNTIF($I$2:I5,"Trabajo actualmente como empleado")-1)*37,150)&lt;100,"Empleado con contrato","Empleado sin contrato formal"),IF(I5="Trabajo de manera independiente","Trabajo independiente",""))</f>
        <v>Empleado con contrato</v>
      </c>
      <c r="K5" s="9" t="str">
        <f>IF(OR(I5="Trabajo actualmente como empleado",I5="Trabajo de manera independiente"),CHOOSE(MOD(COUNTIF($I$2:I5,I5)-1,4)+1,"Menos de 3 meses","De 3 a 6 meses","De 7 a 12 meses","Más de un año"),"")</f>
        <v>De 3 a 6 meses</v>
      </c>
      <c r="L5" t="str">
        <f>IF(OR(I5="Trabajo actualmente como empleado",I5="Trabajo de manera independiente"),CHOOSE(MOD(COUNTIF($I$2:I5,I5)-1,3)+1,"Sí, completamente","Parcialmente","No"),"")</f>
        <v>Parcialmente</v>
      </c>
      <c r="M5" t="str">
        <f>IF(OR(I5="Trabajo actualmente como empleado",I5="Trabajo de manera independiente"),CHOOSE(MOD(INT((COUNTIF($I$2:I5,I5)-1)/3),4)+1,"1- Muy satisfecho/a","2- Satisfecho/a","3- Insatisfecho/a","4- Muy insatisfecho/a"),"")</f>
        <v>1- Muy satisfecho/a</v>
      </c>
      <c r="N5" t="str">
        <f>IF(OR(I5="Trabajo actualmente como empleado",I5="Trabajo de manera independiente"),_xlfn.LET(_xlpm.opcion,MOD(INT((COUNTIF($I$2:I5,I5)-1)/5),6)+1,CHOOSE(IF(AND(_xlpm.opcion=6,L5="Sí, completamente"),5,_xlpm.opcion),"Salario","Estabilidad laboral","Horario","Acceso a prestaciones","Oportunidades de crecimiento","Trabajar en un área relacionada con mi formación")),"")</f>
        <v>Salario</v>
      </c>
      <c r="O5" s="9" t="str">
        <f>IF(OR(I5="Trabajo actualmente como empleado",I5="Trabajo de manera independiente"),_xlfn.LET(_xlpm.turno,MOD(COUNTIF($I$2:I5,I5)-1,5),_xlpm.nivel,VALUE(LEFT(M5,1)),IF(_xlpm.turno=4,"No estoy seguro/a",IF(_xlpm.turno&lt;IF(_xlpm.nivel&lt;=2,1,3),"Sí","No"))),"")</f>
        <v>No</v>
      </c>
      <c r="P5" s="9" t="str">
        <f>_xlfn.LET(_xlpm.perfil,I5,_xlpm.turno,COUNTIF($I$2:I5,_xlpm.perfil)-1,_xlpm.busca,OR(_xlpm.perfil="Actualmente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5" t="str">
        <f>IF(I5="Tengo un emprendimiento o quiero iniciar uno","",CHOOSE(MOD(INT((COUNTIF($I$2:I5,I5)-1)/7),3)+1,"Sí","No","Tengo una pero necesito actualizarla"))</f>
        <v>Sí</v>
      </c>
      <c r="R5" s="9" t="str">
        <f>IF(I5="Tengo un emprendimiento o quiero iniciar uno","",IF(I5="Busco mi primer empleo","No",IF(MOD(COUNTIF($I$2:I5,I5)-1,2)=0,"Sí","No")))</f>
        <v>No</v>
      </c>
      <c r="S5" t="str">
        <f>IF(I5="Tengo un emprendimiento o quiero iniciar uno","",CHOOSE(MOD(INT((COUNTIF($I$2:I5,I5)-1)/3),10)+1,"Portales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5" t="str">
        <f>IF(I5="Tengo un emprendimiento o quiero iniciar uno","",_xlfn.LET(_xlpm.opcion,MOD(INT((COUNTIF($I$2:I5,I5)-1)/4),6)+1,CHOOSE(IF(AND(_xlpm.opcion=3,Q5="Sí"),1,_xlpm.opcion),"Falta de experiencia","Falta de formación","Dificultades con la hoja de vida","Horarios disponibles","Transporte","Internet")))</f>
        <v>Falta de experiencia</v>
      </c>
      <c r="U5" s="9" t="str">
        <f>IF(I5="Tengo un emprendimiento o quiero iniciar uno","",IF(MOD(INT((COUNTIF($I$2:I5,I5)-1)/3),2)=0,"Sí","No"))</f>
        <v>Sí</v>
      </c>
      <c r="V5" s="9" t="str">
        <f>IF(I5="Tengo un emprendimiento o quiero iniciar uno",CHOOSE(MOD(COUNTIF($I$2:I5,I5)-1,3)+1,"Tengo un emprendimiento","Estoy iniciando un emprendimiento","Me interesa emprender"),"")</f>
        <v/>
      </c>
      <c r="W5" t="str">
        <f t="shared" si="5"/>
        <v/>
      </c>
      <c r="X5" s="9" t="str">
        <f>IF(I5="Tengo un emprendimiento o quiero iniciar uno",CHOOSE(MOD(COUNTIF($I$2:I5,I5)-1,5)+1,"Falta de financiación","Falta de conocimientos administrativos","Falta de conocimientos financieros","Falta de tiempo","Falta de herramientas"),"")</f>
        <v/>
      </c>
      <c r="Y5" s="9" t="str">
        <f t="shared" si="6"/>
        <v/>
      </c>
      <c r="Z5" t="str">
        <f>IF(I5="Tengo un emprendimiento o quiero iniciar uno",CHOOSE(INT(MOD((COUNTIF($I$2:I5,I5)-1)*7,39)/13)+1,"Sí","No","No conozco programas de ese tipo"),"")</f>
        <v/>
      </c>
      <c r="AA5" t="str">
        <f t="shared" si="7"/>
        <v>No puedo hacerlo</v>
      </c>
      <c r="AB5" t="str">
        <f t="shared" si="7"/>
        <v>No puedo hacerlo</v>
      </c>
      <c r="AC5" t="str">
        <f t="shared" si="8"/>
        <v>No puedo hacerlo</v>
      </c>
      <c r="AD5" s="9" t="str">
        <f t="shared" si="9"/>
        <v>Puedo hacerlo sin ayuda</v>
      </c>
      <c r="AE5" t="str">
        <f t="shared" si="10"/>
        <v>Puedo hacerlo sin ayuda</v>
      </c>
      <c r="AF5" s="9" t="str">
        <f t="shared" si="11"/>
        <v>Educación financiera</v>
      </c>
      <c r="AG5" s="9" t="str">
        <f t="shared" si="17"/>
        <v>Horarios;Falta de información</v>
      </c>
      <c r="AH5" t="str">
        <f t="shared" si="12"/>
        <v>Ferias de empleo</v>
      </c>
      <c r="AI5" s="9" t="str">
        <f t="shared" si="13"/>
        <v>Me es indiferente</v>
      </c>
      <c r="AJ5" s="9" t="str">
        <f t="shared" si="14"/>
        <v>Diurno</v>
      </c>
      <c r="AK5" s="9" t="str">
        <f t="shared" si="15"/>
        <v>Correo electrónico</v>
      </c>
    </row>
    <row r="6" spans="1:37">
      <c r="A6" t="str">
        <f t="shared" si="16"/>
        <v>SG005</v>
      </c>
      <c r="B6" t="s">
        <v>418</v>
      </c>
      <c r="C6" s="9" t="s">
        <v>427</v>
      </c>
      <c r="D6" t="str">
        <f t="shared" si="0"/>
        <v>Masculino</v>
      </c>
      <c r="E6" s="9" t="str">
        <f t="shared" si="1"/>
        <v>De 26 a 28 años</v>
      </c>
      <c r="F6" s="9">
        <f t="shared" si="2"/>
        <v>26</v>
      </c>
      <c r="G6" s="9" t="s">
        <v>428</v>
      </c>
      <c r="H6" s="9" t="str">
        <f t="shared" si="3"/>
        <v>Bachiller</v>
      </c>
      <c r="I6" s="9" t="str">
        <f t="shared" si="4"/>
        <v>Trabajo de manera independiente</v>
      </c>
      <c r="J6" s="13" t="str">
        <f>IF(I6="Trabajo actualmente como empleado",IF(MOD((COUNTIF($I$2:I6,"Trabajo actualmente como empleado")-1)*37,150)&lt;100,"Empleado con contrato","Empleado sin contrato formal"),IF(I6="Trabajo de manera independiente","Trabajo independiente",""))</f>
        <v>Trabajo independiente</v>
      </c>
      <c r="K6" s="9" t="str">
        <f>IF(OR(I6="Trabajo actualmente como empleado",I6="Trabajo de manera independiente"),CHOOSE(MOD(COUNTIF($I$2:I6,I6)-1,4)+1,"Menos de 3 meses","De 3 a 6 meses","De 7 a 12 meses","Más de un año"),"")</f>
        <v>De 3 a 6 meses</v>
      </c>
      <c r="L6" t="str">
        <f>IF(OR(I6="Trabajo actualmente como empleado",I6="Trabajo de manera independiente"),CHOOSE(MOD(COUNTIF($I$2:I6,I6)-1,3)+1,"Sí, completamente","Parcialmente","No"),"")</f>
        <v>Parcialmente</v>
      </c>
      <c r="M6" t="str">
        <f>IF(OR(I6="Trabajo actualmente como empleado",I6="Trabajo de manera independiente"),CHOOSE(MOD(INT((COUNTIF($I$2:I6,I6)-1)/3),4)+1,"1- Muy satisfecho/a","2- Satisfecho/a","3- Insatisfecho/a","4- Muy insatisfecho/a"),"")</f>
        <v>1- Muy satisfecho/a</v>
      </c>
      <c r="N6" t="str">
        <f>IF(OR(I6="Trabajo actualmente como empleado",I6="Trabajo de manera independiente"),_xlfn.LET(_xlpm.opcion,MOD(INT((COUNTIF($I$2:I6,I6)-1)/5),6)+1,CHOOSE(IF(AND(_xlpm.opcion=6,L6="Sí, completamente"),5,_xlpm.opcion),"Salario","Estabilidad laboral","Horario","Acceso a prestaciones","Oportunidades de crecimiento","Trabajar en un área relacionada con mi formación")),"")</f>
        <v>Salario</v>
      </c>
      <c r="O6" s="9" t="str">
        <f>IF(OR(I6="Trabajo actualmente como empleado",I6="Trabajo de manera independiente"),_xlfn.LET(_xlpm.turno,MOD(COUNTIF($I$2:I6,I6)-1,5),_xlpm.nivel,VALUE(LEFT(M6,1)),IF(_xlpm.turno=4,"No estoy seguro/a",IF(_xlpm.turno&lt;IF(_xlpm.nivel&lt;=2,1,3),"Sí","No"))),"")</f>
        <v>No</v>
      </c>
      <c r="P6" s="9" t="str">
        <f>_xlfn.LET(_xlpm.perfil,I6,_xlpm.turno,COUNTIF($I$2:I6,_xlpm.perfil)-1,_xlpm.busca,OR(_xlpm.perfil="Actualmente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6" t="str">
        <f>IF(I6="Tengo un emprendimiento o quiero iniciar uno","",CHOOSE(MOD(INT((COUNTIF($I$2:I6,I6)-1)/7),3)+1,"Sí","No","Tengo una pero necesito actualizarla"))</f>
        <v>Sí</v>
      </c>
      <c r="R6" s="9" t="str">
        <f>IF(I6="Tengo un emprendimiento o quiero iniciar uno","",IF(I6="Busco mi primer empleo","No",IF(MOD(COUNTIF($I$2:I6,I6)-1,2)=0,"Sí","No")))</f>
        <v>No</v>
      </c>
      <c r="S6" t="str">
        <f>IF(I6="Tengo un emprendimiento o quiero iniciar uno","",CHOOSE(MOD(INT((COUNTIF($I$2:I6,I6)-1)/3),10)+1,"Portales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6" t="str">
        <f>IF(I6="Tengo un emprendimiento o quiero iniciar uno","",_xlfn.LET(_xlpm.opcion,MOD(INT((COUNTIF($I$2:I6,I6)-1)/4),6)+1,CHOOSE(IF(AND(_xlpm.opcion=3,Q6="Sí"),1,_xlpm.opcion),"Falta de experiencia","Falta de formación","Dificultades con la hoja de vida","Horarios disponibles","Transporte","Internet")))</f>
        <v>Falta de experiencia</v>
      </c>
      <c r="U6" s="9" t="str">
        <f>IF(I6="Tengo un emprendimiento o quiero iniciar uno","",IF(MOD(INT((COUNTIF($I$2:I6,I6)-1)/3),2)=0,"Sí","No"))</f>
        <v>Sí</v>
      </c>
      <c r="V6" s="9" t="str">
        <f>IF(I6="Tengo un emprendimiento o quiero iniciar uno",CHOOSE(MOD(COUNTIF($I$2:I6,I6)-1,3)+1,"Tengo un emprendimiento","Estoy iniciando un emprendimiento","Me interesa emprender"),"")</f>
        <v/>
      </c>
      <c r="W6" t="str">
        <f t="shared" si="5"/>
        <v/>
      </c>
      <c r="X6" s="9" t="str">
        <f>IF(I6="Tengo un emprendimiento o quiero iniciar uno",CHOOSE(MOD(COUNTIF($I$2:I6,I6)-1,5)+1,"Falta de financiación","Falta de conocimientos administrativos","Falta de conocimientos financieros","Falta de tiempo","Falta de herramientas"),"")</f>
        <v/>
      </c>
      <c r="Y6" s="9" t="str">
        <f t="shared" si="6"/>
        <v/>
      </c>
      <c r="Z6" t="str">
        <f>IF(I6="Tengo un emprendimiento o quiero iniciar uno",CHOOSE(INT(MOD((COUNTIF($I$2:I6,I6)-1)*7,39)/13)+1,"Sí","No","No conozco programas de ese tipo"),"")</f>
        <v/>
      </c>
      <c r="AA6" t="str">
        <f t="shared" si="7"/>
        <v>Puedo hacerlo con dificultad</v>
      </c>
      <c r="AB6" t="str">
        <f t="shared" si="7"/>
        <v>Puedo hacerlo con dificultad</v>
      </c>
      <c r="AC6" t="str">
        <f t="shared" si="8"/>
        <v>Puedo hacerlo con ayuda</v>
      </c>
      <c r="AD6" s="9" t="str">
        <f t="shared" si="9"/>
        <v>No puedo hacerlo</v>
      </c>
      <c r="AE6" t="str">
        <f t="shared" si="10"/>
        <v>Puedo hacerlo sin ayuda</v>
      </c>
      <c r="AF6" s="9" t="str">
        <f t="shared" si="11"/>
        <v>Crear una hoja de vida;Preparación para entrevista</v>
      </c>
      <c r="AG6" s="9" t="str">
        <f t="shared" si="17"/>
        <v>Horarios;Falta de información</v>
      </c>
      <c r="AH6" t="str">
        <f t="shared" si="12"/>
        <v>No conozco ninguno</v>
      </c>
      <c r="AI6" s="9" t="str">
        <f t="shared" si="13"/>
        <v>Presencial</v>
      </c>
      <c r="AJ6" s="9" t="str">
        <f t="shared" si="14"/>
        <v>Mañana entre semana</v>
      </c>
      <c r="AK6" s="9" t="str">
        <f t="shared" si="15"/>
        <v>Redes sociales</v>
      </c>
    </row>
    <row r="7" spans="1:37">
      <c r="A7" t="str">
        <f t="shared" si="16"/>
        <v>SG006</v>
      </c>
      <c r="B7" t="s">
        <v>418</v>
      </c>
      <c r="C7" s="9" t="s">
        <v>427</v>
      </c>
      <c r="D7" t="str">
        <f t="shared" si="0"/>
        <v>Masculino</v>
      </c>
      <c r="E7" s="9" t="str">
        <f t="shared" si="1"/>
        <v>De 18 a 20 años</v>
      </c>
      <c r="F7" s="9">
        <f t="shared" si="2"/>
        <v>19</v>
      </c>
      <c r="G7" s="9" t="s">
        <v>428</v>
      </c>
      <c r="H7" s="9" t="str">
        <f t="shared" si="3"/>
        <v>Bachiller</v>
      </c>
      <c r="I7" s="9" t="str">
        <f t="shared" si="4"/>
        <v>Estudio y quiero comenzar a trabajar</v>
      </c>
      <c r="J7" s="13" t="str">
        <f>IF(I7="Trabajo actualmente como empleado",IF(MOD((COUNTIF($I$2:I7,"Trabajo actualmente como empleado")-1)*37,150)&lt;100,"Empleado con contrato","Empleado sin contrato formal"),IF(I7="Trabajo de manera independiente","Trabajo independiente",""))</f>
        <v/>
      </c>
      <c r="K7" s="9" t="str">
        <f>IF(OR(I7="Trabajo actualmente como empleado",I7="Trabajo de manera independiente"),CHOOSE(MOD(COUNTIF($I$2:I7,I7)-1,4)+1,"Menos de 3 meses","De 3 a 6 meses","De 7 a 12 meses","Más de un año"),"")</f>
        <v/>
      </c>
      <c r="L7" t="str">
        <f>IF(OR(I7="Trabajo actualmente como empleado",I7="Trabajo de manera independiente"),CHOOSE(MOD(COUNTIF($I$2:I7,I7)-1,3)+1,"Sí, completamente","Parcialmente","No"),"")</f>
        <v/>
      </c>
      <c r="M7" t="str">
        <f>IF(OR(I7="Trabajo actualmente como empleado",I7="Trabajo de manera independiente"),CHOOSE(MOD(INT((COUNTIF($I$2:I7,I7)-1)/3),4)+1,"1- Muy satisfecho/a","2- Satisfecho/a","3- Insatisfecho/a","4- Muy insatisfecho/a"),"")</f>
        <v/>
      </c>
      <c r="N7" t="str">
        <f>IF(OR(I7="Trabajo actualmente como empleado",I7="Trabajo de manera independiente"),_xlfn.LET(_xlpm.opcion,MOD(INT((COUNTIF($I$2:I7,I7)-1)/5),6)+1,CHOOSE(IF(AND(_xlpm.opcion=6,L7="Sí, completamente"),5,_xlpm.opcion),"Salario","Estabilidad laboral","Horario","Acceso a prestaciones","Oportunidades de crecimiento","Trabajar en un área relacionada con mi formación")),"")</f>
        <v/>
      </c>
      <c r="O7" s="9" t="str">
        <f>IF(OR(I7="Trabajo actualmente como empleado",I7="Trabajo de manera independiente"),_xlfn.LET(_xlpm.turno,MOD(COUNTIF($I$2:I7,I7)-1,5),_xlpm.nivel,VALUE(LEFT(M7,1)),IF(_xlpm.turno=4,"No estoy seguro/a",IF(_xlpm.turno&lt;IF(_xlpm.nivel&lt;=2,1,3),"Sí","No"))),"")</f>
        <v/>
      </c>
      <c r="P7" s="9" t="str">
        <f>_xlfn.LET(_xlpm.perfil,I7,_xlpm.turno,COUNTIF($I$2:I7,_xlpm.perfil)-1,_xlpm.busca,OR(_xlpm.perfil="Actualmente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trabajar"),IF(AND(_xlpm.trabaja,O7="No"),"Todavía no he iniciado una búsqueda activa",CHOOSE(MOD(_xlpm.turno*3,5)+1,"Menos de 1 mes","Entre 1 y 3 meses","Entre 4 y 6 meses","Más de 6 meses","Todavía no he iniciado una búsqueda activa")),"")))</f>
        <v>Menos de 1 mes</v>
      </c>
      <c r="Q7" t="str">
        <f>IF(I7="Tengo un emprendimiento o quiero iniciar uno","",CHOOSE(MOD(INT((COUNTIF($I$2:I7,I7)-1)/7),3)+1,"Sí","No","Tengo una pero necesito actualizarla"))</f>
        <v>Sí</v>
      </c>
      <c r="R7" s="9" t="str">
        <f>IF(I7="Tengo un emprendimiento o quiero iniciar uno","",IF(I7="Busco mi primer empleo","No",IF(MOD(COUNTIF($I$2:I7,I7)-1,2)=0,"Sí","No")))</f>
        <v>Sí</v>
      </c>
      <c r="S7" t="str">
        <f>IF(I7="Tengo un emprendimiento o quiero iniciar uno","",CHOOSE(MOD(INT((COUNTIF($I$2:I7,I7)-1)/3),10)+1,"Portales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7" t="str">
        <f>IF(I7="Tengo un emprendimiento o quiero iniciar uno","",_xlfn.LET(_xlpm.opcion,MOD(INT((COUNTIF($I$2:I7,I7)-1)/4),6)+1,CHOOSE(IF(AND(_xlpm.opcion=3,Q7="Sí"),1,_xlpm.opcion),"Falta de experiencia","Falta de formación","Dificultades con la hoja de vida","Horarios disponibles","Transporte","Internet")))</f>
        <v>Falta de experiencia</v>
      </c>
      <c r="U7" s="9" t="str">
        <f>IF(I7="Tengo un emprendimiento o quiero iniciar uno","",IF(MOD(INT((COUNTIF($I$2:I7,I7)-1)/3),2)=0,"Sí","No"))</f>
        <v>Sí</v>
      </c>
      <c r="V7" s="9" t="str">
        <f>IF(I7="Tengo un emprendimiento o quiero iniciar uno",CHOOSE(MOD(COUNTIF($I$2:I7,I7)-1,3)+1,"Tengo un emprendimiento","Estoy iniciando un emprendimiento","Me interesa emprender"),"")</f>
        <v/>
      </c>
      <c r="W7" t="str">
        <f t="shared" si="5"/>
        <v/>
      </c>
      <c r="X7" s="9" t="str">
        <f>IF(I7="Tengo un emprendimiento o quiero iniciar uno",CHOOSE(MOD(COUNTIF($I$2:I7,I7)-1,5)+1,"Falta de financiación","Falta de conocimientos administrativos","Falta de conocimientos financieros","Falta de tiempo","Falta de herramientas"),"")</f>
        <v/>
      </c>
      <c r="Y7" s="9" t="str">
        <f t="shared" si="6"/>
        <v/>
      </c>
      <c r="Z7" t="str">
        <f>IF(I7="Tengo un emprendimiento o quiero iniciar uno",CHOOSE(INT(MOD((COUNTIF($I$2:I7,I7)-1)*7,39)/13)+1,"Sí","No","No conozco programas de ese tipo"),"")</f>
        <v/>
      </c>
      <c r="AA7" t="str">
        <f t="shared" si="7"/>
        <v>Puedo hacerlo sin ayuda</v>
      </c>
      <c r="AB7" t="str">
        <f t="shared" si="7"/>
        <v>Puedo hacerlo sin ayuda</v>
      </c>
      <c r="AC7" t="str">
        <f t="shared" si="8"/>
        <v>Puedo hacerlo sin ayuda</v>
      </c>
      <c r="AD7" s="9" t="str">
        <f t="shared" si="9"/>
        <v>No puedo hacerlo</v>
      </c>
      <c r="AE7" t="str">
        <f t="shared" si="10"/>
        <v>No puedo hacerlo</v>
      </c>
      <c r="AF7" s="9" t="str">
        <f t="shared" si="11"/>
        <v>Comunicación;Liderazgo</v>
      </c>
      <c r="AG7" s="9" t="str">
        <f t="shared" si="17"/>
        <v>Horarios;Falta de información</v>
      </c>
      <c r="AH7" t="str">
        <f t="shared" si="12"/>
        <v>Oficina de orientación laboral</v>
      </c>
      <c r="AI7" s="9" t="str">
        <f t="shared" si="13"/>
        <v>Virtual</v>
      </c>
      <c r="AJ7" s="9" t="str">
        <f t="shared" si="14"/>
        <v>Fines de semana</v>
      </c>
      <c r="AK7" s="9" t="str">
        <f t="shared" si="15"/>
        <v>WhatsApp</v>
      </c>
    </row>
    <row r="8" spans="1:37">
      <c r="A8" t="str">
        <f t="shared" si="16"/>
        <v>SG007</v>
      </c>
      <c r="B8" t="s">
        <v>418</v>
      </c>
      <c r="C8" s="9" t="s">
        <v>427</v>
      </c>
      <c r="D8" t="str">
        <f t="shared" si="0"/>
        <v>Femenino</v>
      </c>
      <c r="E8" t="str">
        <f t="shared" si="1"/>
        <v>De 20 a 22 años</v>
      </c>
      <c r="F8">
        <f t="shared" si="2"/>
        <v>21</v>
      </c>
      <c r="G8" s="9" t="s">
        <v>428</v>
      </c>
      <c r="H8" s="9" t="str">
        <f t="shared" si="3"/>
        <v>Técnico</v>
      </c>
      <c r="I8" s="9" t="str">
        <f t="shared" si="4"/>
        <v>Trabajo actualmente como empleado</v>
      </c>
      <c r="J8" s="13" t="str">
        <f>IF(I8="Trabajo actualmente como empleado",IF(MOD((COUNTIF($I$2:I8,"Trabajo actualmente como empleado")-1)*37,150)&lt;100,"Empleado con contrato","Empleado sin contrato formal"),IF(I8="Trabajo de manera independiente","Trabajo independiente",""))</f>
        <v>Empleado con contrato</v>
      </c>
      <c r="K8" s="9" t="str">
        <f>IF(OR(I8="Trabajo actualmente como empleado",I8="Trabajo de manera independiente"),CHOOSE(MOD(COUNTIF($I$2:I8,I8)-1,4)+1,"Menos de 3 meses","De 3 a 6 meses","De 7 a 12 meses","Más de un año"),"")</f>
        <v>De 7 a 12 meses</v>
      </c>
      <c r="L8" t="str">
        <f>IF(OR(I8="Trabajo actualmente como empleado",I8="Trabajo de manera independiente"),CHOOSE(MOD(COUNTIF($I$2:I8,I8)-1,3)+1,"Sí, completamente","Parcialmente","No"),"")</f>
        <v>No</v>
      </c>
      <c r="M8" t="str">
        <f>IF(OR(I8="Trabajo actualmente como empleado",I8="Trabajo de manera independiente"),CHOOSE(MOD(INT((COUNTIF($I$2:I8,I8)-1)/3),4)+1,"1- Muy satisfecho/a","2- Satisfecho/a","3- Insatisfecho/a","4- Muy insatisfecho/a"),"")</f>
        <v>1- Muy satisfecho/a</v>
      </c>
      <c r="N8" t="str">
        <f>IF(OR(I8="Trabajo actualmente como empleado",I8="Trabajo de manera independiente"),_xlfn.LET(_xlpm.opcion,MOD(INT((COUNTIF($I$2:I8,I8)-1)/5),6)+1,CHOOSE(IF(AND(_xlpm.opcion=6,L8="Sí, completamente"),5,_xlpm.opcion),"Salario","Estabilidad laboral","Horario","Acceso a prestaciones","Oportunidades de crecimiento","Trabajar en un área relacionada con mi formación")),"")</f>
        <v>Salario</v>
      </c>
      <c r="O8" s="9" t="str">
        <f>IF(OR(I8="Trabajo actualmente como empleado",I8="Trabajo de manera independiente"),_xlfn.LET(_xlpm.turno,MOD(COUNTIF($I$2:I8,I8)-1,5),_xlpm.nivel,VALUE(LEFT(M8,1)),IF(_xlpm.turno=4,"No estoy seguro/a",IF(_xlpm.turno&lt;IF(_xlpm.nivel&lt;=2,1,3),"Sí","No"))),"")</f>
        <v>No</v>
      </c>
      <c r="P8" s="9" t="str">
        <f>_xlfn.LET(_xlpm.perfil,I8,_xlpm.turno,COUNTIF($I$2:I8,_xlpm.perfil)-1,_xlpm.busca,OR(_xlpm.perfil="Actualmente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8" t="str">
        <f>IF(I8="Tengo un emprendimiento o quiero iniciar uno","",CHOOSE(MOD(INT((COUNTIF($I$2:I8,I8)-1)/7),3)+1,"Sí","No","Tengo una pero necesito actualizarla"))</f>
        <v>Sí</v>
      </c>
      <c r="R8" s="9" t="str">
        <f>IF(I8="Tengo un emprendimiento o quiero iniciar uno","",IF(I8="Busco mi primer empleo","No",IF(MOD(COUNTIF($I$2:I8,I8)-1,2)=0,"Sí","No")))</f>
        <v>Sí</v>
      </c>
      <c r="S8" t="str">
        <f>IF(I8="Tengo un emprendimiento o quiero iniciar uno","",CHOOSE(MOD(INT((COUNTIF($I$2:I8,I8)-1)/3),10)+1,"Portales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8" t="str">
        <f>IF(I8="Tengo un emprendimiento o quiero iniciar uno","",_xlfn.LET(_xlpm.opcion,MOD(INT((COUNTIF($I$2:I8,I8)-1)/4),6)+1,CHOOSE(IF(AND(_xlpm.opcion=3,Q8="Sí"),1,_xlpm.opcion),"Falta de experiencia","Falta de formación","Dificultades con la hoja de vida","Horarios disponibles","Transporte","Internet")))</f>
        <v>Falta de experiencia</v>
      </c>
      <c r="U8" s="9" t="str">
        <f>IF(I8="Tengo un emprendimiento o quiero iniciar uno","",IF(MOD(INT((COUNTIF($I$2:I8,I8)-1)/3),2)=0,"Sí","No"))</f>
        <v>Sí</v>
      </c>
      <c r="V8" s="9" t="str">
        <f>IF(I8="Tengo un emprendimiento o quiero iniciar uno",CHOOSE(MOD(COUNTIF($I$2:I8,I8)-1,3)+1,"Tengo un emprendimiento","Estoy iniciando un emprendimiento","Me interesa emprender"),"")</f>
        <v/>
      </c>
      <c r="W8" t="str">
        <f t="shared" si="5"/>
        <v/>
      </c>
      <c r="X8" s="9" t="str">
        <f>IF(I8="Tengo un emprendimiento o quiero iniciar uno",CHOOSE(MOD(COUNTIF($I$2:I8,I8)-1,5)+1,"Falta de financiación","Falta de conocimientos administrativos","Falta de conocimientos financieros","Falta de tiempo","Falta de herramientas"),"")</f>
        <v/>
      </c>
      <c r="Y8" s="9" t="str">
        <f t="shared" si="6"/>
        <v/>
      </c>
      <c r="Z8" t="str">
        <f>IF(I8="Tengo un emprendimiento o quiero iniciar uno",CHOOSE(INT(MOD((COUNTIF($I$2:I8,I8)-1)*7,39)/13)+1,"Sí","No","No conozco programas de ese tipo"),"")</f>
        <v/>
      </c>
      <c r="AA8" t="str">
        <f t="shared" si="7"/>
        <v>Puedo hacerlo con ayuda</v>
      </c>
      <c r="AB8" t="str">
        <f t="shared" si="7"/>
        <v>Puedo hacerlo con ayuda</v>
      </c>
      <c r="AC8" t="str">
        <f t="shared" si="8"/>
        <v>No puedo hacerlo</v>
      </c>
      <c r="AD8" s="9" t="str">
        <f t="shared" si="9"/>
        <v>Puedo hacerlo con ayuda</v>
      </c>
      <c r="AE8" t="str">
        <f t="shared" si="10"/>
        <v>Puedo hacerlo con ayuda</v>
      </c>
      <c r="AF8" s="9" t="str">
        <f t="shared" si="11"/>
        <v>Herramientas digitales;Educación financiera</v>
      </c>
      <c r="AG8" s="9" t="str">
        <f t="shared" si="17"/>
        <v>Ninguna</v>
      </c>
      <c r="AH8" t="str">
        <f t="shared" si="12"/>
        <v>Programas de emprendimiento</v>
      </c>
      <c r="AI8" s="9" t="str">
        <f t="shared" si="13"/>
        <v>Presencial y virtual</v>
      </c>
      <c r="AJ8" s="9" t="str">
        <f t="shared" si="14"/>
        <v>Diurno</v>
      </c>
      <c r="AK8" s="9" t="str">
        <f t="shared" si="15"/>
        <v>Correo electrónico</v>
      </c>
    </row>
    <row r="9" spans="1:37">
      <c r="A9" t="str">
        <f t="shared" si="16"/>
        <v>SG008</v>
      </c>
      <c r="B9" t="s">
        <v>418</v>
      </c>
      <c r="C9" s="9" t="s">
        <v>427</v>
      </c>
      <c r="D9" t="str">
        <f t="shared" si="0"/>
        <v>Masculino</v>
      </c>
      <c r="E9" s="9" t="str">
        <f t="shared" si="1"/>
        <v>De 22 a 24 años</v>
      </c>
      <c r="F9">
        <f t="shared" si="2"/>
        <v>23</v>
      </c>
      <c r="G9" s="9" t="s">
        <v>428</v>
      </c>
      <c r="H9" s="9" t="str">
        <f t="shared" si="3"/>
        <v>Técnico</v>
      </c>
      <c r="I9" s="9" t="str">
        <f t="shared" si="4"/>
        <v>Actualmente no trabajo y estoy buscando empleo</v>
      </c>
      <c r="J9" s="13" t="str">
        <f>IF(I9="Trabajo actualmente como empleado",IF(MOD((COUNTIF($I$2:I9,"Trabajo actualmente como empleado")-1)*37,150)&lt;100,"Empleado con contrato","Empleado sin contrato formal"),IF(I9="Trabajo de manera independiente","Trabajo independiente",""))</f>
        <v/>
      </c>
      <c r="K9" s="9" t="str">
        <f>IF(OR(I9="Trabajo actualmente como empleado",I9="Trabajo de manera independiente"),CHOOSE(MOD(COUNTIF($I$2:I9,I9)-1,4)+1,"Menos de 3 meses","De 3 a 6 meses","De 7 a 12 meses","Más de un año"),"")</f>
        <v/>
      </c>
      <c r="L9" t="str">
        <f>IF(OR(I9="Trabajo actualmente como empleado",I9="Trabajo de manera independiente"),CHOOSE(MOD(COUNTIF($I$2:I9,I9)-1,3)+1,"Sí, completamente","Parcialmente","No"),"")</f>
        <v/>
      </c>
      <c r="M9" t="str">
        <f>IF(OR(I9="Trabajo actualmente como empleado",I9="Trabajo de manera independiente"),CHOOSE(MOD(INT((COUNTIF($I$2:I9,I9)-1)/3),4)+1,"1- Muy satisfecho/a","2- Satisfecho/a","3- Insatisfecho/a","4- Muy insatisfecho/a"),"")</f>
        <v/>
      </c>
      <c r="N9" t="str">
        <f>IF(OR(I9="Trabajo actualmente como empleado",I9="Trabajo de manera independiente"),_xlfn.LET(_xlpm.opcion,MOD(INT((COUNTIF($I$2:I9,I9)-1)/5),6)+1,CHOOSE(IF(AND(_xlpm.opcion=6,L9="Sí, completamente"),5,_xlpm.opcion),"Salario","Estabilidad laboral","Horario","Acceso a prestaciones","Oportunidades de crecimiento","Trabajar en un área relacionada con mi formación")),"")</f>
        <v/>
      </c>
      <c r="O9" s="9" t="str">
        <f>IF(OR(I9="Trabajo actualmente como empleado",I9="Trabajo de manera independiente"),_xlfn.LET(_xlpm.turno,MOD(COUNTIF($I$2:I9,I9)-1,5),_xlpm.nivel,VALUE(LEFT(M9,1)),IF(_xlpm.turno=4,"No estoy seguro/a",IF(_xlpm.turno&lt;IF(_xlpm.nivel&lt;=2,1,3),"Sí","No"))),"")</f>
        <v/>
      </c>
      <c r="P9" s="9" t="str">
        <f>_xlfn.LET(_xlpm.perfil,I9,_xlpm.turno,COUNTIF($I$2:I9,_xlpm.perfil)-1,_xlpm.busca,OR(_xlpm.perfil="Actualmente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trabajar"),IF(AND(_xlpm.trabaja,O9="No"),"Todavía no he iniciado una búsqueda activa",CHOOSE(MOD(_xlpm.turno*3,5)+1,"Menos de 1 mes","Entre 1 y 3 meses","Entre 4 y 6 meses","Más de 6 meses","Todavía no he iniciado una búsqueda activa")),"")))</f>
        <v>Menos de 1 mes</v>
      </c>
      <c r="Q9" t="str">
        <f>IF(I9="Tengo un emprendimiento o quiero iniciar uno","",CHOOSE(MOD(INT((COUNTIF($I$2:I9,I9)-1)/7),3)+1,"Sí","No","Tengo una pero necesito actualizarla"))</f>
        <v>Sí</v>
      </c>
      <c r="R9" s="9" t="str">
        <f>IF(I9="Tengo un emprendimiento o quiero iniciar uno","",IF(I9="Busco mi primer empleo","No",IF(MOD(COUNTIF($I$2:I9,I9)-1,2)=0,"Sí","No")))</f>
        <v>Sí</v>
      </c>
      <c r="S9" s="9" t="str">
        <f>IF(I9="Tengo un emprendimiento o quiero iniciar uno","",CHOOSE(MOD(INT((COUNTIF($I$2:I9,I9)-1)/3),10)+1,"Portales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9" t="str">
        <f>IF(I9="Tengo un emprendimiento o quiero iniciar uno","",_xlfn.LET(_xlpm.opcion,MOD(INT((COUNTIF($I$2:I9,I9)-1)/4),6)+1,CHOOSE(IF(AND(_xlpm.opcion=3,Q9="Sí"),1,_xlpm.opcion),"Falta de experiencia","Falta de formación","Dificultades con la hoja de vida","Horarios disponibles","Transporte","Internet")))</f>
        <v>Falta de experiencia</v>
      </c>
      <c r="U9" s="9" t="str">
        <f>IF(I9="Tengo un emprendimiento o quiero iniciar uno","",IF(MOD(INT((COUNTIF($I$2:I9,I9)-1)/3),2)=0,"Sí","No"))</f>
        <v>Sí</v>
      </c>
      <c r="V9" s="9" t="str">
        <f>IF(I9="Tengo un emprendimiento o quiero iniciar uno",CHOOSE(MOD(COUNTIF($I$2:I9,I9)-1,3)+1,"Tengo un emprendimiento","Estoy iniciando un emprendimiento","Me interesa emprender"),"")</f>
        <v/>
      </c>
      <c r="W9" t="str">
        <f t="shared" si="5"/>
        <v/>
      </c>
      <c r="X9" s="9" t="str">
        <f>IF(I9="Tengo un emprendimiento o quiero iniciar uno",CHOOSE(MOD(COUNTIF($I$2:I9,I9)-1,5)+1,"Falta de financiación","Falta de conocimientos administrativos","Falta de conocimientos financieros","Falta de tiempo","Falta de herramientas"),"")</f>
        <v/>
      </c>
      <c r="Y9" s="9" t="str">
        <f t="shared" si="6"/>
        <v/>
      </c>
      <c r="Z9" t="str">
        <f>IF(I9="Tengo un emprendimiento o quiero iniciar uno",CHOOSE(INT(MOD((COUNTIF($I$2:I9,I9)-1)*7,39)/13)+1,"Sí","No","No conozco programas de ese tipo"),"")</f>
        <v/>
      </c>
      <c r="AA9" t="str">
        <f t="shared" si="7"/>
        <v>Puedo hacerlo sin ayuda</v>
      </c>
      <c r="AB9" t="str">
        <f t="shared" si="7"/>
        <v>Puedo hacerlo sin ayuda</v>
      </c>
      <c r="AC9" t="str">
        <f t="shared" si="8"/>
        <v>Puedo hacerlo con ayuda</v>
      </c>
      <c r="AD9" s="9" t="str">
        <f t="shared" si="9"/>
        <v>Puedo hacerlo con dificultad</v>
      </c>
      <c r="AE9" t="str">
        <f t="shared" si="10"/>
        <v>Puedo hacerlo con ayuda</v>
      </c>
      <c r="AF9" s="9" t="str">
        <f t="shared" si="11"/>
        <v>Crear una hoja de vida</v>
      </c>
      <c r="AG9" s="9" t="str">
        <f t="shared" si="17"/>
        <v>Ninguna</v>
      </c>
      <c r="AH9" t="str">
        <f t="shared" si="12"/>
        <v>Oficina de orientación laboral</v>
      </c>
      <c r="AI9" s="9" t="str">
        <f t="shared" si="13"/>
        <v>Presencial</v>
      </c>
      <c r="AJ9" s="9" t="str">
        <f t="shared" si="14"/>
        <v>Mañana entre semana</v>
      </c>
      <c r="AK9" s="9" t="str">
        <f t="shared" si="15"/>
        <v>Celular</v>
      </c>
    </row>
    <row r="10" spans="1:37">
      <c r="A10" t="str">
        <f t="shared" si="16"/>
        <v>SG009</v>
      </c>
      <c r="B10" t="s">
        <v>418</v>
      </c>
      <c r="C10" s="9" t="s">
        <v>427</v>
      </c>
      <c r="D10" t="str">
        <f t="shared" si="0"/>
        <v>Masculino</v>
      </c>
      <c r="E10" t="str">
        <f t="shared" si="1"/>
        <v>De 24 a 26 años</v>
      </c>
      <c r="F10">
        <f t="shared" si="2"/>
        <v>25</v>
      </c>
      <c r="G10" s="9" t="s">
        <v>428</v>
      </c>
      <c r="H10" s="9" t="str">
        <f t="shared" si="3"/>
        <v>Tecnólogo</v>
      </c>
      <c r="I10" s="9" t="str">
        <f t="shared" si="4"/>
        <v>Estudio y quiero comenzar a trabajar</v>
      </c>
      <c r="J10" s="13" t="str">
        <f>IF(I10="Trabajo actualmente como empleado",IF(MOD((COUNTIF($I$2:I10,"Trabajo actualmente como empleado")-1)*37,150)&lt;100,"Empleado con contrato","Empleado sin contrato formal"),IF(I10="Trabajo de manera independiente","Trabajo independiente",""))</f>
        <v/>
      </c>
      <c r="K10" s="9" t="str">
        <f>IF(OR(I10="Trabajo actualmente como empleado",I10="Trabajo de manera independiente"),CHOOSE(MOD(COUNTIF($I$2:I10,I10)-1,4)+1,"Menos de 3 meses","De 3 a 6 meses","De 7 a 12 meses","Más de un año"),"")</f>
        <v/>
      </c>
      <c r="L10" t="str">
        <f>IF(OR(I10="Trabajo actualmente como empleado",I10="Trabajo de manera independiente"),CHOOSE(MOD(COUNTIF($I$2:I10,I10)-1,3)+1,"Sí, completamente","Parcialmente","No"),"")</f>
        <v/>
      </c>
      <c r="M10" t="str">
        <f>IF(OR(I10="Trabajo actualmente como empleado",I10="Trabajo de manera independiente"),CHOOSE(MOD(INT((COUNTIF($I$2:I10,I10)-1)/3),4)+1,"1- Muy satisfecho/a","2- Satisfecho/a","3- Insatisfecho/a","4- Muy insatisfecho/a"),"")</f>
        <v/>
      </c>
      <c r="N10" t="str">
        <f>IF(OR(I10="Trabajo actualmente como empleado",I10="Trabajo de manera independiente"),_xlfn.LET(_xlpm.opcion,MOD(INT((COUNTIF($I$2:I10,I10)-1)/5),6)+1,CHOOSE(IF(AND(_xlpm.opcion=6,L10="Sí, completamente"),5,_xlpm.opcion),"Salario","Estabilidad laboral","Horario","Acceso a prestaciones","Oportunidades de crecimiento","Trabajar en un área relacionada con mi formación")),"")</f>
        <v/>
      </c>
      <c r="O10" s="9" t="str">
        <f>IF(OR(I10="Trabajo actualmente como empleado",I10="Trabajo de manera independiente"),_xlfn.LET(_xlpm.turno,MOD(COUNTIF($I$2:I10,I10)-1,5),_xlpm.nivel,VALUE(LEFT(M10,1)),IF(_xlpm.turno=4,"No estoy seguro/a",IF(_xlpm.turno&lt;IF(_xlpm.nivel&lt;=2,1,3),"Sí","No"))),"")</f>
        <v/>
      </c>
      <c r="P10" s="9" t="str">
        <f>_xlfn.LET(_xlpm.perfil,I10,_xlpm.turno,COUNTIF($I$2:I10,_xlpm.perfil)-1,_xlpm.busca,OR(_xlpm.perfil="Actualmente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trabajar"),IF(AND(_xlpm.trabaja,O10="No"),"Todavía no he iniciado una búsqueda activa",CHOOSE(MOD(_xlpm.turno*3,5)+1,"Menos de 1 mes","Entre 1 y 3 meses","Entre 4 y 6 meses","Más de 6 meses","Todavía no he iniciado una búsqueda activa")),"")))</f>
        <v>Más de 6 meses</v>
      </c>
      <c r="Q10" t="str">
        <f>IF(I10="Tengo un emprendimiento o quiero iniciar uno","",CHOOSE(MOD(INT((COUNTIF($I$2:I10,I10)-1)/7),3)+1,"Sí","No","Tengo una pero necesito actualizarla"))</f>
        <v>Sí</v>
      </c>
      <c r="R10" s="9" t="str">
        <f>IF(I10="Tengo un emprendimiento o quiero iniciar uno","",IF(I10="Busco mi primer empleo","No",IF(MOD(COUNTIF($I$2:I10,I10)-1,2)=0,"Sí","No")))</f>
        <v>No</v>
      </c>
      <c r="S10" t="str">
        <f>IF(I10="Tengo un emprendimiento o quiero iniciar uno","",CHOOSE(MOD(INT((COUNTIF($I$2:I10,I10)-1)/3),10)+1,"Portales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0" t="str">
        <f>IF(I10="Tengo un emprendimiento o quiero iniciar uno","",_xlfn.LET(_xlpm.opcion,MOD(INT((COUNTIF($I$2:I10,I10)-1)/4),6)+1,CHOOSE(IF(AND(_xlpm.opcion=3,Q10="Sí"),1,_xlpm.opcion),"Falta de experiencia","Falta de formación","Dificultades con la hoja de vida","Horarios disponibles","Transporte","Internet")))</f>
        <v>Falta de experiencia</v>
      </c>
      <c r="U10" s="9" t="str">
        <f>IF(I10="Tengo un emprendimiento o quiero iniciar uno","",IF(MOD(INT((COUNTIF($I$2:I10,I10)-1)/3),2)=0,"Sí","No"))</f>
        <v>Sí</v>
      </c>
      <c r="V10" s="9" t="str">
        <f>IF(I10="Tengo un emprendimiento o quiero iniciar uno",CHOOSE(MOD(COUNTIF($I$2:I10,I10)-1,3)+1,"Tengo un emprendimiento","Estoy iniciando un emprendimiento","Me interesa emprender"),"")</f>
        <v/>
      </c>
      <c r="W10" t="str">
        <f t="shared" si="5"/>
        <v/>
      </c>
      <c r="X10" s="9" t="str">
        <f>IF(I10="Tengo un emprendimiento o quiero iniciar uno",CHOOSE(MOD(COUNTIF($I$2:I10,I10)-1,5)+1,"Falta de financiación","Falta de conocimientos administrativos","Falta de conocimientos financieros","Falta de tiempo","Falta de herramientas"),"")</f>
        <v/>
      </c>
      <c r="Y10" s="9" t="str">
        <f t="shared" si="6"/>
        <v/>
      </c>
      <c r="Z10" t="str">
        <f>IF(I10="Tengo un emprendimiento o quiero iniciar uno",CHOOSE(INT(MOD((COUNTIF($I$2:I10,I10)-1)*7,39)/13)+1,"Sí","No","No conozco programas de ese tipo"),"")</f>
        <v/>
      </c>
      <c r="AA10" t="str">
        <f t="shared" si="7"/>
        <v>No puedo hacerlo</v>
      </c>
      <c r="AB10" t="str">
        <f t="shared" si="7"/>
        <v>No puedo hacerlo</v>
      </c>
      <c r="AC10" t="str">
        <f t="shared" si="8"/>
        <v>Puedo hacerlo sin ayuda</v>
      </c>
      <c r="AD10" s="9" t="str">
        <f t="shared" si="9"/>
        <v>Puedo hacerlo sin ayuda</v>
      </c>
      <c r="AE10" t="str">
        <f t="shared" si="10"/>
        <v>Puedo hacerlo con dificultad</v>
      </c>
      <c r="AF10" s="9" t="str">
        <f t="shared" si="11"/>
        <v>Preparación para entrevista</v>
      </c>
      <c r="AG10" s="9" t="str">
        <f t="shared" si="17"/>
        <v>Ninguna</v>
      </c>
      <c r="AH10" t="str">
        <f t="shared" si="12"/>
        <v>Ferias de empleo</v>
      </c>
      <c r="AI10" s="9" t="str">
        <f t="shared" si="13"/>
        <v>Virtual</v>
      </c>
      <c r="AJ10" s="9" t="str">
        <f t="shared" si="14"/>
        <v>Fines de semana</v>
      </c>
      <c r="AK10" s="9" t="str">
        <f t="shared" si="15"/>
        <v>Correo electrónico</v>
      </c>
    </row>
    <row r="11" spans="1:37">
      <c r="A11" t="str">
        <f t="shared" si="16"/>
        <v>SG010</v>
      </c>
      <c r="B11" t="s">
        <v>418</v>
      </c>
      <c r="C11" s="9" t="s">
        <v>427</v>
      </c>
      <c r="D11" t="str">
        <f t="shared" si="0"/>
        <v>Femenino</v>
      </c>
      <c r="E11" t="str">
        <f t="shared" si="1"/>
        <v>De 26 a 28 años</v>
      </c>
      <c r="F11">
        <f t="shared" si="2"/>
        <v>27</v>
      </c>
      <c r="G11" s="9" t="s">
        <v>428</v>
      </c>
      <c r="H11" s="9" t="str">
        <f t="shared" si="3"/>
        <v>Tecnólogo</v>
      </c>
      <c r="I11" s="9" t="str">
        <f t="shared" si="4"/>
        <v>Trabajo actualmente como empleado</v>
      </c>
      <c r="J11" s="13" t="str">
        <f>IF(I11="Trabajo actualmente como empleado",IF(MOD((COUNTIF($I$2:I11,"Trabajo actualmente como empleado")-1)*37,150)&lt;100,"Empleado con contrato","Empleado sin contrato formal"),IF(I11="Trabajo de manera independiente","Trabajo independiente",""))</f>
        <v>Empleado sin contrato formal</v>
      </c>
      <c r="K11" s="9" t="str">
        <f>IF(OR(I11="Trabajo actualmente como empleado",I11="Trabajo de manera independiente"),CHOOSE(MOD(COUNTIF($I$2:I11,I11)-1,4)+1,"Menos de 3 meses","De 3 a 6 meses","De 7 a 12 meses","Más de un año"),"")</f>
        <v>Más de un año</v>
      </c>
      <c r="L11" t="str">
        <f>IF(OR(I11="Trabajo actualmente como empleado",I11="Trabajo de manera independiente"),CHOOSE(MOD(COUNTIF($I$2:I11,I11)-1,3)+1,"Sí, completamente","Parcialmente","No"),"")</f>
        <v>Sí, completamente</v>
      </c>
      <c r="M11" t="str">
        <f>IF(OR(I11="Trabajo actualmente como empleado",I11="Trabajo de manera independiente"),CHOOSE(MOD(INT((COUNTIF($I$2:I11,I11)-1)/3),4)+1,"1- Muy satisfecho/a","2- Satisfecho/a","3- Insatisfecho/a","4- Muy insatisfecho/a"),"")</f>
        <v>2- Satisfecho/a</v>
      </c>
      <c r="N11" t="str">
        <f>IF(OR(I11="Trabajo actualmente como empleado",I11="Trabajo de manera independiente"),_xlfn.LET(_xlpm.opcion,MOD(INT((COUNTIF($I$2:I11,I11)-1)/5),6)+1,CHOOSE(IF(AND(_xlpm.opcion=6,L11="Sí, completamente"),5,_xlpm.opcion),"Salario","Estabilidad laboral","Horario","Acceso a prestaciones","Oportunidades de crecimiento","Trabajar en un área relacionada con mi formación")),"")</f>
        <v>Salario</v>
      </c>
      <c r="O11" s="9" t="str">
        <f>IF(OR(I11="Trabajo actualmente como empleado",I11="Trabajo de manera independiente"),_xlfn.LET(_xlpm.turno,MOD(COUNTIF($I$2:I11,I11)-1,5),_xlpm.nivel,VALUE(LEFT(M11,1)),IF(_xlpm.turno=4,"No estoy seguro/a",IF(_xlpm.turno&lt;IF(_xlpm.nivel&lt;=2,1,3),"Sí","No"))),"")</f>
        <v>No</v>
      </c>
      <c r="P11" s="9" t="str">
        <f>_xlfn.LET(_xlpm.perfil,I11,_xlpm.turno,COUNTIF($I$2:I11,_xlpm.perfil)-1,_xlpm.busca,OR(_xlpm.perfil="Actualmente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1" t="str">
        <f>IF(I11="Tengo un emprendimiento o quiero iniciar uno","",CHOOSE(MOD(INT((COUNTIF($I$2:I11,I11)-1)/7),3)+1,"Sí","No","Tengo una pero necesito actualizarla"))</f>
        <v>Sí</v>
      </c>
      <c r="R11" s="9" t="str">
        <f>IF(I11="Tengo un emprendimiento o quiero iniciar uno","",IF(I11="Busco mi primer empleo","No",IF(MOD(COUNTIF($I$2:I11,I11)-1,2)=0,"Sí","No")))</f>
        <v>No</v>
      </c>
      <c r="S11" t="str">
        <f>IF(I11="Tengo un emprendimiento o quiero iniciar uno","",CHOOSE(MOD(INT((COUNTIF($I$2:I11,I11)-1)/3),10)+1,"Portales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1" t="str">
        <f>IF(I11="Tengo un emprendimiento o quiero iniciar uno","",_xlfn.LET(_xlpm.opcion,MOD(INT((COUNTIF($I$2:I11,I11)-1)/4),6)+1,CHOOSE(IF(AND(_xlpm.opcion=3,Q11="Sí"),1,_xlpm.opcion),"Falta de experiencia","Falta de formación","Dificultades con la hoja de vida","Horarios disponibles","Transporte","Internet")))</f>
        <v>Falta de experiencia</v>
      </c>
      <c r="U11" s="9" t="str">
        <f>IF(I11="Tengo un emprendimiento o quiero iniciar uno","",IF(MOD(INT((COUNTIF($I$2:I11,I11)-1)/3),2)=0,"Sí","No"))</f>
        <v>No</v>
      </c>
      <c r="V11" s="9" t="str">
        <f>IF(I11="Tengo un emprendimiento o quiero iniciar uno",CHOOSE(MOD(COUNTIF($I$2:I11,I11)-1,3)+1,"Tengo un emprendimiento","Estoy iniciando un emprendimiento","Me interesa emprender"),"")</f>
        <v/>
      </c>
      <c r="W11" t="str">
        <f t="shared" si="5"/>
        <v/>
      </c>
      <c r="X11" s="9" t="str">
        <f>IF(I11="Tengo un emprendimiento o quiero iniciar uno",CHOOSE(MOD(COUNTIF($I$2:I11,I11)-1,5)+1,"Falta de financiación","Falta de conocimientos administrativos","Falta de conocimientos financieros","Falta de tiempo","Falta de herramientas"),"")</f>
        <v/>
      </c>
      <c r="Y11" s="9" t="str">
        <f t="shared" si="6"/>
        <v/>
      </c>
      <c r="Z11" t="str">
        <f>IF(I11="Tengo un emprendimiento o quiero iniciar uno",CHOOSE(INT(MOD((COUNTIF($I$2:I11,I11)-1)*7,39)/13)+1,"Sí","No","No conozco programas de ese tipo"),"")</f>
        <v/>
      </c>
      <c r="AA11" t="str">
        <f t="shared" si="7"/>
        <v>Puedo hacerlo con dificultad</v>
      </c>
      <c r="AB11" t="str">
        <f t="shared" si="7"/>
        <v>Puedo hacerlo con dificultad</v>
      </c>
      <c r="AC11" t="str">
        <f t="shared" si="8"/>
        <v>No puedo hacerlo</v>
      </c>
      <c r="AD11" s="9" t="str">
        <f t="shared" si="9"/>
        <v>Puedo hacerlo sin ayuda</v>
      </c>
      <c r="AE11" t="str">
        <f t="shared" si="10"/>
        <v>Puedo hacerlo con dificultad</v>
      </c>
      <c r="AF11" s="9" t="str">
        <f t="shared" si="11"/>
        <v>Comunicación</v>
      </c>
      <c r="AG11" s="9" t="str">
        <f t="shared" si="17"/>
        <v>Falta de experiencia</v>
      </c>
      <c r="AH11" t="str">
        <f t="shared" si="12"/>
        <v>No conozco ninguno</v>
      </c>
      <c r="AI11" s="9" t="str">
        <f t="shared" si="13"/>
        <v>Presencial y virtual</v>
      </c>
      <c r="AJ11" s="9" t="str">
        <f t="shared" si="14"/>
        <v>Nocturno</v>
      </c>
      <c r="AK11" s="9" t="str">
        <f t="shared" si="15"/>
        <v>Redes sociales</v>
      </c>
    </row>
    <row r="12" spans="1:37">
      <c r="A12" t="str">
        <f t="shared" si="16"/>
        <v>SG011</v>
      </c>
      <c r="B12" t="s">
        <v>418</v>
      </c>
      <c r="C12" s="9" t="s">
        <v>427</v>
      </c>
      <c r="D12" t="str">
        <f t="shared" si="0"/>
        <v>Femenino</v>
      </c>
      <c r="E12" s="9" t="str">
        <f t="shared" si="1"/>
        <v>De 18 a 20 años</v>
      </c>
      <c r="F12">
        <f t="shared" si="2"/>
        <v>18</v>
      </c>
      <c r="G12" s="9" t="s">
        <v>428</v>
      </c>
      <c r="H12" s="9" t="str">
        <f t="shared" si="3"/>
        <v>Técnico</v>
      </c>
      <c r="I12" s="9" t="str">
        <f t="shared" si="4"/>
        <v>Actualmente no trabajo y estoy buscando empleo</v>
      </c>
      <c r="J12" s="13" t="str">
        <f>IF(I12="Trabajo actualmente como empleado",IF(MOD((COUNTIF($I$2:I12,"Trabajo actualmente como empleado")-1)*37,150)&lt;100,"Empleado con contrato","Empleado sin contrato formal"),IF(I12="Trabajo de manera independiente","Trabajo independiente",""))</f>
        <v/>
      </c>
      <c r="K12" s="9" t="str">
        <f>IF(OR(I12="Trabajo actualmente como empleado",I12="Trabajo de manera independiente"),CHOOSE(MOD(COUNTIF($I$2:I12,I12)-1,4)+1,"Menos de 3 meses","De 3 a 6 meses","De 7 a 12 meses","Más de un año"),"")</f>
        <v/>
      </c>
      <c r="L12" t="str">
        <f>IF(OR(I12="Trabajo actualmente como empleado",I12="Trabajo de manera independiente"),CHOOSE(MOD(COUNTIF($I$2:I12,I12)-1,3)+1,"Sí, completamente","Parcialmente","No"),"")</f>
        <v/>
      </c>
      <c r="M12" t="str">
        <f>IF(OR(I12="Trabajo actualmente como empleado",I12="Trabajo de manera independiente"),CHOOSE(MOD(INT((COUNTIF($I$2:I12,I12)-1)/3),4)+1,"1- Muy satisfecho/a","2- Satisfecho/a","3- Insatisfecho/a","4- Muy insatisfecho/a"),"")</f>
        <v/>
      </c>
      <c r="N12" t="str">
        <f>IF(OR(I12="Trabajo actualmente como empleado",I12="Trabajo de manera independiente"),_xlfn.LET(_xlpm.opcion,MOD(INT((COUNTIF($I$2:I12,I12)-1)/5),6)+1,CHOOSE(IF(AND(_xlpm.opcion=6,L12="Sí, completamente"),5,_xlpm.opcion),"Salario","Estabilidad laboral","Horario","Acceso a prestaciones","Oportunidades de crecimiento","Trabajar en un área relacionada con mi formación")),"")</f>
        <v/>
      </c>
      <c r="O12" s="9" t="str">
        <f>IF(OR(I12="Trabajo actualmente como empleado",I12="Trabajo de manera independiente"),_xlfn.LET(_xlpm.turno,MOD(COUNTIF($I$2:I12,I12)-1,5),_xlpm.nivel,VALUE(LEFT(M12,1)),IF(_xlpm.turno=4,"No estoy seguro/a",IF(_xlpm.turno&lt;IF(_xlpm.nivel&lt;=2,1,3),"Sí","No"))),"")</f>
        <v/>
      </c>
      <c r="P12" s="9" t="str">
        <f>_xlfn.LET(_xlpm.perfil,I12,_xlpm.turno,COUNTIF($I$2:I12,_xlpm.perfil)-1,_xlpm.busca,OR(_xlpm.perfil="Actualmente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trabajar"),IF(AND(_xlpm.trabaja,O12="No"),"Todavía no he iniciado una búsqueda activa",CHOOSE(MOD(_xlpm.turno*3,5)+1,"Menos de 1 mes","Entre 1 y 3 meses","Entre 4 y 6 meses","Más de 6 meses","Todavía no he iniciado una búsqueda activa")),"")))</f>
        <v>Más de 6 meses</v>
      </c>
      <c r="Q12" t="str">
        <f>IF(I12="Tengo un emprendimiento o quiero iniciar uno","",CHOOSE(MOD(INT((COUNTIF($I$2:I12,I12)-1)/7),3)+1,"Sí","No","Tengo una pero necesito actualizarla"))</f>
        <v>Sí</v>
      </c>
      <c r="R12" s="9" t="str">
        <f>IF(I12="Tengo un emprendimiento o quiero iniciar uno","",IF(I12="Busco mi primer empleo","No",IF(MOD(COUNTIF($I$2:I12,I12)-1,2)=0,"Sí","No")))</f>
        <v>No</v>
      </c>
      <c r="S12" t="str">
        <f>IF(I12="Tengo un emprendimiento o quiero iniciar uno","",CHOOSE(MOD(INT((COUNTIF($I$2:I12,I12)-1)/3),10)+1,"Portales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2" t="str">
        <f>IF(I12="Tengo un emprendimiento o quiero iniciar uno","",_xlfn.LET(_xlpm.opcion,MOD(INT((COUNTIF($I$2:I12,I12)-1)/4),6)+1,CHOOSE(IF(AND(_xlpm.opcion=3,Q12="Sí"),1,_xlpm.opcion),"Falta de experiencia","Falta de formación","Dificultades con la hoja de vida","Horarios disponibles","Transporte","Internet")))</f>
        <v>Falta de experiencia</v>
      </c>
      <c r="U12" s="9" t="str">
        <f>IF(I12="Tengo un emprendimiento o quiero iniciar uno","",IF(MOD(INT((COUNTIF($I$2:I12,I12)-1)/3),2)=0,"Sí","No"))</f>
        <v>Sí</v>
      </c>
      <c r="V12" s="9" t="str">
        <f>IF(I12="Tengo un emprendimiento o quiero iniciar uno",CHOOSE(MOD(COUNTIF($I$2:I12,I12)-1,3)+1,"Tengo un emprendimiento","Estoy iniciando un emprendimiento","Me interesa emprender"),"")</f>
        <v/>
      </c>
      <c r="W12" t="str">
        <f t="shared" si="5"/>
        <v/>
      </c>
      <c r="X12" s="9" t="str">
        <f>IF(I12="Tengo un emprendimiento o quiero iniciar uno",CHOOSE(MOD(COUNTIF($I$2:I12,I12)-1,5)+1,"Falta de financiación","Falta de conocimientos administrativos","Falta de conocimientos financieros","Falta de tiempo","Falta de herramientas"),"")</f>
        <v/>
      </c>
      <c r="Y12" s="9" t="str">
        <f t="shared" si="6"/>
        <v/>
      </c>
      <c r="Z12" t="str">
        <f>IF(I12="Tengo un emprendimiento o quiero iniciar uno",CHOOSE(INT(MOD((COUNTIF($I$2:I12,I12)-1)*7,39)/13)+1,"Sí","No","No conozco programas de ese tipo"),"")</f>
        <v/>
      </c>
      <c r="AA12" t="str">
        <f t="shared" si="7"/>
        <v>Puedo hacerlo sin ayuda</v>
      </c>
      <c r="AB12" t="str">
        <f t="shared" si="7"/>
        <v>Puedo hacerlo sin ayuda</v>
      </c>
      <c r="AC12" t="str">
        <f t="shared" si="8"/>
        <v>Puedo hacerlo con ayuda</v>
      </c>
      <c r="AD12" s="9" t="str">
        <f t="shared" si="9"/>
        <v>No puedo hacerlo</v>
      </c>
      <c r="AE12" t="str">
        <f t="shared" si="10"/>
        <v>Puedo hacerlo sin ayuda</v>
      </c>
      <c r="AF12" s="9" t="str">
        <f t="shared" si="11"/>
        <v>Liderazgo</v>
      </c>
      <c r="AG12" s="9" t="str">
        <f t="shared" si="17"/>
        <v>Falta de experiencia</v>
      </c>
      <c r="AH12" t="str">
        <f t="shared" si="12"/>
        <v>Ferias de empleo</v>
      </c>
      <c r="AI12" s="9" t="str">
        <f t="shared" si="13"/>
        <v>Me es indiferente</v>
      </c>
      <c r="AJ12" s="9" t="str">
        <f t="shared" si="14"/>
        <v>Mañana entre semana</v>
      </c>
      <c r="AK12" s="9" t="str">
        <f t="shared" si="15"/>
        <v>WhatsApp</v>
      </c>
    </row>
    <row r="13" spans="1:37">
      <c r="A13" t="str">
        <f t="shared" si="16"/>
        <v>SG012</v>
      </c>
      <c r="B13" t="s">
        <v>418</v>
      </c>
      <c r="C13" s="9" t="s">
        <v>427</v>
      </c>
      <c r="D13" t="str">
        <f t="shared" si="0"/>
        <v>Masculino</v>
      </c>
      <c r="E13" t="str">
        <f t="shared" si="1"/>
        <v>De 20 a 22 años</v>
      </c>
      <c r="F13">
        <f t="shared" si="2"/>
        <v>20</v>
      </c>
      <c r="G13" s="9" t="s">
        <v>428</v>
      </c>
      <c r="H13" s="9" t="str">
        <f t="shared" si="3"/>
        <v>Tecnólogo</v>
      </c>
      <c r="I13" s="9" t="str">
        <f t="shared" si="4"/>
        <v>Tengo un emprendimiento o quiero iniciar uno</v>
      </c>
      <c r="J13" s="13" t="str">
        <f>IF(I13="Trabajo actualmente como empleado",IF(MOD((COUNTIF($I$2:I13,"Trabajo actualmente como empleado")-1)*37,150)&lt;100,"Empleado con contrato","Empleado sin contrato formal"),IF(I13="Trabajo de manera independiente","Trabajo independiente",""))</f>
        <v/>
      </c>
      <c r="K13" s="9" t="str">
        <f>IF(OR(I13="Trabajo actualmente como empleado",I13="Trabajo de manera independiente"),CHOOSE(MOD(COUNTIF($I$2:I13,I13)-1,4)+1,"Menos de 3 meses","De 3 a 6 meses","De 7 a 12 meses","Más de un año"),"")</f>
        <v/>
      </c>
      <c r="L13" t="str">
        <f>IF(OR(I13="Trabajo actualmente como empleado",I13="Trabajo de manera independiente"),CHOOSE(MOD(COUNTIF($I$2:I13,I13)-1,3)+1,"Sí, completamente","Parcialmente","No"),"")</f>
        <v/>
      </c>
      <c r="M13" t="str">
        <f>IF(OR(I13="Trabajo actualmente como empleado",I13="Trabajo de manera independiente"),CHOOSE(MOD(INT((COUNTIF($I$2:I13,I13)-1)/3),4)+1,"1- Muy satisfecho/a","2- Satisfecho/a","3- Insatisfecho/a","4- Muy insatisfecho/a"),"")</f>
        <v/>
      </c>
      <c r="N13" t="str">
        <f>IF(OR(I13="Trabajo actualmente como empleado",I13="Trabajo de manera independiente"),_xlfn.LET(_xlpm.opcion,MOD(INT((COUNTIF($I$2:I13,I13)-1)/5),6)+1,CHOOSE(IF(AND(_xlpm.opcion=6,L13="Sí, completamente"),5,_xlpm.opcion),"Salario","Estabilidad laboral","Horario","Acceso a prestaciones","Oportunidades de crecimiento","Trabajar en un área relacionada con mi formación")),"")</f>
        <v/>
      </c>
      <c r="O13" s="9" t="str">
        <f>IF(OR(I13="Trabajo actualmente como empleado",I13="Trabajo de manera independiente"),_xlfn.LET(_xlpm.turno,MOD(COUNTIF($I$2:I13,I13)-1,5),_xlpm.nivel,VALUE(LEFT(M13,1)),IF(_xlpm.turno=4,"No estoy seguro/a",IF(_xlpm.turno&lt;IF(_xlpm.nivel&lt;=2,1,3),"Sí","No"))),"")</f>
        <v/>
      </c>
      <c r="P13" s="9" t="str">
        <f>_xlfn.LET(_xlpm.perfil,I13,_xlpm.turno,COUNTIF($I$2:I13,_xlpm.perfil)-1,_xlpm.busca,OR(_xlpm.perfil="Actualmente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trabajar"),IF(AND(_xlpm.trabaja,O13="No"),"Todavía no he iniciado una búsqueda activa",CHOOSE(MOD(_xlpm.turno*3,5)+1,"Menos de 1 mes","Entre 1 y 3 meses","Entre 4 y 6 meses","Más de 6 meses","Todavía no he iniciado una búsqueda activa")),"")))</f>
        <v/>
      </c>
      <c r="Q13" t="str">
        <f>IF(I13="Tengo un emprendimiento o quiero iniciar uno","",CHOOSE(MOD(INT((COUNTIF($I$2:I13,I13)-1)/7),3)+1,"Sí","No","Tengo una pero necesito actualizarla"))</f>
        <v/>
      </c>
      <c r="R13" s="9" t="str">
        <f>IF(I13="Tengo un emprendimiento o quiero iniciar uno","",IF(I13="Busco mi primer empleo","No",IF(MOD(COUNTIF($I$2:I13,I13)-1,2)=0,"Sí","No")))</f>
        <v/>
      </c>
      <c r="S13" t="str">
        <f>IF(I13="Tengo un emprendimiento o quiero iniciar uno","",CHOOSE(MOD(INT((COUNTIF($I$2:I13,I13)-1)/3),10)+1,"Portales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3" t="str">
        <f>IF(I13="Tengo un emprendimiento o quiero iniciar uno","",_xlfn.LET(_xlpm.opcion,MOD(INT((COUNTIF($I$2:I13,I13)-1)/4),6)+1,CHOOSE(IF(AND(_xlpm.opcion=3,Q13="Sí"),1,_xlpm.opcion),"Falta de experiencia","Falta de formación","Dificultades con la hoja de vida","Horarios disponibles","Transporte","Internet")))</f>
        <v/>
      </c>
      <c r="U13" s="9" t="str">
        <f>IF(I13="Tengo un emprendimiento o quiero iniciar uno","",IF(MOD(INT((COUNTIF($I$2:I13,I13)-1)/3),2)=0,"Sí","No"))</f>
        <v/>
      </c>
      <c r="V13" s="9" t="str">
        <f>IF(I13="Tengo un emprendimiento o quiero iniciar uno",CHOOSE(MOD(COUNTIF($I$2:I13,I13)-1,3)+1,"Tengo un emprendimiento","Estoy iniciando un emprendimiento","Me interesa emprender"),"")</f>
        <v>Tengo un emprendimiento</v>
      </c>
      <c r="W13" t="str">
        <f t="shared" si="5"/>
        <v>Funcionamiento estable</v>
      </c>
      <c r="X13" s="9" t="str">
        <f>IF(I13="Tengo un emprendimiento o quiero iniciar uno",CHOOSE(MOD(COUNTIF($I$2:I13,I13)-1,5)+1,"Falta de financiación","Falta de conocimientos administrativos","Falta de conocimientos financieros","Falta de tiempo","Falta de herramientas"),"")</f>
        <v>Falta de financiación</v>
      </c>
      <c r="Y13" s="9" t="str">
        <f t="shared" si="6"/>
        <v>Falta de financiación</v>
      </c>
      <c r="Z13" t="str">
        <f>IF(I13="Tengo un emprendimiento o quiero iniciar uno",CHOOSE(INT(MOD((COUNTIF($I$2:I13,I13)-1)*7,39)/13)+1,"Sí","No","No conozco programas de ese tipo"),"")</f>
        <v>Sí</v>
      </c>
      <c r="AA13" t="str">
        <f t="shared" si="7"/>
        <v>Puedo hacerlo con ayuda</v>
      </c>
      <c r="AB13" t="str">
        <f t="shared" si="7"/>
        <v>Puedo hacerlo con ayuda</v>
      </c>
      <c r="AC13" t="str">
        <f t="shared" si="8"/>
        <v>Puedo hacerlo sin ayuda</v>
      </c>
      <c r="AD13" s="9" t="str">
        <f t="shared" si="9"/>
        <v>Puedo hacerlo con ayuda</v>
      </c>
      <c r="AE13" t="str">
        <f t="shared" si="10"/>
        <v>No puedo hacerlo</v>
      </c>
      <c r="AF13" s="9" t="str">
        <f t="shared" si="11"/>
        <v>Emprendimiento</v>
      </c>
      <c r="AG13" s="9" t="str">
        <f t="shared" si="17"/>
        <v>Falta de experiencia</v>
      </c>
      <c r="AH13" t="str">
        <f t="shared" si="12"/>
        <v>Programas de emprendimiento</v>
      </c>
      <c r="AI13" s="9" t="str">
        <f t="shared" si="13"/>
        <v>Presencial</v>
      </c>
      <c r="AJ13" s="9" t="str">
        <f t="shared" si="14"/>
        <v>Fines de semana</v>
      </c>
      <c r="AK13" s="9" t="str">
        <f t="shared" si="15"/>
        <v>Correo electrónico</v>
      </c>
    </row>
    <row r="14" spans="1:37">
      <c r="A14" t="str">
        <f t="shared" si="16"/>
        <v>SG013</v>
      </c>
      <c r="B14" t="s">
        <v>418</v>
      </c>
      <c r="C14" s="9" t="s">
        <v>427</v>
      </c>
      <c r="D14" t="str">
        <f t="shared" si="0"/>
        <v>Masculino</v>
      </c>
      <c r="E14" t="str">
        <f t="shared" si="1"/>
        <v>De 22 a 24 años</v>
      </c>
      <c r="F14">
        <f t="shared" si="2"/>
        <v>22</v>
      </c>
      <c r="G14" s="9" t="s">
        <v>428</v>
      </c>
      <c r="H14" s="9" t="str">
        <f t="shared" si="3"/>
        <v>Profesional</v>
      </c>
      <c r="I14" s="9" t="str">
        <f t="shared" si="4"/>
        <v>Trabajo de manera independiente</v>
      </c>
      <c r="J14" s="13" t="str">
        <f>IF(I14="Trabajo actualmente como empleado",IF(MOD((COUNTIF($I$2:I14,"Trabajo actualmente como empleado")-1)*37,150)&lt;100,"Empleado con contrato","Empleado sin contrato formal"),IF(I14="Trabajo de manera independiente","Trabajo independiente",""))</f>
        <v>Trabajo independiente</v>
      </c>
      <c r="K14" s="9" t="str">
        <f>IF(OR(I14="Trabajo actualmente como empleado",I14="Trabajo de manera independiente"),CHOOSE(MOD(COUNTIF($I$2:I14,I14)-1,4)+1,"Menos de 3 meses","De 3 a 6 meses","De 7 a 12 meses","Más de un año"),"")</f>
        <v>De 7 a 12 meses</v>
      </c>
      <c r="L14" t="str">
        <f>IF(OR(I14="Trabajo actualmente como empleado",I14="Trabajo de manera independiente"),CHOOSE(MOD(COUNTIF($I$2:I14,I14)-1,3)+1,"Sí, completamente","Parcialmente","No"),"")</f>
        <v>No</v>
      </c>
      <c r="M14" t="str">
        <f>IF(OR(I14="Trabajo actualmente como empleado",I14="Trabajo de manera independiente"),CHOOSE(MOD(INT((COUNTIF($I$2:I14,I14)-1)/3),4)+1,"1- Muy satisfecho/a","2- Satisfecho/a","3- Insatisfecho/a","4- Muy insatisfecho/a"),"")</f>
        <v>1- Muy satisfecho/a</v>
      </c>
      <c r="N14" t="str">
        <f>IF(OR(I14="Trabajo actualmente como empleado",I14="Trabajo de manera independiente"),_xlfn.LET(_xlpm.opcion,MOD(INT((COUNTIF($I$2:I14,I14)-1)/5),6)+1,CHOOSE(IF(AND(_xlpm.opcion=6,L14="Sí, completamente"),5,_xlpm.opcion),"Salario","Estabilidad laboral","Horario","Acceso a prestaciones","Oportunidades de crecimiento","Trabajar en un área relacionada con mi formación")),"")</f>
        <v>Salario</v>
      </c>
      <c r="O14" s="9" t="str">
        <f>IF(OR(I14="Trabajo actualmente como empleado",I14="Trabajo de manera independiente"),_xlfn.LET(_xlpm.turno,MOD(COUNTIF($I$2:I14,I14)-1,5),_xlpm.nivel,VALUE(LEFT(M14,1)),IF(_xlpm.turno=4,"No estoy seguro/a",IF(_xlpm.turno&lt;IF(_xlpm.nivel&lt;=2,1,3),"Sí","No"))),"")</f>
        <v>No</v>
      </c>
      <c r="P14" s="9" t="str">
        <f>_xlfn.LET(_xlpm.perfil,I14,_xlpm.turno,COUNTIF($I$2:I14,_xlpm.perfil)-1,_xlpm.busca,OR(_xlpm.perfil="Actualmente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4" t="str">
        <f>IF(I14="Tengo un emprendimiento o quiero iniciar uno","",CHOOSE(MOD(INT((COUNTIF($I$2:I14,I14)-1)/7),3)+1,"Sí","No","Tengo una pero necesito actualizarla"))</f>
        <v>Sí</v>
      </c>
      <c r="R14" s="9" t="str">
        <f>IF(I14="Tengo un emprendimiento o quiero iniciar uno","",IF(I14="Busco mi primer empleo","No",IF(MOD(COUNTIF($I$2:I14,I14)-1,2)=0,"Sí","No")))</f>
        <v>Sí</v>
      </c>
      <c r="S14" t="str">
        <f>IF(I14="Tengo un emprendimiento o quiero iniciar uno","",CHOOSE(MOD(INT((COUNTIF($I$2:I14,I14)-1)/3),10)+1,"Portales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4" t="str">
        <f>IF(I14="Tengo un emprendimiento o quiero iniciar uno","",_xlfn.LET(_xlpm.opcion,MOD(INT((COUNTIF($I$2:I14,I14)-1)/4),6)+1,CHOOSE(IF(AND(_xlpm.opcion=3,Q14="Sí"),1,_xlpm.opcion),"Falta de experiencia","Falta de formación","Dificultades con la hoja de vida","Horarios disponibles","Transporte","Internet")))</f>
        <v>Falta de experiencia</v>
      </c>
      <c r="U14" s="9" t="str">
        <f>IF(I14="Tengo un emprendimiento o quiero iniciar uno","",IF(MOD(INT((COUNTIF($I$2:I14,I14)-1)/3),2)=0,"Sí","No"))</f>
        <v>Sí</v>
      </c>
      <c r="V14" s="9" t="str">
        <f>IF(I14="Tengo un emprendimiento o quiero iniciar uno",CHOOSE(MOD(COUNTIF($I$2:I14,I14)-1,3)+1,"Tengo un emprendimiento","Estoy iniciando un emprendimiento","Me interesa emprender"),"")</f>
        <v/>
      </c>
      <c r="W14" t="str">
        <f t="shared" si="5"/>
        <v/>
      </c>
      <c r="X14" s="9" t="str">
        <f>IF(I14="Tengo un emprendimiento o quiero iniciar uno",CHOOSE(MOD(COUNTIF($I$2:I14,I14)-1,5)+1,"Falta de financiación","Falta de conocimientos administrativos","Falta de conocimientos financieros","Falta de tiempo","Falta de herramientas"),"")</f>
        <v/>
      </c>
      <c r="Y14" s="9" t="str">
        <f t="shared" si="6"/>
        <v/>
      </c>
      <c r="Z14" t="str">
        <f>IF(I14="Tengo un emprendimiento o quiero iniciar uno",CHOOSE(INT(MOD((COUNTIF($I$2:I14,I14)-1)*7,39)/13)+1,"Sí","No","No conozco programas de ese tipo"),"")</f>
        <v/>
      </c>
      <c r="AA14" t="str">
        <f t="shared" si="7"/>
        <v>Puedo hacerlo sin ayuda</v>
      </c>
      <c r="AB14" t="str">
        <f t="shared" si="7"/>
        <v>Puedo hacerlo sin ayuda</v>
      </c>
      <c r="AC14" t="str">
        <f t="shared" si="8"/>
        <v>No puedo hacerlo</v>
      </c>
      <c r="AD14" s="9" t="str">
        <f t="shared" si="9"/>
        <v>Puedo hacerlo con dificultad</v>
      </c>
      <c r="AE14" t="str">
        <f t="shared" si="10"/>
        <v>No puedo hacerlo</v>
      </c>
      <c r="AF14" s="9" t="str">
        <f t="shared" si="11"/>
        <v>Herramientas digitales</v>
      </c>
      <c r="AG14" s="9" t="str">
        <f t="shared" si="17"/>
        <v>Distancia</v>
      </c>
      <c r="AH14" t="str">
        <f t="shared" si="12"/>
        <v>Oficina de orientación laboral</v>
      </c>
      <c r="AI14" s="9" t="str">
        <f t="shared" si="13"/>
        <v>Virtual</v>
      </c>
      <c r="AJ14" s="9" t="str">
        <f t="shared" si="14"/>
        <v>Nocturno</v>
      </c>
      <c r="AK14" s="9" t="str">
        <f t="shared" si="15"/>
        <v>Celular</v>
      </c>
    </row>
    <row r="15" spans="1:37">
      <c r="A15" t="str">
        <f t="shared" si="16"/>
        <v>SG014</v>
      </c>
      <c r="B15" t="s">
        <v>418</v>
      </c>
      <c r="C15" s="9" t="s">
        <v>427</v>
      </c>
      <c r="D15" t="str">
        <f t="shared" si="0"/>
        <v>Femenino</v>
      </c>
      <c r="E15" s="9" t="str">
        <f t="shared" si="1"/>
        <v>De 24 a 26 años</v>
      </c>
      <c r="F15">
        <f t="shared" si="2"/>
        <v>24</v>
      </c>
      <c r="G15" s="9" t="s">
        <v>428</v>
      </c>
      <c r="H15" s="9" t="str">
        <f t="shared" si="3"/>
        <v>Profesional</v>
      </c>
      <c r="I15" s="9" t="str">
        <f t="shared" si="4"/>
        <v>Busco mi primer empleo</v>
      </c>
      <c r="J15" s="13" t="str">
        <f>IF(I15="Trabajo actualmente como empleado",IF(MOD((COUNTIF($I$2:I15,"Trabajo actualmente como empleado")-1)*37,150)&lt;100,"Empleado con contrato","Empleado sin contrato formal"),IF(I15="Trabajo de manera independiente","Trabajo independiente",""))</f>
        <v/>
      </c>
      <c r="K15" s="9" t="str">
        <f>IF(OR(I15="Trabajo actualmente como empleado",I15="Trabajo de manera independiente"),CHOOSE(MOD(COUNTIF($I$2:I15,I15)-1,4)+1,"Menos de 3 meses","De 3 a 6 meses","De 7 a 12 meses","Más de un año"),"")</f>
        <v/>
      </c>
      <c r="L15" t="str">
        <f>IF(OR(I15="Trabajo actualmente como empleado",I15="Trabajo de manera independiente"),CHOOSE(MOD(COUNTIF($I$2:I15,I15)-1,3)+1,"Sí, completamente","Parcialmente","No"),"")</f>
        <v/>
      </c>
      <c r="M15" t="str">
        <f>IF(OR(I15="Trabajo actualmente como empleado",I15="Trabajo de manera independiente"),CHOOSE(MOD(INT((COUNTIF($I$2:I15,I15)-1)/3),4)+1,"1- Muy satisfecho/a","2- Satisfecho/a","3- Insatisfecho/a","4- Muy insatisfecho/a"),"")</f>
        <v/>
      </c>
      <c r="N15" t="str">
        <f>IF(OR(I15="Trabajo actualmente como empleado",I15="Trabajo de manera independiente"),_xlfn.LET(_xlpm.opcion,MOD(INT((COUNTIF($I$2:I15,I15)-1)/5),6)+1,CHOOSE(IF(AND(_xlpm.opcion=6,L15="Sí, completamente"),5,_xlpm.opcion),"Salario","Estabilidad laboral","Horario","Acceso a prestaciones","Oportunidades de crecimiento","Trabajar en un área relacionada con mi formación")),"")</f>
        <v/>
      </c>
      <c r="O15" s="9" t="str">
        <f>IF(OR(I15="Trabajo actualmente como empleado",I15="Trabajo de manera independiente"),_xlfn.LET(_xlpm.turno,MOD(COUNTIF($I$2:I15,I15)-1,5),_xlpm.nivel,VALUE(LEFT(M15,1)),IF(_xlpm.turno=4,"No estoy seguro/a",IF(_xlpm.turno&lt;IF(_xlpm.nivel&lt;=2,1,3),"Sí","No"))),"")</f>
        <v/>
      </c>
      <c r="P15" s="9" t="str">
        <f>_xlfn.LET(_xlpm.perfil,I15,_xlpm.turno,COUNTIF($I$2:I15,_xlpm.perfil)-1,_xlpm.busca,OR(_xlpm.perfil="Actualmente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trabajar"),IF(AND(_xlpm.trabaja,O15="No"),"Todavía no he iniciado una búsqueda activa",CHOOSE(MOD(_xlpm.turno*3,5)+1,"Menos de 1 mes","Entre 1 y 3 meses","Entre 4 y 6 meses","Más de 6 meses","Todavía no he iniciado una búsqueda activa")),"")))</f>
        <v>Más de 6 meses</v>
      </c>
      <c r="Q15" t="str">
        <f>IF(I15="Tengo un emprendimiento o quiero iniciar uno","",CHOOSE(MOD(INT((COUNTIF($I$2:I15,I15)-1)/7),3)+1,"Sí","No","Tengo una pero necesito actualizarla"))</f>
        <v>Sí</v>
      </c>
      <c r="R15" s="9" t="str">
        <f>IF(I15="Tengo un emprendimiento o quiero iniciar uno","",IF(I15="Busco mi primer empleo","No",IF(MOD(COUNTIF($I$2:I15,I15)-1,2)=0,"Sí","No")))</f>
        <v>No</v>
      </c>
      <c r="S15" t="str">
        <f>IF(I15="Tengo un emprendimiento o quiero iniciar uno","",CHOOSE(MOD(INT((COUNTIF($I$2:I15,I15)-1)/3),10)+1,"Portales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5" t="str">
        <f>IF(I15="Tengo un emprendimiento o quiero iniciar uno","",_xlfn.LET(_xlpm.opcion,MOD(INT((COUNTIF($I$2:I15,I15)-1)/4),6)+1,CHOOSE(IF(AND(_xlpm.opcion=3,Q15="Sí"),1,_xlpm.opcion),"Falta de experiencia","Falta de formación","Dificultades con la hoja de vida","Horarios disponibles","Transporte","Internet")))</f>
        <v>Falta de experiencia</v>
      </c>
      <c r="U15" s="9" t="str">
        <f>IF(I15="Tengo un emprendimiento o quiero iniciar uno","",IF(MOD(INT((COUNTIF($I$2:I15,I15)-1)/3),2)=0,"Sí","No"))</f>
        <v>Sí</v>
      </c>
      <c r="V15" s="9" t="str">
        <f>IF(I15="Tengo un emprendimiento o quiero iniciar uno",CHOOSE(MOD(COUNTIF($I$2:I15,I15)-1,3)+1,"Tengo un emprendimiento","Estoy iniciando un emprendimiento","Me interesa emprender"),"")</f>
        <v/>
      </c>
      <c r="W15" t="str">
        <f t="shared" si="5"/>
        <v/>
      </c>
      <c r="X15" s="9" t="str">
        <f>IF(I15="Tengo un emprendimiento o quiero iniciar uno",CHOOSE(MOD(COUNTIF($I$2:I15,I15)-1,5)+1,"Falta de financiación","Falta de conocimientos administrativos","Falta de conocimientos financieros","Falta de tiempo","Falta de herramientas"),"")</f>
        <v/>
      </c>
      <c r="Y15" s="9" t="str">
        <f t="shared" si="6"/>
        <v/>
      </c>
      <c r="Z15" t="str">
        <f>IF(I15="Tengo un emprendimiento o quiero iniciar uno",CHOOSE(INT(MOD((COUNTIF($I$2:I15,I15)-1)*7,39)/13)+1,"Sí","No","No conozco programas de ese tipo"),"")</f>
        <v/>
      </c>
      <c r="AA15" t="str">
        <f t="shared" si="7"/>
        <v>No puedo hacerlo</v>
      </c>
      <c r="AB15" t="str">
        <f t="shared" si="7"/>
        <v>No puedo hacerlo</v>
      </c>
      <c r="AC15" t="str">
        <f t="shared" si="8"/>
        <v>Puedo hacerlo con ayuda</v>
      </c>
      <c r="AD15" s="9" t="str">
        <f t="shared" si="9"/>
        <v>Puedo hacerlo con dificultad</v>
      </c>
      <c r="AE15" t="str">
        <f t="shared" si="10"/>
        <v>Puedo hacerlo con ayuda</v>
      </c>
      <c r="AF15" s="9" t="str">
        <f t="shared" si="11"/>
        <v>Educación financiera</v>
      </c>
      <c r="AG15" s="9" t="str">
        <f t="shared" si="17"/>
        <v>Distancia</v>
      </c>
      <c r="AH15" t="str">
        <f t="shared" si="12"/>
        <v>Programas de emprendimiento</v>
      </c>
      <c r="AI15" s="9" t="str">
        <f t="shared" si="13"/>
        <v>Presencial y virtual</v>
      </c>
      <c r="AJ15" s="9" t="str">
        <f t="shared" si="14"/>
        <v>Mañana entre semana</v>
      </c>
      <c r="AK15" s="9" t="str">
        <f t="shared" si="15"/>
        <v>WhatsApp</v>
      </c>
    </row>
    <row r="16" spans="1:37">
      <c r="A16" t="str">
        <f t="shared" si="16"/>
        <v>SG015</v>
      </c>
      <c r="B16" t="s">
        <v>418</v>
      </c>
      <c r="C16" s="9" t="s">
        <v>427</v>
      </c>
      <c r="D16" t="str">
        <f t="shared" si="0"/>
        <v>Masculino</v>
      </c>
      <c r="E16" t="str">
        <f t="shared" si="1"/>
        <v>De 26 a 28 años</v>
      </c>
      <c r="F16">
        <f t="shared" si="2"/>
        <v>28</v>
      </c>
      <c r="G16" s="9" t="s">
        <v>428</v>
      </c>
      <c r="H16" s="9" t="str">
        <f t="shared" si="3"/>
        <v>Profesional</v>
      </c>
      <c r="I16" s="9" t="str">
        <f t="shared" si="4"/>
        <v>Trabajo actualmente como empleado</v>
      </c>
      <c r="J16" s="13" t="str">
        <f>IF(I16="Trabajo actualmente como empleado",IF(MOD((COUNTIF($I$2:I16,"Trabajo actualmente como empleado")-1)*37,150)&lt;100,"Empleado con contrato","Empleado sin contrato formal"),IF(I16="Trabajo de manera independiente","Trabajo independiente",""))</f>
        <v>Empleado sin contrato formal</v>
      </c>
      <c r="K16" s="9" t="str">
        <f>IF(OR(I16="Trabajo actualmente como empleado",I16="Trabajo de manera independiente"),CHOOSE(MOD(COUNTIF($I$2:I16,I16)-1,4)+1,"Menos de 3 meses","De 3 a 6 meses","De 7 a 12 meses","Más de un año"),"")</f>
        <v>Menos de 3 meses</v>
      </c>
      <c r="L16" t="str">
        <f>IF(OR(I16="Trabajo actualmente como empleado",I16="Trabajo de manera independiente"),CHOOSE(MOD(COUNTIF($I$2:I16,I16)-1,3)+1,"Sí, completamente","Parcialmente","No"),"")</f>
        <v>Parcialmente</v>
      </c>
      <c r="M16" t="str">
        <f>IF(OR(I16="Trabajo actualmente como empleado",I16="Trabajo de manera independiente"),CHOOSE(MOD(INT((COUNTIF($I$2:I16,I16)-1)/3),4)+1,"1- Muy satisfecho/a","2- Satisfecho/a","3- Insatisfecho/a","4- Muy insatisfecho/a"),"")</f>
        <v>2- Satisfecho/a</v>
      </c>
      <c r="N16" t="str">
        <f>IF(OR(I16="Trabajo actualmente como empleado",I16="Trabajo de manera independiente"),_xlfn.LET(_xlpm.opcion,MOD(INT((COUNTIF($I$2:I16,I16)-1)/5),6)+1,CHOOSE(IF(AND(_xlpm.opcion=6,L16="Sí, completamente"),5,_xlpm.opcion),"Salario","Estabilidad laboral","Horario","Acceso a prestaciones","Oportunidades de crecimiento","Trabajar en un área relacionada con mi formación")),"")</f>
        <v>Salario</v>
      </c>
      <c r="O16" s="9" t="str">
        <f>IF(OR(I16="Trabajo actualmente como empleado",I16="Trabajo de manera independiente"),_xlfn.LET(_xlpm.turno,MOD(COUNTIF($I$2:I16,I16)-1,5),_xlpm.nivel,VALUE(LEFT(M16,1)),IF(_xlpm.turno=4,"No estoy seguro/a",IF(_xlpm.turno&lt;IF(_xlpm.nivel&lt;=2,1,3),"Sí","No"))),"")</f>
        <v>No estoy seguro/a</v>
      </c>
      <c r="P16" s="9" t="str">
        <f>_xlfn.LET(_xlpm.perfil,I16,_xlpm.turno,COUNTIF($I$2:I16,_xlpm.perfil)-1,_xlpm.busca,OR(_xlpm.perfil="Actualmente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trabajar"),IF(AND(_xlpm.trabaja,O16="No"),"Todavía no he iniciado una búsqueda activa",CHOOSE(MOD(_xlpm.turno*3,5)+1,"Menos de 1 mes","Entre 1 y 3 meses","Entre 4 y 6 meses","Más de 6 meses","Todavía no he iniciado una búsqueda activa")),"")))</f>
        <v>Entre 4 y 6 meses</v>
      </c>
      <c r="Q16" t="str">
        <f>IF(I16="Tengo un emprendimiento o quiero iniciar uno","",CHOOSE(MOD(INT((COUNTIF($I$2:I16,I16)-1)/7),3)+1,"Sí","No","Tengo una pero necesito actualizarla"))</f>
        <v>Sí</v>
      </c>
      <c r="R16" s="9" t="str">
        <f>IF(I16="Tengo un emprendimiento o quiero iniciar uno","",IF(I16="Busco mi primer empleo","No",IF(MOD(COUNTIF($I$2:I16,I16)-1,2)=0,"Sí","No")))</f>
        <v>Sí</v>
      </c>
      <c r="S16" t="str">
        <f>IF(I16="Tengo un emprendimiento o quiero iniciar uno","",CHOOSE(MOD(INT((COUNTIF($I$2:I16,I16)-1)/3),10)+1,"Portales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6" t="str">
        <f>IF(I16="Tengo un emprendimiento o quiero iniciar uno","",_xlfn.LET(_xlpm.opcion,MOD(INT((COUNTIF($I$2:I16,I16)-1)/4),6)+1,CHOOSE(IF(AND(_xlpm.opcion=3,Q16="Sí"),1,_xlpm.opcion),"Falta de experiencia","Falta de formación","Dificultades con la hoja de vida","Horarios disponibles","Transporte","Internet")))</f>
        <v>Falta de formación</v>
      </c>
      <c r="U16" s="9" t="str">
        <f>IF(I16="Tengo un emprendimiento o quiero iniciar uno","",IF(MOD(INT((COUNTIF($I$2:I16,I16)-1)/3),2)=0,"Sí","No"))</f>
        <v>No</v>
      </c>
      <c r="V16" s="9" t="str">
        <f>IF(I16="Tengo un emprendimiento o quiero iniciar uno",CHOOSE(MOD(COUNTIF($I$2:I16,I16)-1,3)+1,"Tengo un emprendimiento","Estoy iniciando un emprendimiento","Me interesa emprender"),"")</f>
        <v/>
      </c>
      <c r="W16" t="str">
        <f t="shared" si="5"/>
        <v/>
      </c>
      <c r="X16" s="9" t="str">
        <f>IF(I16="Tengo un emprendimiento o quiero iniciar uno",CHOOSE(MOD(COUNTIF($I$2:I16,I16)-1,5)+1,"Falta de financiación","Falta de conocimientos administrativos","Falta de conocimientos financieros","Falta de tiempo","Falta de herramientas"),"")</f>
        <v/>
      </c>
      <c r="Y16" s="9" t="str">
        <f t="shared" si="6"/>
        <v/>
      </c>
      <c r="Z16" t="str">
        <f>IF(I16="Tengo un emprendimiento o quiero iniciar uno",CHOOSE(INT(MOD((COUNTIF($I$2:I16,I16)-1)*7,39)/13)+1,"Sí","No","No conozco programas de ese tipo"),"")</f>
        <v/>
      </c>
      <c r="AA16" t="str">
        <f t="shared" si="7"/>
        <v>Puedo hacerlo con dificultad</v>
      </c>
      <c r="AB16" t="str">
        <f t="shared" si="7"/>
        <v>Puedo hacerlo con dificultad</v>
      </c>
      <c r="AC16" t="str">
        <f t="shared" si="8"/>
        <v>Puedo hacerlo sin ayuda</v>
      </c>
      <c r="AD16" s="9" t="str">
        <f t="shared" si="9"/>
        <v>Puedo hacerlo sin ayuda</v>
      </c>
      <c r="AE16" t="str">
        <f t="shared" si="10"/>
        <v>Puedo hacerlo con dificultad</v>
      </c>
      <c r="AF16" s="9" t="str">
        <f t="shared" si="11"/>
        <v>Crear una hoja de vida;Preparación para entrevista</v>
      </c>
      <c r="AG16" s="9" t="str">
        <f t="shared" si="17"/>
        <v>Distancia</v>
      </c>
      <c r="AH16" t="str">
        <f t="shared" si="12"/>
        <v>No conozco ninguno</v>
      </c>
      <c r="AI16" s="9" t="str">
        <f t="shared" si="13"/>
        <v>Me es indiferente</v>
      </c>
      <c r="AJ16" s="9" t="str">
        <f t="shared" si="14"/>
        <v>Fines de semana</v>
      </c>
      <c r="AK16" s="9" t="str">
        <f t="shared" si="15"/>
        <v>Redes sociales</v>
      </c>
    </row>
    <row r="17" spans="1:37">
      <c r="A17" t="str">
        <f t="shared" si="16"/>
        <v>SG016</v>
      </c>
      <c r="B17" t="s">
        <v>418</v>
      </c>
      <c r="C17" s="9" t="s">
        <v>427</v>
      </c>
      <c r="D17" t="str">
        <f t="shared" si="0"/>
        <v>Masculino</v>
      </c>
      <c r="E17" s="9" t="str">
        <f t="shared" si="1"/>
        <v>De 18 a 20 años</v>
      </c>
      <c r="F17">
        <f t="shared" si="2"/>
        <v>19</v>
      </c>
      <c r="G17" s="9" t="s">
        <v>428</v>
      </c>
      <c r="H17" s="9" t="str">
        <f t="shared" si="3"/>
        <v>Bachiller</v>
      </c>
      <c r="I17" s="9" t="str">
        <f t="shared" si="4"/>
        <v>Trabajo de manera independiente</v>
      </c>
      <c r="J17" s="13" t="str">
        <f>IF(I17="Trabajo actualmente como empleado",IF(MOD((COUNTIF($I$2:I17,"Trabajo actualmente como empleado")-1)*37,150)&lt;100,"Empleado con contrato","Empleado sin contrato formal"),IF(I17="Trabajo de manera independiente","Trabajo independiente",""))</f>
        <v>Trabajo independiente</v>
      </c>
      <c r="K17" s="9" t="str">
        <f>IF(OR(I17="Trabajo actualmente como empleado",I17="Trabajo de manera independiente"),CHOOSE(MOD(COUNTIF($I$2:I17,I17)-1,4)+1,"Menos de 3 meses","De 3 a 6 meses","De 7 a 12 meses","Más de un año"),"")</f>
        <v>Más de un año</v>
      </c>
      <c r="L17" t="str">
        <f>IF(OR(I17="Trabajo actualmente como empleado",I17="Trabajo de manera independiente"),CHOOSE(MOD(COUNTIF($I$2:I17,I17)-1,3)+1,"Sí, completamente","Parcialmente","No"),"")</f>
        <v>Sí, completamente</v>
      </c>
      <c r="M17" t="str">
        <f>IF(OR(I17="Trabajo actualmente como empleado",I17="Trabajo de manera independiente"),CHOOSE(MOD(INT((COUNTIF($I$2:I17,I17)-1)/3),4)+1,"1- Muy satisfecho/a","2- Satisfecho/a","3- Insatisfecho/a","4- Muy insatisfecho/a"),"")</f>
        <v>2- Satisfecho/a</v>
      </c>
      <c r="N17" t="str">
        <f>IF(OR(I17="Trabajo actualmente como empleado",I17="Trabajo de manera independiente"),_xlfn.LET(_xlpm.opcion,MOD(INT((COUNTIF($I$2:I17,I17)-1)/5),6)+1,CHOOSE(IF(AND(_xlpm.opcion=6,L17="Sí, completamente"),5,_xlpm.opcion),"Salario","Estabilidad laboral","Horario","Acceso a prestaciones","Oportunidades de crecimiento","Trabajar en un área relacionada con mi formación")),"")</f>
        <v>Salario</v>
      </c>
      <c r="O17" s="9" t="str">
        <f>IF(OR(I17="Trabajo actualmente como empleado",I17="Trabajo de manera independiente"),_xlfn.LET(_xlpm.turno,MOD(COUNTIF($I$2:I17,I17)-1,5),_xlpm.nivel,VALUE(LEFT(M17,1)),IF(_xlpm.turno=4,"No estoy seguro/a",IF(_xlpm.turno&lt;IF(_xlpm.nivel&lt;=2,1,3),"Sí","No"))),"")</f>
        <v>No</v>
      </c>
      <c r="P17" s="9" t="str">
        <f>_xlfn.LET(_xlpm.perfil,I17,_xlpm.turno,COUNTIF($I$2:I17,_xlpm.perfil)-1,_xlpm.busca,OR(_xlpm.perfil="Actualmente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7" t="str">
        <f>IF(I17="Tengo un emprendimiento o quiero iniciar uno","",CHOOSE(MOD(INT((COUNTIF($I$2:I17,I17)-1)/7),3)+1,"Sí","No","Tengo una pero necesito actualizarla"))</f>
        <v>Sí</v>
      </c>
      <c r="R17" s="9" t="str">
        <f>IF(I17="Tengo un emprendimiento o quiero iniciar uno","",IF(I17="Busco mi primer empleo","No",IF(MOD(COUNTIF($I$2:I17,I17)-1,2)=0,"Sí","No")))</f>
        <v>No</v>
      </c>
      <c r="S17" t="str">
        <f>IF(I17="Tengo un emprendimiento o quiero iniciar uno","",CHOOSE(MOD(INT((COUNTIF($I$2:I17,I17)-1)/3),10)+1,"Portales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7" t="str">
        <f>IF(I17="Tengo un emprendimiento o quiero iniciar uno","",_xlfn.LET(_xlpm.opcion,MOD(INT((COUNTIF($I$2:I17,I17)-1)/4),6)+1,CHOOSE(IF(AND(_xlpm.opcion=3,Q17="Sí"),1,_xlpm.opcion),"Falta de experiencia","Falta de formación","Dificultades con la hoja de vida","Horarios disponibles","Transporte","Internet")))</f>
        <v>Falta de experiencia</v>
      </c>
      <c r="U17" s="9" t="str">
        <f>IF(I17="Tengo un emprendimiento o quiero iniciar uno","",IF(MOD(INT((COUNTIF($I$2:I17,I17)-1)/3),2)=0,"Sí","No"))</f>
        <v>No</v>
      </c>
      <c r="V17" s="9" t="str">
        <f>IF(I17="Tengo un emprendimiento o quiero iniciar uno",CHOOSE(MOD(COUNTIF($I$2:I17,I17)-1,3)+1,"Tengo un emprendimiento","Estoy iniciando un emprendimiento","Me interesa emprender"),"")</f>
        <v/>
      </c>
      <c r="W17" t="str">
        <f t="shared" si="5"/>
        <v/>
      </c>
      <c r="X17" s="9" t="str">
        <f>IF(I17="Tengo un emprendimiento o quiero iniciar uno",CHOOSE(MOD(COUNTIF($I$2:I17,I17)-1,5)+1,"Falta de financiación","Falta de conocimientos administrativos","Falta de conocimientos financieros","Falta de tiempo","Falta de herramientas"),"")</f>
        <v/>
      </c>
      <c r="Y17" s="9" t="str">
        <f t="shared" si="6"/>
        <v/>
      </c>
      <c r="Z17" t="str">
        <f>IF(I17="Tengo un emprendimiento o quiero iniciar uno",CHOOSE(INT(MOD((COUNTIF($I$2:I17,I17)-1)*7,39)/13)+1,"Sí","No","No conozco programas de ese tipo"),"")</f>
        <v/>
      </c>
      <c r="AA17" t="str">
        <f t="shared" si="7"/>
        <v>Puedo hacerlo sin ayuda</v>
      </c>
      <c r="AB17" t="str">
        <f t="shared" si="7"/>
        <v>Puedo hacerlo sin ayuda</v>
      </c>
      <c r="AC17" t="str">
        <f t="shared" si="8"/>
        <v>No puedo hacerlo</v>
      </c>
      <c r="AD17" s="9" t="str">
        <f t="shared" si="9"/>
        <v>No puedo hacerlo</v>
      </c>
      <c r="AE17" t="str">
        <f t="shared" si="10"/>
        <v>Puedo hacerlo con dificultad</v>
      </c>
      <c r="AF17" s="9" t="str">
        <f t="shared" si="11"/>
        <v>Comunicación;Liderazgo</v>
      </c>
      <c r="AG17" s="9" t="str">
        <f t="shared" si="17"/>
        <v>Falta de experiencia;Falta de información</v>
      </c>
      <c r="AH17" t="str">
        <f t="shared" si="12"/>
        <v>Ferias de empleo</v>
      </c>
      <c r="AI17" s="9" t="str">
        <f t="shared" si="13"/>
        <v>Presencial</v>
      </c>
      <c r="AJ17" s="9" t="str">
        <f t="shared" si="14"/>
        <v>Nocturno</v>
      </c>
      <c r="AK17" s="9" t="str">
        <f t="shared" si="15"/>
        <v>Celular</v>
      </c>
    </row>
    <row r="18" spans="1:37">
      <c r="A18" t="str">
        <f t="shared" si="16"/>
        <v>SG017</v>
      </c>
      <c r="B18" t="s">
        <v>418</v>
      </c>
      <c r="C18" s="9" t="s">
        <v>427</v>
      </c>
      <c r="D18" t="str">
        <f t="shared" si="0"/>
        <v>Femenino</v>
      </c>
      <c r="E18" t="str">
        <f t="shared" si="1"/>
        <v>De 20 a 22 años</v>
      </c>
      <c r="F18">
        <f t="shared" si="2"/>
        <v>21</v>
      </c>
      <c r="G18" s="9" t="s">
        <v>428</v>
      </c>
      <c r="H18" s="9" t="str">
        <f t="shared" si="3"/>
        <v>Bachiller</v>
      </c>
      <c r="I18" s="9" t="str">
        <f t="shared" si="4"/>
        <v>Busco mi primer empleo</v>
      </c>
      <c r="J18" s="13" t="str">
        <f>IF(I18="Trabajo actualmente como empleado",IF(MOD((COUNTIF($I$2:I18,"Trabajo actualmente como empleado")-1)*37,150)&lt;100,"Empleado con contrato","Empleado sin contrato formal"),IF(I18="Trabajo de manera independiente","Trabajo independiente",""))</f>
        <v/>
      </c>
      <c r="K18" s="9" t="str">
        <f>IF(OR(I18="Trabajo actualmente como empleado",I18="Trabajo de manera independiente"),CHOOSE(MOD(COUNTIF($I$2:I18,I18)-1,4)+1,"Menos de 3 meses","De 3 a 6 meses","De 7 a 12 meses","Más de un año"),"")</f>
        <v/>
      </c>
      <c r="L18" t="str">
        <f>IF(OR(I18="Trabajo actualmente como empleado",I18="Trabajo de manera independiente"),CHOOSE(MOD(COUNTIF($I$2:I18,I18)-1,3)+1,"Sí, completamente","Parcialmente","No"),"")</f>
        <v/>
      </c>
      <c r="M18" t="str">
        <f>IF(OR(I18="Trabajo actualmente como empleado",I18="Trabajo de manera independiente"),CHOOSE(MOD(INT((COUNTIF($I$2:I18,I18)-1)/3),4)+1,"1- Muy satisfecho/a","2- Satisfecho/a","3- Insatisfecho/a","4- Muy insatisfecho/a"),"")</f>
        <v/>
      </c>
      <c r="N18" t="str">
        <f>IF(OR(I18="Trabajo actualmente como empleado",I18="Trabajo de manera independiente"),_xlfn.LET(_xlpm.opcion,MOD(INT((COUNTIF($I$2:I18,I18)-1)/5),6)+1,CHOOSE(IF(AND(_xlpm.opcion=6,L18="Sí, completamente"),5,_xlpm.opcion),"Salario","Estabilidad laboral","Horario","Acceso a prestaciones","Oportunidades de crecimiento","Trabajar en un área relacionada con mi formación")),"")</f>
        <v/>
      </c>
      <c r="O18" s="9" t="str">
        <f>IF(OR(I18="Trabajo actualmente como empleado",I18="Trabajo de manera independiente"),_xlfn.LET(_xlpm.turno,MOD(COUNTIF($I$2:I18,I18)-1,5),_xlpm.nivel,VALUE(LEFT(M18,1)),IF(_xlpm.turno=4,"No estoy seguro/a",IF(_xlpm.turno&lt;IF(_xlpm.nivel&lt;=2,1,3),"Sí","No"))),"")</f>
        <v/>
      </c>
      <c r="P18" s="9" t="str">
        <f>_xlfn.LET(_xlpm.perfil,I18,_xlpm.turno,COUNTIF($I$2:I18,_xlpm.perfil)-1,_xlpm.busca,OR(_xlpm.perfil="Actualmente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trabajar"),IF(AND(_xlpm.trabaja,O18="No"),"Todavía no he iniciado una búsqueda activa",CHOOSE(MOD(_xlpm.turno*3,5)+1,"Menos de 1 mes","Entre 1 y 3 meses","Entre 4 y 6 meses","Más de 6 meses","Todavía no he iniciado una búsqueda activa")),"")))</f>
        <v>Entre 4 y 6 meses</v>
      </c>
      <c r="Q18" t="str">
        <f>IF(I18="Tengo un emprendimiento o quiero iniciar uno","",CHOOSE(MOD(INT((COUNTIF($I$2:I18,I18)-1)/7),3)+1,"Sí","No","Tengo una pero necesito actualizarla"))</f>
        <v>Sí</v>
      </c>
      <c r="R18" s="9" t="str">
        <f>IF(I18="Tengo un emprendimiento o quiero iniciar uno","",IF(I18="Busco mi primer empleo","No",IF(MOD(COUNTIF($I$2:I18,I18)-1,2)=0,"Sí","No")))</f>
        <v>No</v>
      </c>
      <c r="S18" t="str">
        <f>IF(I18="Tengo un emprendimiento o quiero iniciar uno","",CHOOSE(MOD(INT((COUNTIF($I$2:I18,I18)-1)/3),10)+1,"Portales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8" t="str">
        <f>IF(I18="Tengo un emprendimiento o quiero iniciar uno","",_xlfn.LET(_xlpm.opcion,MOD(INT((COUNTIF($I$2:I18,I18)-1)/4),6)+1,CHOOSE(IF(AND(_xlpm.opcion=3,Q18="Sí"),1,_xlpm.opcion),"Falta de experiencia","Falta de formación","Dificultades con la hoja de vida","Horarios disponibles","Transporte","Internet")))</f>
        <v>Falta de experiencia</v>
      </c>
      <c r="U18" s="9" t="str">
        <f>IF(I18="Tengo un emprendimiento o quiero iniciar uno","",IF(MOD(INT((COUNTIF($I$2:I18,I18)-1)/3),2)=0,"Sí","No"))</f>
        <v>Sí</v>
      </c>
      <c r="V18" s="9" t="str">
        <f>IF(I18="Tengo un emprendimiento o quiero iniciar uno",CHOOSE(MOD(COUNTIF($I$2:I18,I18)-1,3)+1,"Tengo un emprendimiento","Estoy iniciando un emprendimiento","Me interesa emprender"),"")</f>
        <v/>
      </c>
      <c r="W18" t="str">
        <f t="shared" si="5"/>
        <v/>
      </c>
      <c r="X18" s="9" t="str">
        <f>IF(I18="Tengo un emprendimiento o quiero iniciar uno",CHOOSE(MOD(COUNTIF($I$2:I18,I18)-1,5)+1,"Falta de financiación","Falta de conocimientos administrativos","Falta de conocimientos financieros","Falta de tiempo","Falta de herramientas"),"")</f>
        <v/>
      </c>
      <c r="Y18" s="9" t="str">
        <f t="shared" si="6"/>
        <v/>
      </c>
      <c r="Z18" t="str">
        <f>IF(I18="Tengo un emprendimiento o quiero iniciar uno",CHOOSE(INT(MOD((COUNTIF($I$2:I18,I18)-1)*7,39)/13)+1,"Sí","No","No conozco programas de ese tipo"),"")</f>
        <v/>
      </c>
      <c r="AA18" t="str">
        <f t="shared" si="7"/>
        <v>Puedo hacerlo con ayuda</v>
      </c>
      <c r="AB18" t="str">
        <f t="shared" si="7"/>
        <v>Puedo hacerlo con ayuda</v>
      </c>
      <c r="AC18" t="str">
        <f t="shared" si="8"/>
        <v>Puedo hacerlo con ayuda</v>
      </c>
      <c r="AD18" s="9" t="str">
        <f t="shared" si="9"/>
        <v>No puedo hacerlo</v>
      </c>
      <c r="AE18" t="str">
        <f t="shared" si="10"/>
        <v>Puedo hacerlo sin ayuda</v>
      </c>
      <c r="AF18" s="9" t="str">
        <f t="shared" si="11"/>
        <v>Herramientas digitales;Educación financiera</v>
      </c>
      <c r="AG18" s="9" t="str">
        <f t="shared" si="17"/>
        <v>Falta de experiencia;Falta de información</v>
      </c>
      <c r="AH18" t="str">
        <f t="shared" si="12"/>
        <v>No conozco ninguno</v>
      </c>
      <c r="AI18" s="9" t="str">
        <f t="shared" si="13"/>
        <v>Virtual</v>
      </c>
      <c r="AJ18" s="9" t="str">
        <f t="shared" si="14"/>
        <v>Mañana entre semana</v>
      </c>
      <c r="AK18" s="9" t="str">
        <f t="shared" si="15"/>
        <v>Correo electrónico</v>
      </c>
    </row>
    <row r="19" spans="1:37">
      <c r="A19" t="str">
        <f t="shared" si="16"/>
        <v>SG018</v>
      </c>
      <c r="B19" t="s">
        <v>418</v>
      </c>
      <c r="C19" s="9" t="s">
        <v>427</v>
      </c>
      <c r="D19" t="str">
        <f t="shared" si="0"/>
        <v>Femenino</v>
      </c>
      <c r="E19" t="str">
        <f t="shared" si="1"/>
        <v>De 22 a 24 años</v>
      </c>
      <c r="F19">
        <f t="shared" si="2"/>
        <v>23</v>
      </c>
      <c r="G19" s="9" t="s">
        <v>428</v>
      </c>
      <c r="H19" s="9" t="str">
        <f t="shared" si="3"/>
        <v>Bachiller</v>
      </c>
      <c r="I19" s="9" t="str">
        <f t="shared" si="4"/>
        <v>Trabajo actualmente como empleado</v>
      </c>
      <c r="J19" s="13" t="str">
        <f>IF(I19="Trabajo actualmente como empleado",IF(MOD((COUNTIF($I$2:I19,"Trabajo actualmente como empleado")-1)*37,150)&lt;100,"Empleado con contrato","Empleado sin contrato formal"),IF(I19="Trabajo de manera independiente","Trabajo independiente",""))</f>
        <v>Empleado con contrato</v>
      </c>
      <c r="K19" s="9" t="str">
        <f>IF(OR(I19="Trabajo actualmente como empleado",I19="Trabajo de manera independiente"),CHOOSE(MOD(COUNTIF($I$2:I19,I19)-1,4)+1,"Menos de 3 meses","De 3 a 6 meses","De 7 a 12 meses","Más de un año"),"")</f>
        <v>De 3 a 6 meses</v>
      </c>
      <c r="L19" t="str">
        <f>IF(OR(I19="Trabajo actualmente como empleado",I19="Trabajo de manera independiente"),CHOOSE(MOD(COUNTIF($I$2:I19,I19)-1,3)+1,"Sí, completamente","Parcialmente","No"),"")</f>
        <v>No</v>
      </c>
      <c r="M19" t="str">
        <f>IF(OR(I19="Trabajo actualmente como empleado",I19="Trabajo de manera independiente"),CHOOSE(MOD(INT((COUNTIF($I$2:I19,I19)-1)/3),4)+1,"1- Muy satisfecho/a","2- Satisfecho/a","3- Insatisfecho/a","4- Muy insatisfecho/a"),"")</f>
        <v>2- Satisfecho/a</v>
      </c>
      <c r="N19" t="str">
        <f>IF(OR(I19="Trabajo actualmente como empleado",I19="Trabajo de manera independiente"),_xlfn.LET(_xlpm.opcion,MOD(INT((COUNTIF($I$2:I19,I19)-1)/5),6)+1,CHOOSE(IF(AND(_xlpm.opcion=6,L19="Sí, completamente"),5,_xlpm.opcion),"Salario","Estabilidad laboral","Horario","Acceso a prestaciones","Oportunidades de crecimiento","Trabajar en un área relacionada con mi formación")),"")</f>
        <v>Estabilidad laboral</v>
      </c>
      <c r="O19" s="9" t="str">
        <f>IF(OR(I19="Trabajo actualmente como empleado",I19="Trabajo de manera independiente"),_xlfn.LET(_xlpm.turno,MOD(COUNTIF($I$2:I19,I19)-1,5),_xlpm.nivel,VALUE(LEFT(M19,1)),IF(_xlpm.turno=4,"No estoy seguro/a",IF(_xlpm.turno&lt;IF(_xlpm.nivel&lt;=2,1,3),"Sí","No"))),"")</f>
        <v>Sí</v>
      </c>
      <c r="P19" s="9" t="str">
        <f>_xlfn.LET(_xlpm.perfil,I19,_xlpm.turno,COUNTIF($I$2:I19,_xlpm.perfil)-1,_xlpm.busca,OR(_xlpm.perfil="Actualmente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trabajar"),IF(AND(_xlpm.trabaja,O19="No"),"Todavía no he iniciado una búsqueda activa",CHOOSE(MOD(_xlpm.turno*3,5)+1,"Menos de 1 mes","Entre 1 y 3 meses","Entre 4 y 6 meses","Más de 6 meses","Todavía no he iniciado una búsqueda activa")),"")))</f>
        <v>Menos de 1 mes</v>
      </c>
      <c r="Q19" t="str">
        <f>IF(I19="Tengo un emprendimiento o quiero iniciar uno","",CHOOSE(MOD(INT((COUNTIF($I$2:I19,I19)-1)/7),3)+1,"Sí","No","Tengo una pero necesito actualizarla"))</f>
        <v>Sí</v>
      </c>
      <c r="R19" s="9" t="str">
        <f>IF(I19="Tengo un emprendimiento o quiero iniciar uno","",IF(I19="Busco mi primer empleo","No",IF(MOD(COUNTIF($I$2:I19,I19)-1,2)=0,"Sí","No")))</f>
        <v>No</v>
      </c>
      <c r="S19" t="str">
        <f>IF(I19="Tengo un emprendimiento o quiero iniciar uno","",CHOOSE(MOD(INT((COUNTIF($I$2:I19,I19)-1)/3),10)+1,"Portales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9" t="str">
        <f>IF(I19="Tengo un emprendimiento o quiero iniciar uno","",_xlfn.LET(_xlpm.opcion,MOD(INT((COUNTIF($I$2:I19,I19)-1)/4),6)+1,CHOOSE(IF(AND(_xlpm.opcion=3,Q19="Sí"),1,_xlpm.opcion),"Falta de experiencia","Falta de formación","Dificultades con la hoja de vida","Horarios disponibles","Transporte","Internet")))</f>
        <v>Falta de formación</v>
      </c>
      <c r="U19" s="9" t="str">
        <f>IF(I19="Tengo un emprendimiento o quiero iniciar uno","",IF(MOD(INT((COUNTIF($I$2:I19,I19)-1)/3),2)=0,"Sí","No"))</f>
        <v>No</v>
      </c>
      <c r="V19" s="9" t="str">
        <f>IF(I19="Tengo un emprendimiento o quiero iniciar uno",CHOOSE(MOD(COUNTIF($I$2:I19,I19)-1,3)+1,"Tengo un emprendimiento","Estoy iniciando un emprendimiento","Me interesa emprender"),"")</f>
        <v/>
      </c>
      <c r="W19" t="str">
        <f t="shared" si="5"/>
        <v/>
      </c>
      <c r="X19" s="9" t="str">
        <f>IF(I19="Tengo un emprendimiento o quiero iniciar uno",CHOOSE(MOD(COUNTIF($I$2:I19,I19)-1,5)+1,"Falta de financiación","Falta de conocimientos administrativos","Falta de conocimientos financieros","Falta de tiempo","Falta de herramientas"),"")</f>
        <v/>
      </c>
      <c r="Y19" s="9" t="str">
        <f t="shared" si="6"/>
        <v/>
      </c>
      <c r="Z19" t="str">
        <f>IF(I19="Tengo un emprendimiento o quiero iniciar uno",CHOOSE(INT(MOD((COUNTIF($I$2:I19,I19)-1)*7,39)/13)+1,"Sí","No","No conozco programas de ese tipo"),"")</f>
        <v/>
      </c>
      <c r="AA19" t="str">
        <f t="shared" si="7"/>
        <v>Puedo hacerlo sin ayuda</v>
      </c>
      <c r="AB19" t="str">
        <f t="shared" si="7"/>
        <v>Puedo hacerlo sin ayuda</v>
      </c>
      <c r="AC19" t="str">
        <f t="shared" si="8"/>
        <v>Puedo hacerlo con dificultad</v>
      </c>
      <c r="AD19" s="9" t="str">
        <f t="shared" si="9"/>
        <v>Puedo hacerlo con ayuda</v>
      </c>
      <c r="AE19" t="str">
        <f t="shared" si="10"/>
        <v>Puedo hacerlo sin ayuda</v>
      </c>
      <c r="AF19" s="9" t="str">
        <f t="shared" si="11"/>
        <v>Crear una hoja de vida</v>
      </c>
      <c r="AG19" s="9" t="str">
        <f t="shared" si="17"/>
        <v>Falta de experiencia;Falta de información</v>
      </c>
      <c r="AH19" t="str">
        <f t="shared" si="12"/>
        <v>Oficina de orientación laboral</v>
      </c>
      <c r="AI19" s="9" t="str">
        <f t="shared" si="13"/>
        <v>Presencial y virtual</v>
      </c>
      <c r="AJ19" s="9" t="str">
        <f t="shared" si="14"/>
        <v>Fines de semana</v>
      </c>
      <c r="AK19" s="9" t="str">
        <f t="shared" si="15"/>
        <v>Redes sociales</v>
      </c>
    </row>
    <row r="20" spans="1:37">
      <c r="A20" t="str">
        <f t="shared" si="16"/>
        <v>SG019</v>
      </c>
      <c r="B20" t="s">
        <v>418</v>
      </c>
      <c r="C20" s="9" t="s">
        <v>427</v>
      </c>
      <c r="D20" t="str">
        <f t="shared" si="0"/>
        <v>Masculino</v>
      </c>
      <c r="E20" t="str">
        <f t="shared" si="1"/>
        <v>De 24 a 26 años</v>
      </c>
      <c r="F20">
        <f t="shared" si="2"/>
        <v>25</v>
      </c>
      <c r="G20" s="9" t="s">
        <v>428</v>
      </c>
      <c r="H20" s="9" t="str">
        <f t="shared" si="3"/>
        <v>Técnico</v>
      </c>
      <c r="I20" s="9" t="str">
        <f t="shared" si="4"/>
        <v>Actualmente no trabajo y estoy buscando empleo</v>
      </c>
      <c r="J20" s="13" t="str">
        <f>IF(I20="Trabajo actualmente como empleado",IF(MOD((COUNTIF($I$2:I20,"Trabajo actualmente como empleado")-1)*37,150)&lt;100,"Empleado con contrato","Empleado sin contrato formal"),IF(I20="Trabajo de manera independiente","Trabajo independiente",""))</f>
        <v/>
      </c>
      <c r="K20" s="9" t="str">
        <f>IF(OR(I20="Trabajo actualmente como empleado",I20="Trabajo de manera independiente"),CHOOSE(MOD(COUNTIF($I$2:I20,I20)-1,4)+1,"Menos de 3 meses","De 3 a 6 meses","De 7 a 12 meses","Más de un año"),"")</f>
        <v/>
      </c>
      <c r="L20" t="str">
        <f>IF(OR(I20="Trabajo actualmente como empleado",I20="Trabajo de manera independiente"),CHOOSE(MOD(COUNTIF($I$2:I20,I20)-1,3)+1,"Sí, completamente","Parcialmente","No"),"")</f>
        <v/>
      </c>
      <c r="M20" t="str">
        <f>IF(OR(I20="Trabajo actualmente como empleado",I20="Trabajo de manera independiente"),CHOOSE(MOD(INT((COUNTIF($I$2:I20,I20)-1)/3),4)+1,"1- Muy satisfecho/a","2- Satisfecho/a","3- Insatisfecho/a","4- Muy insatisfecho/a"),"")</f>
        <v/>
      </c>
      <c r="N20" t="str">
        <f>IF(OR(I20="Trabajo actualmente como empleado",I20="Trabajo de manera independiente"),_xlfn.LET(_xlpm.opcion,MOD(INT((COUNTIF($I$2:I20,I20)-1)/5),6)+1,CHOOSE(IF(AND(_xlpm.opcion=6,L20="Sí, completamente"),5,_xlpm.opcion),"Salario","Estabilidad laboral","Horario","Acceso a prestaciones","Oportunidades de crecimiento","Trabajar en un área relacionada con mi formación")),"")</f>
        <v/>
      </c>
      <c r="O20" s="9" t="str">
        <f>IF(OR(I20="Trabajo actualmente como empleado",I20="Trabajo de manera independiente"),_xlfn.LET(_xlpm.turno,MOD(COUNTIF($I$2:I20,I20)-1,5),_xlpm.nivel,VALUE(LEFT(M20,1)),IF(_xlpm.turno=4,"No estoy seguro/a",IF(_xlpm.turno&lt;IF(_xlpm.nivel&lt;=2,1,3),"Sí","No"))),"")</f>
        <v/>
      </c>
      <c r="P20" s="9" t="str">
        <f>_xlfn.LET(_xlpm.perfil,I20,_xlpm.turno,COUNTIF($I$2:I20,_xlpm.perfil)-1,_xlpm.busca,OR(_xlpm.perfil="Actualmente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trabajar"),IF(AND(_xlpm.trabaja,O20="No"),"Todavía no he iniciado una búsqueda activa",CHOOSE(MOD(_xlpm.turno*3,5)+1,"Menos de 1 mes","Entre 1 y 3 meses","Entre 4 y 6 meses","Más de 6 meses","Todavía no he iniciado una búsqueda activa")),"")))</f>
        <v>Entre 4 y 6 meses</v>
      </c>
      <c r="Q20" t="str">
        <f>IF(I20="Tengo un emprendimiento o quiero iniciar uno","",CHOOSE(MOD(INT((COUNTIF($I$2:I20,I20)-1)/7),3)+1,"Sí","No","Tengo una pero necesito actualizarla"))</f>
        <v>Sí</v>
      </c>
      <c r="R20" s="9" t="str">
        <f>IF(I20="Tengo un emprendimiento o quiero iniciar uno","",IF(I20="Busco mi primer empleo","No",IF(MOD(COUNTIF($I$2:I20,I20)-1,2)=0,"Sí","No")))</f>
        <v>Sí</v>
      </c>
      <c r="S20" t="str">
        <f>IF(I20="Tengo un emprendimiento o quiero iniciar uno","",CHOOSE(MOD(INT((COUNTIF($I$2:I20,I20)-1)/3),10)+1,"Portales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0" t="str">
        <f>IF(I20="Tengo un emprendimiento o quiero iniciar uno","",_xlfn.LET(_xlpm.opcion,MOD(INT((COUNTIF($I$2:I20,I20)-1)/4),6)+1,CHOOSE(IF(AND(_xlpm.opcion=3,Q20="Sí"),1,_xlpm.opcion),"Falta de experiencia","Falta de formación","Dificultades con la hoja de vida","Horarios disponibles","Transporte","Internet")))</f>
        <v>Falta de experiencia</v>
      </c>
      <c r="U20" s="9" t="str">
        <f>IF(I20="Tengo un emprendimiento o quiero iniciar uno","",IF(MOD(INT((COUNTIF($I$2:I20,I20)-1)/3),2)=0,"Sí","No"))</f>
        <v>Sí</v>
      </c>
      <c r="V20" s="9" t="str">
        <f>IF(I20="Tengo un emprendimiento o quiero iniciar uno",CHOOSE(MOD(COUNTIF($I$2:I20,I20)-1,3)+1,"Tengo un emprendimiento","Estoy iniciando un emprendimiento","Me interesa emprender"),"")</f>
        <v/>
      </c>
      <c r="W20" t="str">
        <f t="shared" si="5"/>
        <v/>
      </c>
      <c r="X20" s="9" t="str">
        <f>IF(I20="Tengo un emprendimiento o quiero iniciar uno",CHOOSE(MOD(COUNTIF($I$2:I20,I20)-1,5)+1,"Falta de financiación","Falta de conocimientos administrativos","Falta de conocimientos financieros","Falta de tiempo","Falta de herramientas"),"")</f>
        <v/>
      </c>
      <c r="Y20" s="9" t="str">
        <f t="shared" si="6"/>
        <v/>
      </c>
      <c r="Z20" t="str">
        <f>IF(I20="Tengo un emprendimiento o quiero iniciar uno",CHOOSE(INT(MOD((COUNTIF($I$2:I20,I20)-1)*7,39)/13)+1,"Sí","No","No conozco programas de ese tipo"),"")</f>
        <v/>
      </c>
      <c r="AA20" t="str">
        <f t="shared" si="7"/>
        <v>No puedo hacerlo</v>
      </c>
      <c r="AB20" t="str">
        <f t="shared" si="7"/>
        <v>No puedo hacerlo</v>
      </c>
      <c r="AC20" t="str">
        <f t="shared" si="8"/>
        <v>No puedo hacerlo</v>
      </c>
      <c r="AD20" s="9" t="str">
        <f t="shared" si="9"/>
        <v>Puedo hacerlo con dificultad</v>
      </c>
      <c r="AE20" t="str">
        <f t="shared" si="10"/>
        <v>No puedo hacerlo</v>
      </c>
      <c r="AF20" s="9" t="str">
        <f t="shared" si="11"/>
        <v>Preparación para entrevista</v>
      </c>
      <c r="AG20" s="9" t="str">
        <f t="shared" si="17"/>
        <v>Costos de transporte;Distancia</v>
      </c>
      <c r="AH20" t="str">
        <f t="shared" si="12"/>
        <v>Programas de emprendimiento</v>
      </c>
      <c r="AI20" s="9" t="str">
        <f t="shared" si="13"/>
        <v>Me es indiferente</v>
      </c>
      <c r="AJ20" s="9" t="str">
        <f t="shared" si="14"/>
        <v>Nocturno</v>
      </c>
      <c r="AK20" s="9" t="str">
        <f t="shared" si="15"/>
        <v>WhatsApp</v>
      </c>
    </row>
    <row r="21" spans="1:37">
      <c r="A21" t="str">
        <f t="shared" si="16"/>
        <v>SG020</v>
      </c>
      <c r="B21" t="s">
        <v>418</v>
      </c>
      <c r="C21" s="9" t="s">
        <v>427</v>
      </c>
      <c r="D21" t="str">
        <f t="shared" si="0"/>
        <v>Masculino</v>
      </c>
      <c r="E21" t="str">
        <f t="shared" si="1"/>
        <v>De 26 a 28 años</v>
      </c>
      <c r="F21">
        <f t="shared" si="2"/>
        <v>26</v>
      </c>
      <c r="G21" s="9" t="s">
        <v>428</v>
      </c>
      <c r="H21" s="9" t="str">
        <f t="shared" si="3"/>
        <v>Técnico</v>
      </c>
      <c r="I21" s="9" t="str">
        <f t="shared" si="4"/>
        <v>Estudio y quiero comenzar a trabajar</v>
      </c>
      <c r="J21" s="13" t="str">
        <f>IF(I21="Trabajo actualmente como empleado",IF(MOD((COUNTIF($I$2:I21,"Trabajo actualmente como empleado")-1)*37,150)&lt;100,"Empleado con contrato","Empleado sin contrato formal"),IF(I21="Trabajo de manera independiente","Trabajo independiente",""))</f>
        <v/>
      </c>
      <c r="K21" s="9" t="str">
        <f>IF(OR(I21="Trabajo actualmente como empleado",I21="Trabajo de manera independiente"),CHOOSE(MOD(COUNTIF($I$2:I21,I21)-1,4)+1,"Menos de 3 meses","De 3 a 6 meses","De 7 a 12 meses","Más de un año"),"")</f>
        <v/>
      </c>
      <c r="L21" t="str">
        <f>IF(OR(I21="Trabajo actualmente como empleado",I21="Trabajo de manera independiente"),CHOOSE(MOD(COUNTIF($I$2:I21,I21)-1,3)+1,"Sí, completamente","Parcialmente","No"),"")</f>
        <v/>
      </c>
      <c r="M21" t="str">
        <f>IF(OR(I21="Trabajo actualmente como empleado",I21="Trabajo de manera independiente"),CHOOSE(MOD(INT((COUNTIF($I$2:I21,I21)-1)/3),4)+1,"1- Muy satisfecho/a","2- Satisfecho/a","3- Insatisfecho/a","4- Muy insatisfecho/a"),"")</f>
        <v/>
      </c>
      <c r="N21" t="str">
        <f>IF(OR(I21="Trabajo actualmente como empleado",I21="Trabajo de manera independiente"),_xlfn.LET(_xlpm.opcion,MOD(INT((COUNTIF($I$2:I21,I21)-1)/5),6)+1,CHOOSE(IF(AND(_xlpm.opcion=6,L21="Sí, completamente"),5,_xlpm.opcion),"Salario","Estabilidad laboral","Horario","Acceso a prestaciones","Oportunidades de crecimiento","Trabajar en un área relacionada con mi formación")),"")</f>
        <v/>
      </c>
      <c r="O21" s="9" t="str">
        <f>IF(OR(I21="Trabajo actualmente como empleado",I21="Trabajo de manera independiente"),_xlfn.LET(_xlpm.turno,MOD(COUNTIF($I$2:I21,I21)-1,5),_xlpm.nivel,VALUE(LEFT(M21,1)),IF(_xlpm.turno=4,"No estoy seguro/a",IF(_xlpm.turno&lt;IF(_xlpm.nivel&lt;=2,1,3),"Sí","No"))),"")</f>
        <v/>
      </c>
      <c r="P21" s="9" t="str">
        <f>_xlfn.LET(_xlpm.perfil,I21,_xlpm.turno,COUNTIF($I$2:I21,_xlpm.perfil)-1,_xlpm.busca,OR(_xlpm.perfil="Actualmente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trabajar"),IF(AND(_xlpm.trabaja,O21="No"),"Todavía no he iniciado una búsqueda activa",CHOOSE(MOD(_xlpm.turno*3,5)+1,"Menos de 1 mes","Entre 1 y 3 meses","Entre 4 y 6 meses","Más de 6 meses","Todavía no he iniciado una búsqueda activa")),"")))</f>
        <v>Entre 1 y 3 meses</v>
      </c>
      <c r="Q21" t="str">
        <f>IF(I21="Tengo un emprendimiento o quiero iniciar uno","",CHOOSE(MOD(INT((COUNTIF($I$2:I21,I21)-1)/7),3)+1,"Sí","No","Tengo una pero necesito actualizarla"))</f>
        <v>Sí</v>
      </c>
      <c r="R21" s="9" t="str">
        <f>IF(I21="Tengo un emprendimiento o quiero iniciar uno","",IF(I21="Busco mi primer empleo","No",IF(MOD(COUNTIF($I$2:I21,I21)-1,2)=0,"Sí","No")))</f>
        <v>Sí</v>
      </c>
      <c r="S21" t="str">
        <f>IF(I21="Tengo un emprendimiento o quiero iniciar uno","",CHOOSE(MOD(INT((COUNTIF($I$2:I21,I21)-1)/3),10)+1,"Portales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1" t="str">
        <f>IF(I21="Tengo un emprendimiento o quiero iniciar uno","",_xlfn.LET(_xlpm.opcion,MOD(INT((COUNTIF($I$2:I21,I21)-1)/4),6)+1,CHOOSE(IF(AND(_xlpm.opcion=3,Q21="Sí"),1,_xlpm.opcion),"Falta de experiencia","Falta de formación","Dificultades con la hoja de vida","Horarios disponibles","Transporte","Internet")))</f>
        <v>Falta de experiencia</v>
      </c>
      <c r="U21" s="9" t="str">
        <f>IF(I21="Tengo un emprendimiento o quiero iniciar uno","",IF(MOD(INT((COUNTIF($I$2:I21,I21)-1)/3),2)=0,"Sí","No"))</f>
        <v>Sí</v>
      </c>
      <c r="V21" s="9" t="str">
        <f>IF(I21="Tengo un emprendimiento o quiero iniciar uno",CHOOSE(MOD(COUNTIF($I$2:I21,I21)-1,3)+1,"Tengo un emprendimiento","Estoy iniciando un emprendimiento","Me interesa emprender"),"")</f>
        <v/>
      </c>
      <c r="W21" t="str">
        <f t="shared" si="5"/>
        <v/>
      </c>
      <c r="X21" s="9" t="str">
        <f>IF(I21="Tengo un emprendimiento o quiero iniciar uno",CHOOSE(MOD(COUNTIF($I$2:I21,I21)-1,5)+1,"Falta de financiación","Falta de conocimientos administrativos","Falta de conocimientos financieros","Falta de tiempo","Falta de herramientas"),"")</f>
        <v/>
      </c>
      <c r="Y21" s="9" t="str">
        <f t="shared" si="6"/>
        <v/>
      </c>
      <c r="Z21" t="str">
        <f>IF(I21="Tengo un emprendimiento o quiero iniciar uno",CHOOSE(INT(MOD((COUNTIF($I$2:I21,I21)-1)*7,39)/13)+1,"Sí","No","No conozco programas de ese tipo"),"")</f>
        <v/>
      </c>
      <c r="AA21" t="str">
        <f t="shared" si="7"/>
        <v>Puedo hacerlo con dificultad</v>
      </c>
      <c r="AB21" t="str">
        <f t="shared" si="7"/>
        <v>Puedo hacerlo con dificultad</v>
      </c>
      <c r="AC21" t="str">
        <f t="shared" si="8"/>
        <v>Puedo hacerlo con ayuda</v>
      </c>
      <c r="AD21" s="9" t="str">
        <f t="shared" si="9"/>
        <v>Puedo hacerlo sin ayuda</v>
      </c>
      <c r="AE21" t="str">
        <f t="shared" si="10"/>
        <v>Puedo hacerlo con ayuda</v>
      </c>
      <c r="AF21" s="9" t="str">
        <f t="shared" si="11"/>
        <v>Comunicación</v>
      </c>
      <c r="AG21" s="9" t="str">
        <f t="shared" si="17"/>
        <v>Costos de transporte;Distancia</v>
      </c>
      <c r="AH21" t="str">
        <f t="shared" si="12"/>
        <v>Oficina de orientación laboral</v>
      </c>
      <c r="AI21" s="9" t="str">
        <f t="shared" si="13"/>
        <v>Presencial</v>
      </c>
      <c r="AJ21" s="9" t="str">
        <f t="shared" si="14"/>
        <v>Mañana entre semana</v>
      </c>
      <c r="AK21" s="9" t="str">
        <f t="shared" si="15"/>
        <v>Correo electrónico</v>
      </c>
    </row>
    <row r="22" spans="1:37">
      <c r="A22" t="str">
        <f t="shared" si="16"/>
        <v>SG021</v>
      </c>
      <c r="B22" t="s">
        <v>418</v>
      </c>
      <c r="C22" s="9" t="s">
        <v>427</v>
      </c>
      <c r="D22" t="str">
        <f t="shared" si="0"/>
        <v>Femenino</v>
      </c>
      <c r="E22" t="str">
        <f t="shared" si="1"/>
        <v>De 18 a 20 años</v>
      </c>
      <c r="F22">
        <f t="shared" si="2"/>
        <v>18</v>
      </c>
      <c r="G22" s="9" t="s">
        <v>428</v>
      </c>
      <c r="H22" s="9" t="str">
        <f t="shared" si="3"/>
        <v>Bachiller</v>
      </c>
      <c r="I22" s="9" t="str">
        <f t="shared" si="4"/>
        <v>Trabajo actualmente como empleado</v>
      </c>
      <c r="J22" s="13" t="str">
        <f>IF(I22="Trabajo actualmente como empleado",IF(MOD((COUNTIF($I$2:I22,"Trabajo actualmente como empleado")-1)*37,150)&lt;100,"Empleado con contrato","Empleado sin contrato formal"),IF(I22="Trabajo de manera independiente","Trabajo independiente",""))</f>
        <v>Empleado con contrato</v>
      </c>
      <c r="K22" s="9" t="str">
        <f>IF(OR(I22="Trabajo actualmente como empleado",I22="Trabajo de manera independiente"),CHOOSE(MOD(COUNTIF($I$2:I22,I22)-1,4)+1,"Menos de 3 meses","De 3 a 6 meses","De 7 a 12 meses","Más de un año"),"")</f>
        <v>De 7 a 12 meses</v>
      </c>
      <c r="L22" t="str">
        <f>IF(OR(I22="Trabajo actualmente como empleado",I22="Trabajo de manera independiente"),CHOOSE(MOD(COUNTIF($I$2:I22,I22)-1,3)+1,"Sí, completamente","Parcialmente","No"),"")</f>
        <v>Sí, completamente</v>
      </c>
      <c r="M22" t="str">
        <f>IF(OR(I22="Trabajo actualmente como empleado",I22="Trabajo de manera independiente"),CHOOSE(MOD(INT((COUNTIF($I$2:I22,I22)-1)/3),4)+1,"1- Muy satisfecho/a","2- Satisfecho/a","3- Insatisfecho/a","4- Muy insatisfecho/a"),"")</f>
        <v>3- Insatisfecho/a</v>
      </c>
      <c r="N22" t="str">
        <f>IF(OR(I22="Trabajo actualmente como empleado",I22="Trabajo de manera independiente"),_xlfn.LET(_xlpm.opcion,MOD(INT((COUNTIF($I$2:I22,I22)-1)/5),6)+1,CHOOSE(IF(AND(_xlpm.opcion=6,L22="Sí, completamente"),5,_xlpm.opcion),"Salario","Estabilidad laboral","Horario","Acceso a prestaciones","Oportunidades de crecimiento","Trabajar en un área relacionada con mi formación")),"")</f>
        <v>Estabilidad laboral</v>
      </c>
      <c r="O22" s="9" t="str">
        <f>IF(OR(I22="Trabajo actualmente como empleado",I22="Trabajo de manera independiente"),_xlfn.LET(_xlpm.turno,MOD(COUNTIF($I$2:I22,I22)-1,5),_xlpm.nivel,VALUE(LEFT(M22,1)),IF(_xlpm.turno=4,"No estoy seguro/a",IF(_xlpm.turno&lt;IF(_xlpm.nivel&lt;=2,1,3),"Sí","No"))),"")</f>
        <v>Sí</v>
      </c>
      <c r="P22" s="9" t="str">
        <f>_xlfn.LET(_xlpm.perfil,I22,_xlpm.turno,COUNTIF($I$2:I22,_xlpm.perfil)-1,_xlpm.busca,OR(_xlpm.perfil="Actualmente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trabajar"),IF(AND(_xlpm.trabaja,O22="No"),"Todavía no he iniciado una búsqueda activa",CHOOSE(MOD(_xlpm.turno*3,5)+1,"Menos de 1 mes","Entre 1 y 3 meses","Entre 4 y 6 meses","Más de 6 meses","Todavía no he iniciado una búsqueda activa")),"")))</f>
        <v>Más de 6 meses</v>
      </c>
      <c r="Q22" t="str">
        <f>IF(I22="Tengo un emprendimiento o quiero iniciar uno","",CHOOSE(MOD(INT((COUNTIF($I$2:I22,I22)-1)/7),3)+1,"Sí","No","Tengo una pero necesito actualizarla"))</f>
        <v>Sí</v>
      </c>
      <c r="R22" s="9" t="str">
        <f>IF(I22="Tengo un emprendimiento o quiero iniciar uno","",IF(I22="Busco mi primer empleo","No",IF(MOD(COUNTIF($I$2:I22,I22)-1,2)=0,"Sí","No")))</f>
        <v>Sí</v>
      </c>
      <c r="S22" t="str">
        <f>IF(I22="Tengo un emprendimiento o quiero iniciar uno","",CHOOSE(MOD(INT((COUNTIF($I$2:I22,I22)-1)/3),10)+1,"Portales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2" t="str">
        <f>IF(I22="Tengo un emprendimiento o quiero iniciar uno","",_xlfn.LET(_xlpm.opcion,MOD(INT((COUNTIF($I$2:I22,I22)-1)/4),6)+1,CHOOSE(IF(AND(_xlpm.opcion=3,Q22="Sí"),1,_xlpm.opcion),"Falta de experiencia","Falta de formación","Dificultades con la hoja de vida","Horarios disponibles","Transporte","Internet")))</f>
        <v>Falta de formación</v>
      </c>
      <c r="U22" s="9" t="str">
        <f>IF(I22="Tengo un emprendimiento o quiero iniciar uno","",IF(MOD(INT((COUNTIF($I$2:I22,I22)-1)/3),2)=0,"Sí","No"))</f>
        <v>Sí</v>
      </c>
      <c r="V22" s="9" t="str">
        <f>IF(I22="Tengo un emprendimiento o quiero iniciar uno",CHOOSE(MOD(COUNTIF($I$2:I22,I22)-1,3)+1,"Tengo un emprendimiento","Estoy iniciando un emprendimiento","Me interesa emprender"),"")</f>
        <v/>
      </c>
      <c r="W22" t="str">
        <f t="shared" si="5"/>
        <v/>
      </c>
      <c r="X22" s="9" t="str">
        <f>IF(I22="Tengo un emprendimiento o quiero iniciar uno",CHOOSE(MOD(COUNTIF($I$2:I22,I22)-1,5)+1,"Falta de financiación","Falta de conocimientos administrativos","Falta de conocimientos financieros","Falta de tiempo","Falta de herramientas"),"")</f>
        <v/>
      </c>
      <c r="Y22" s="9" t="str">
        <f t="shared" si="6"/>
        <v/>
      </c>
      <c r="Z22" t="str">
        <f>IF(I22="Tengo un emprendimiento o quiero iniciar uno",CHOOSE(INT(MOD((COUNTIF($I$2:I22,I22)-1)*7,39)/13)+1,"Sí","No","No conozco programas de ese tipo"),"")</f>
        <v/>
      </c>
      <c r="AA22" t="str">
        <f t="shared" si="7"/>
        <v>Puedo hacerlo sin ayuda</v>
      </c>
      <c r="AB22" t="str">
        <f t="shared" si="7"/>
        <v>Puedo hacerlo sin ayuda</v>
      </c>
      <c r="AC22" t="str">
        <f t="shared" si="8"/>
        <v>Puedo hacerlo con dificultad</v>
      </c>
      <c r="AD22" s="9" t="str">
        <f t="shared" si="9"/>
        <v>Puedo hacerlo sin ayuda</v>
      </c>
      <c r="AE22" t="str">
        <f t="shared" si="10"/>
        <v>Puedo hacerlo con ayuda</v>
      </c>
      <c r="AF22" s="9" t="str">
        <f t="shared" si="11"/>
        <v>Liderazgo</v>
      </c>
      <c r="AG22" s="9" t="str">
        <f t="shared" si="17"/>
        <v>Costos de transporte;Distancia</v>
      </c>
      <c r="AH22" t="str">
        <f t="shared" si="12"/>
        <v>Ferias de empleo</v>
      </c>
      <c r="AI22" s="9" t="str">
        <f t="shared" si="13"/>
        <v>Virtual</v>
      </c>
      <c r="AJ22" s="9" t="str">
        <f t="shared" si="14"/>
        <v>Diurno</v>
      </c>
      <c r="AK22" s="9" t="str">
        <f t="shared" si="15"/>
        <v>Celular</v>
      </c>
    </row>
    <row r="23" spans="1:37">
      <c r="A23" t="str">
        <f t="shared" si="16"/>
        <v>SG022</v>
      </c>
      <c r="B23" t="s">
        <v>418</v>
      </c>
      <c r="C23" s="9" t="s">
        <v>427</v>
      </c>
      <c r="D23" t="str">
        <f t="shared" si="0"/>
        <v>Masculino</v>
      </c>
      <c r="E23" t="str">
        <f t="shared" si="1"/>
        <v>De 20 a 22 años</v>
      </c>
      <c r="F23">
        <f t="shared" si="2"/>
        <v>20</v>
      </c>
      <c r="G23" s="9" t="s">
        <v>428</v>
      </c>
      <c r="H23" s="9" t="str">
        <f t="shared" si="3"/>
        <v>Técnico</v>
      </c>
      <c r="I23" s="9" t="str">
        <f t="shared" si="4"/>
        <v>Actualmente no trabajo y estoy buscando empleo</v>
      </c>
      <c r="J23" s="13" t="str">
        <f>IF(I23="Trabajo actualmente como empleado",IF(MOD((COUNTIF($I$2:I23,"Trabajo actualmente como empleado")-1)*37,150)&lt;100,"Empleado con contrato","Empleado sin contrato formal"),IF(I23="Trabajo de manera independiente","Trabajo independiente",""))</f>
        <v/>
      </c>
      <c r="K23" s="9" t="str">
        <f>IF(OR(I23="Trabajo actualmente como empleado",I23="Trabajo de manera independiente"),CHOOSE(MOD(COUNTIF($I$2:I23,I23)-1,4)+1,"Menos de 3 meses","De 3 a 6 meses","De 7 a 12 meses","Más de un año"),"")</f>
        <v/>
      </c>
      <c r="L23" t="str">
        <f>IF(OR(I23="Trabajo actualmente como empleado",I23="Trabajo de manera independiente"),CHOOSE(MOD(COUNTIF($I$2:I23,I23)-1,3)+1,"Sí, completamente","Parcialmente","No"),"")</f>
        <v/>
      </c>
      <c r="M23" t="str">
        <f>IF(OR(I23="Trabajo actualmente como empleado",I23="Trabajo de manera independiente"),CHOOSE(MOD(INT((COUNTIF($I$2:I23,I23)-1)/3),4)+1,"1- Muy satisfecho/a","2- Satisfecho/a","3- Insatisfecho/a","4- Muy insatisfecho/a"),"")</f>
        <v/>
      </c>
      <c r="N23" t="str">
        <f>IF(OR(I23="Trabajo actualmente como empleado",I23="Trabajo de manera independiente"),_xlfn.LET(_xlpm.opcion,MOD(INT((COUNTIF($I$2:I23,I23)-1)/5),6)+1,CHOOSE(IF(AND(_xlpm.opcion=6,L23="Sí, completamente"),5,_xlpm.opcion),"Salario","Estabilidad laboral","Horario","Acceso a prestaciones","Oportunidades de crecimiento","Trabajar en un área relacionada con mi formación")),"")</f>
        <v/>
      </c>
      <c r="O23" s="9" t="str">
        <f>IF(OR(I23="Trabajo actualmente como empleado",I23="Trabajo de manera independiente"),_xlfn.LET(_xlpm.turno,MOD(COUNTIF($I$2:I23,I23)-1,5),_xlpm.nivel,VALUE(LEFT(M23,1)),IF(_xlpm.turno=4,"No estoy seguro/a",IF(_xlpm.turno&lt;IF(_xlpm.nivel&lt;=2,1,3),"Sí","No"))),"")</f>
        <v/>
      </c>
      <c r="P23" s="9" t="str">
        <f>_xlfn.LET(_xlpm.perfil,I23,_xlpm.turno,COUNTIF($I$2:I23,_xlpm.perfil)-1,_xlpm.busca,OR(_xlpm.perfil="Actualmente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trabajar"),IF(AND(_xlpm.trabaja,O23="No"),"Todavía no he iniciado una búsqueda activa",CHOOSE(MOD(_xlpm.turno*3,5)+1,"Menos de 1 mes","Entre 1 y 3 meses","Entre 4 y 6 meses","Más de 6 meses","Todavía no he iniciado una búsqueda activa")),"")))</f>
        <v>Entre 1 y 3 meses</v>
      </c>
      <c r="Q23" t="str">
        <f>IF(I23="Tengo un emprendimiento o quiero iniciar uno","",CHOOSE(MOD(INT((COUNTIF($I$2:I23,I23)-1)/7),3)+1,"Sí","No","Tengo una pero necesito actualizarla"))</f>
        <v>Sí</v>
      </c>
      <c r="R23" s="9" t="str">
        <f>IF(I23="Tengo un emprendimiento o quiero iniciar uno","",IF(I23="Busco mi primer empleo","No",IF(MOD(COUNTIF($I$2:I23,I23)-1,2)=0,"Sí","No")))</f>
        <v>No</v>
      </c>
      <c r="S23" t="str">
        <f>IF(I23="Tengo un emprendimiento o quiero iniciar uno","",CHOOSE(MOD(INT((COUNTIF($I$2:I23,I23)-1)/3),10)+1,"Portales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3" t="str">
        <f>IF(I23="Tengo un emprendimiento o quiero iniciar uno","",_xlfn.LET(_xlpm.opcion,MOD(INT((COUNTIF($I$2:I23,I23)-1)/4),6)+1,CHOOSE(IF(AND(_xlpm.opcion=3,Q23="Sí"),1,_xlpm.opcion),"Falta de experiencia","Falta de formación","Dificultades con la hoja de vida","Horarios disponibles","Transporte","Internet")))</f>
        <v>Falta de experiencia</v>
      </c>
      <c r="U23" s="9" t="str">
        <f>IF(I23="Tengo un emprendimiento o quiero iniciar uno","",IF(MOD(INT((COUNTIF($I$2:I23,I23)-1)/3),2)=0,"Sí","No"))</f>
        <v>No</v>
      </c>
      <c r="V23" s="9" t="str">
        <f>IF(I23="Tengo un emprendimiento o quiero iniciar uno",CHOOSE(MOD(COUNTIF($I$2:I23,I23)-1,3)+1,"Tengo un emprendimiento","Estoy iniciando un emprendimiento","Me interesa emprender"),"")</f>
        <v/>
      </c>
      <c r="W23" t="str">
        <f t="shared" si="5"/>
        <v/>
      </c>
      <c r="X23" s="9" t="str">
        <f>IF(I23="Tengo un emprendimiento o quiero iniciar uno",CHOOSE(MOD(COUNTIF($I$2:I23,I23)-1,5)+1,"Falta de financiación","Falta de conocimientos administrativos","Falta de conocimientos financieros","Falta de tiempo","Falta de herramientas"),"")</f>
        <v/>
      </c>
      <c r="Y23" s="9" t="str">
        <f t="shared" si="6"/>
        <v/>
      </c>
      <c r="Z23" t="str">
        <f>IF(I23="Tengo un emprendimiento o quiero iniciar uno",CHOOSE(INT(MOD((COUNTIF($I$2:I23,I23)-1)*7,39)/13)+1,"Sí","No","No conozco programas de ese tipo"),"")</f>
        <v/>
      </c>
      <c r="AA23" t="str">
        <f t="shared" si="7"/>
        <v>Puedo hacerlo con ayuda</v>
      </c>
      <c r="AB23" t="str">
        <f t="shared" si="7"/>
        <v>Puedo hacerlo con ayuda</v>
      </c>
      <c r="AC23" t="str">
        <f t="shared" si="8"/>
        <v>No puedo hacerlo</v>
      </c>
      <c r="AD23" s="9" t="str">
        <f t="shared" si="9"/>
        <v>No puedo hacerlo</v>
      </c>
      <c r="AE23" t="str">
        <f t="shared" si="10"/>
        <v>Puedo hacerlo con dificultad</v>
      </c>
      <c r="AF23" s="9" t="str">
        <f t="shared" si="11"/>
        <v>Emprendimiento</v>
      </c>
      <c r="AG23" s="9" t="str">
        <f t="shared" si="17"/>
        <v>Falta de información</v>
      </c>
      <c r="AH23" t="str">
        <f t="shared" si="12"/>
        <v>No conozco ninguno</v>
      </c>
      <c r="AI23" s="9" t="str">
        <f t="shared" si="13"/>
        <v>Presencial y virtual</v>
      </c>
      <c r="AJ23" s="9" t="str">
        <f t="shared" si="14"/>
        <v>Nocturno</v>
      </c>
      <c r="AK23" s="9" t="str">
        <f t="shared" si="15"/>
        <v>WhatsApp</v>
      </c>
    </row>
    <row r="24" spans="1:37">
      <c r="A24" t="str">
        <f t="shared" si="16"/>
        <v>SG023</v>
      </c>
      <c r="B24" t="s">
        <v>418</v>
      </c>
      <c r="C24" s="9" t="s">
        <v>427</v>
      </c>
      <c r="D24" t="str">
        <f t="shared" si="0"/>
        <v>Masculino</v>
      </c>
      <c r="E24" t="str">
        <f t="shared" si="1"/>
        <v>De 22 a 24 años</v>
      </c>
      <c r="F24">
        <f t="shared" si="2"/>
        <v>22</v>
      </c>
      <c r="G24" s="9" t="s">
        <v>428</v>
      </c>
      <c r="H24" s="9" t="str">
        <f t="shared" si="3"/>
        <v>Tecnólogo</v>
      </c>
      <c r="I24" s="9" t="str">
        <f t="shared" si="4"/>
        <v>Tengo un emprendimiento o quiero iniciar uno</v>
      </c>
      <c r="J24" s="13" t="str">
        <f>IF(I24="Trabajo actualmente como empleado",IF(MOD((COUNTIF($I$2:I24,"Trabajo actualmente como empleado")-1)*37,150)&lt;100,"Empleado con contrato","Empleado sin contrato formal"),IF(I24="Trabajo de manera independiente","Trabajo independiente",""))</f>
        <v/>
      </c>
      <c r="K24" s="9" t="str">
        <f>IF(OR(I24="Trabajo actualmente como empleado",I24="Trabajo de manera independiente"),CHOOSE(MOD(COUNTIF($I$2:I24,I24)-1,4)+1,"Menos de 3 meses","De 3 a 6 meses","De 7 a 12 meses","Más de un año"),"")</f>
        <v/>
      </c>
      <c r="L24" t="str">
        <f>IF(OR(I24="Trabajo actualmente como empleado",I24="Trabajo de manera independiente"),CHOOSE(MOD(COUNTIF($I$2:I24,I24)-1,3)+1,"Sí, completamente","Parcialmente","No"),"")</f>
        <v/>
      </c>
      <c r="M24" t="str">
        <f>IF(OR(I24="Trabajo actualmente como empleado",I24="Trabajo de manera independiente"),CHOOSE(MOD(INT((COUNTIF($I$2:I24,I24)-1)/3),4)+1,"1- Muy satisfecho/a","2- Satisfecho/a","3- Insatisfecho/a","4- Muy insatisfecho/a"),"")</f>
        <v/>
      </c>
      <c r="N24" t="str">
        <f>IF(OR(I24="Trabajo actualmente como empleado",I24="Trabajo de manera independiente"),_xlfn.LET(_xlpm.opcion,MOD(INT((COUNTIF($I$2:I24,I24)-1)/5),6)+1,CHOOSE(IF(AND(_xlpm.opcion=6,L24="Sí, completamente"),5,_xlpm.opcion),"Salario","Estabilidad laboral","Horario","Acceso a prestaciones","Oportunidades de crecimiento","Trabajar en un área relacionada con mi formación")),"")</f>
        <v/>
      </c>
      <c r="O24" s="9" t="str">
        <f>IF(OR(I24="Trabajo actualmente como empleado",I24="Trabajo de manera independiente"),_xlfn.LET(_xlpm.turno,MOD(COUNTIF($I$2:I24,I24)-1,5),_xlpm.nivel,VALUE(LEFT(M24,1)),IF(_xlpm.turno=4,"No estoy seguro/a",IF(_xlpm.turno&lt;IF(_xlpm.nivel&lt;=2,1,3),"Sí","No"))),"")</f>
        <v/>
      </c>
      <c r="P24" s="9" t="str">
        <f>_xlfn.LET(_xlpm.perfil,I24,_xlpm.turno,COUNTIF($I$2:I24,_xlpm.perfil)-1,_xlpm.busca,OR(_xlpm.perfil="Actualmente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trabajar"),IF(AND(_xlpm.trabaja,O24="No"),"Todavía no he iniciado una búsqueda activa",CHOOSE(MOD(_xlpm.turno*3,5)+1,"Menos de 1 mes","Entre 1 y 3 meses","Entre 4 y 6 meses","Más de 6 meses","Todavía no he iniciado una búsqueda activa")),"")))</f>
        <v/>
      </c>
      <c r="Q24" t="str">
        <f>IF(I24="Tengo un emprendimiento o quiero iniciar uno","",CHOOSE(MOD(INT((COUNTIF($I$2:I24,I24)-1)/7),3)+1,"Sí","No","Tengo una pero necesito actualizarla"))</f>
        <v/>
      </c>
      <c r="R24" s="9" t="str">
        <f>IF(I24="Tengo un emprendimiento o quiero iniciar uno","",IF(I24="Busco mi primer empleo","No",IF(MOD(COUNTIF($I$2:I24,I24)-1,2)=0,"Sí","No")))</f>
        <v/>
      </c>
      <c r="S24" t="str">
        <f>IF(I24="Tengo un emprendimiento o quiero iniciar uno","",CHOOSE(MOD(INT((COUNTIF($I$2:I24,I24)-1)/3),10)+1,"Portales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4" t="str">
        <f>IF(I24="Tengo un emprendimiento o quiero iniciar uno","",_xlfn.LET(_xlpm.opcion,MOD(INT((COUNTIF($I$2:I24,I24)-1)/4),6)+1,CHOOSE(IF(AND(_xlpm.opcion=3,Q24="Sí"),1,_xlpm.opcion),"Falta de experiencia","Falta de formación","Dificultades con la hoja de vida","Horarios disponibles","Transporte","Internet")))</f>
        <v/>
      </c>
      <c r="U24" s="9" t="str">
        <f>IF(I24="Tengo un emprendimiento o quiero iniciar uno","",IF(MOD(INT((COUNTIF($I$2:I24,I24)-1)/3),2)=0,"Sí","No"))</f>
        <v/>
      </c>
      <c r="V24" s="9" t="str">
        <f>IF(I24="Tengo un emprendimiento o quiero iniciar uno",CHOOSE(MOD(COUNTIF($I$2:I24,I24)-1,3)+1,"Tengo un emprendimiento","Estoy iniciando un emprendimiento","Me interesa emprender"),"")</f>
        <v>Estoy iniciando un emprendimiento</v>
      </c>
      <c r="W24" t="str">
        <f t="shared" si="5"/>
        <v>Inicio</v>
      </c>
      <c r="X24" s="9" t="str">
        <f>IF(I24="Tengo un emprendimiento o quiero iniciar uno",CHOOSE(MOD(COUNTIF($I$2:I24,I24)-1,5)+1,"Falta de financiación","Falta de conocimientos administrativos","Falta de conocimientos financieros","Falta de tiempo","Falta de herramientas"),"")</f>
        <v>Falta de conocimientos administrativos</v>
      </c>
      <c r="Y24" s="9" t="str">
        <f t="shared" si="6"/>
        <v>Falta de conocimientos administrativos</v>
      </c>
      <c r="Z24" t="str">
        <f>IF(I24="Tengo un emprendimiento o quiero iniciar uno",CHOOSE(INT(MOD((COUNTIF($I$2:I24,I24)-1)*7,39)/13)+1,"Sí","No","No conozco programas de ese tipo"),"")</f>
        <v>Sí</v>
      </c>
      <c r="AA24" t="str">
        <f t="shared" si="7"/>
        <v>Puedo hacerlo sin ayuda</v>
      </c>
      <c r="AB24" t="str">
        <f t="shared" si="7"/>
        <v>Puedo hacerlo sin ayuda</v>
      </c>
      <c r="AC24" t="str">
        <f t="shared" si="8"/>
        <v>Puedo hacerlo con ayuda</v>
      </c>
      <c r="AD24" s="9" t="str">
        <f t="shared" si="9"/>
        <v>Puedo hacerlo con ayuda</v>
      </c>
      <c r="AE24" t="str">
        <f t="shared" si="10"/>
        <v>Puedo hacerlo con dificultad</v>
      </c>
      <c r="AF24" s="9" t="str">
        <f t="shared" si="11"/>
        <v>Herramientas digitales</v>
      </c>
      <c r="AG24" s="9" t="str">
        <f t="shared" si="17"/>
        <v>Falta de información</v>
      </c>
      <c r="AH24" t="str">
        <f t="shared" si="12"/>
        <v>Ferias de empleo</v>
      </c>
      <c r="AI24" s="9" t="str">
        <f t="shared" si="13"/>
        <v>Me es indiferente</v>
      </c>
      <c r="AJ24" s="9" t="str">
        <f t="shared" si="14"/>
        <v>Mañana entre semana</v>
      </c>
      <c r="AK24" s="9" t="str">
        <f t="shared" si="15"/>
        <v>Redes sociales</v>
      </c>
    </row>
    <row r="25" spans="1:37">
      <c r="A25" t="str">
        <f t="shared" si="16"/>
        <v>SG024</v>
      </c>
      <c r="B25" t="s">
        <v>418</v>
      </c>
      <c r="C25" s="9" t="s">
        <v>427</v>
      </c>
      <c r="D25" t="str">
        <f t="shared" si="0"/>
        <v>Femenino</v>
      </c>
      <c r="E25" t="str">
        <f t="shared" si="1"/>
        <v>De 24 a 26 años</v>
      </c>
      <c r="F25">
        <f t="shared" si="2"/>
        <v>24</v>
      </c>
      <c r="G25" s="9" t="s">
        <v>428</v>
      </c>
      <c r="H25" s="9" t="str">
        <f t="shared" si="3"/>
        <v>Tecnólogo</v>
      </c>
      <c r="I25" s="9" t="str">
        <f t="shared" si="4"/>
        <v>Trabajo actualmente como empleado</v>
      </c>
      <c r="J25" s="13" t="str">
        <f>IF(I25="Trabajo actualmente como empleado",IF(MOD((COUNTIF($I$2:I25,"Trabajo actualmente como empleado")-1)*37,150)&lt;100,"Empleado con contrato","Empleado sin contrato formal"),IF(I25="Trabajo de manera independiente","Trabajo independiente",""))</f>
        <v>Empleado sin contrato formal</v>
      </c>
      <c r="K25" s="9" t="str">
        <f>IF(OR(I25="Trabajo actualmente como empleado",I25="Trabajo de manera independiente"),CHOOSE(MOD(COUNTIF($I$2:I25,I25)-1,4)+1,"Menos de 3 meses","De 3 a 6 meses","De 7 a 12 meses","Más de un año"),"")</f>
        <v>Más de un año</v>
      </c>
      <c r="L25" t="str">
        <f>IF(OR(I25="Trabajo actualmente como empleado",I25="Trabajo de manera independiente"),CHOOSE(MOD(COUNTIF($I$2:I25,I25)-1,3)+1,"Sí, completamente","Parcialmente","No"),"")</f>
        <v>Parcialmente</v>
      </c>
      <c r="M25" t="str">
        <f>IF(OR(I25="Trabajo actualmente como empleado",I25="Trabajo de manera independiente"),CHOOSE(MOD(INT((COUNTIF($I$2:I25,I25)-1)/3),4)+1,"1- Muy satisfecho/a","2- Satisfecho/a","3- Insatisfecho/a","4- Muy insatisfecho/a"),"")</f>
        <v>3- Insatisfecho/a</v>
      </c>
      <c r="N25" t="str">
        <f>IF(OR(I25="Trabajo actualmente como empleado",I25="Trabajo de manera independiente"),_xlfn.LET(_xlpm.opcion,MOD(INT((COUNTIF($I$2:I25,I25)-1)/5),6)+1,CHOOSE(IF(AND(_xlpm.opcion=6,L25="Sí, completamente"),5,_xlpm.opcion),"Salario","Estabilidad laboral","Horario","Acceso a prestaciones","Oportunidades de crecimiento","Trabajar en un área relacionada con mi formación")),"")</f>
        <v>Estabilidad laboral</v>
      </c>
      <c r="O25" s="9" t="str">
        <f>IF(OR(I25="Trabajo actualmente como empleado",I25="Trabajo de manera independiente"),_xlfn.LET(_xlpm.turno,MOD(COUNTIF($I$2:I25,I25)-1,5),_xlpm.nivel,VALUE(LEFT(M25,1)),IF(_xlpm.turno=4,"No estoy seguro/a",IF(_xlpm.turno&lt;IF(_xlpm.nivel&lt;=2,1,3),"Sí","No"))),"")</f>
        <v>Sí</v>
      </c>
      <c r="P25" s="9" t="str">
        <f>_xlfn.LET(_xlpm.perfil,I25,_xlpm.turno,COUNTIF($I$2:I25,_xlpm.perfil)-1,_xlpm.busca,OR(_xlpm.perfil="Actualmente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trabajar"),IF(AND(_xlpm.trabaja,O25="No"),"Todavía no he iniciado una búsqueda activa",CHOOSE(MOD(_xlpm.turno*3,5)+1,"Menos de 1 mes","Entre 1 y 3 meses","Entre 4 y 6 meses","Más de 6 meses","Todavía no he iniciado una búsqueda activa")),"")))</f>
        <v>Entre 1 y 3 meses</v>
      </c>
      <c r="Q25" t="str">
        <f>IF(I25="Tengo un emprendimiento o quiero iniciar uno","",CHOOSE(MOD(INT((COUNTIF($I$2:I25,I25)-1)/7),3)+1,"Sí","No","Tengo una pero necesito actualizarla"))</f>
        <v>No</v>
      </c>
      <c r="R25" s="9" t="str">
        <f>IF(I25="Tengo un emprendimiento o quiero iniciar uno","",IF(I25="Busco mi primer empleo","No",IF(MOD(COUNTIF($I$2:I25,I25)-1,2)=0,"Sí","No")))</f>
        <v>No</v>
      </c>
      <c r="S25" t="str">
        <f>IF(I25="Tengo un emprendimiento o quiero iniciar uno","",CHOOSE(MOD(INT((COUNTIF($I$2:I25,I25)-1)/3),10)+1,"Portales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5" t="str">
        <f>IF(I25="Tengo un emprendimiento o quiero iniciar uno","",_xlfn.LET(_xlpm.opcion,MOD(INT((COUNTIF($I$2:I25,I25)-1)/4),6)+1,CHOOSE(IF(AND(_xlpm.opcion=3,Q25="Sí"),1,_xlpm.opcion),"Falta de experiencia","Falta de formación","Dificultades con la hoja de vida","Horarios disponibles","Transporte","Internet")))</f>
        <v>Falta de formación</v>
      </c>
      <c r="U25" s="9" t="str">
        <f>IF(I25="Tengo un emprendimiento o quiero iniciar uno","",IF(MOD(INT((COUNTIF($I$2:I25,I25)-1)/3),2)=0,"Sí","No"))</f>
        <v>Sí</v>
      </c>
      <c r="V25" s="9" t="str">
        <f>IF(I25="Tengo un emprendimiento o quiero iniciar uno",CHOOSE(MOD(COUNTIF($I$2:I25,I25)-1,3)+1,"Tengo un emprendimiento","Estoy iniciando un emprendimiento","Me interesa emprender"),"")</f>
        <v/>
      </c>
      <c r="W25" t="str">
        <f t="shared" si="5"/>
        <v/>
      </c>
      <c r="X25" s="9" t="str">
        <f>IF(I25="Tengo un emprendimiento o quiero iniciar uno",CHOOSE(MOD(COUNTIF($I$2:I25,I25)-1,5)+1,"Falta de financiación","Falta de conocimientos administrativos","Falta de conocimientos financieros","Falta de tiempo","Falta de herramientas"),"")</f>
        <v/>
      </c>
      <c r="Y25" s="9" t="str">
        <f t="shared" si="6"/>
        <v/>
      </c>
      <c r="Z25" t="str">
        <f>IF(I25="Tengo un emprendimiento o quiero iniciar uno",CHOOSE(INT(MOD((COUNTIF($I$2:I25,I25)-1)*7,39)/13)+1,"Sí","No","No conozco programas de ese tipo"),"")</f>
        <v/>
      </c>
      <c r="AA25" t="str">
        <f t="shared" si="7"/>
        <v>No puedo hacerlo</v>
      </c>
      <c r="AB25" t="str">
        <f t="shared" si="7"/>
        <v>No puedo hacerlo</v>
      </c>
      <c r="AC25" t="str">
        <f t="shared" si="8"/>
        <v>Puedo hacerlo con dificultad</v>
      </c>
      <c r="AD25" s="9" t="str">
        <f t="shared" si="9"/>
        <v>Puedo hacerlo con dificultad</v>
      </c>
      <c r="AE25" t="str">
        <f t="shared" si="10"/>
        <v>Puedo hacerlo sin ayuda</v>
      </c>
      <c r="AF25" s="9" t="str">
        <f t="shared" si="11"/>
        <v>Educación financiera</v>
      </c>
      <c r="AG25" s="9" t="str">
        <f t="shared" si="17"/>
        <v>Falta de información</v>
      </c>
      <c r="AH25" t="str">
        <f t="shared" si="12"/>
        <v>Programas de emprendimiento</v>
      </c>
      <c r="AI25" s="9" t="str">
        <f t="shared" si="13"/>
        <v>Presencial</v>
      </c>
      <c r="AJ25" s="9" t="str">
        <f t="shared" si="14"/>
        <v>Diurno</v>
      </c>
      <c r="AK25" s="9" t="str">
        <f t="shared" si="15"/>
        <v>Celular</v>
      </c>
    </row>
    <row r="26" spans="1:37">
      <c r="A26" t="str">
        <f t="shared" si="16"/>
        <v>SG025</v>
      </c>
      <c r="B26" t="s">
        <v>418</v>
      </c>
      <c r="C26" s="9" t="s">
        <v>427</v>
      </c>
      <c r="D26" t="str">
        <f t="shared" si="0"/>
        <v>Femenino</v>
      </c>
      <c r="E26" t="str">
        <f t="shared" si="1"/>
        <v>De 26 a 28 años</v>
      </c>
      <c r="F26">
        <f t="shared" si="2"/>
        <v>27</v>
      </c>
      <c r="G26" s="9" t="s">
        <v>428</v>
      </c>
      <c r="H26" s="9" t="str">
        <f t="shared" si="3"/>
        <v>Profesional</v>
      </c>
      <c r="I26" s="9" t="str">
        <f t="shared" si="4"/>
        <v>Busco mi primer empleo</v>
      </c>
      <c r="J26" s="13" t="str">
        <f>IF(I26="Trabajo actualmente como empleado",IF(MOD((COUNTIF($I$2:I26,"Trabajo actualmente como empleado")-1)*37,150)&lt;100,"Empleado con contrato","Empleado sin contrato formal"),IF(I26="Trabajo de manera independiente","Trabajo independiente",""))</f>
        <v/>
      </c>
      <c r="K26" s="9" t="str">
        <f>IF(OR(I26="Trabajo actualmente como empleado",I26="Trabajo de manera independiente"),CHOOSE(MOD(COUNTIF($I$2:I26,I26)-1,4)+1,"Menos de 3 meses","De 3 a 6 meses","De 7 a 12 meses","Más de un año"),"")</f>
        <v/>
      </c>
      <c r="L26" t="str">
        <f>IF(OR(I26="Trabajo actualmente como empleado",I26="Trabajo de manera independiente"),CHOOSE(MOD(COUNTIF($I$2:I26,I26)-1,3)+1,"Sí, completamente","Parcialmente","No"),"")</f>
        <v/>
      </c>
      <c r="M26" t="str">
        <f>IF(OR(I26="Trabajo actualmente como empleado",I26="Trabajo de manera independiente"),CHOOSE(MOD(INT((COUNTIF($I$2:I26,I26)-1)/3),4)+1,"1- Muy satisfecho/a","2- Satisfecho/a","3- Insatisfecho/a","4- Muy insatisfecho/a"),"")</f>
        <v/>
      </c>
      <c r="N26" t="str">
        <f>IF(OR(I26="Trabajo actualmente como empleado",I26="Trabajo de manera independiente"),_xlfn.LET(_xlpm.opcion,MOD(INT((COUNTIF($I$2:I26,I26)-1)/5),6)+1,CHOOSE(IF(AND(_xlpm.opcion=6,L26="Sí, completamente"),5,_xlpm.opcion),"Salario","Estabilidad laboral","Horario","Acceso a prestaciones","Oportunidades de crecimiento","Trabajar en un área relacionada con mi formación")),"")</f>
        <v/>
      </c>
      <c r="O26" s="9" t="str">
        <f>IF(OR(I26="Trabajo actualmente como empleado",I26="Trabajo de manera independiente"),_xlfn.LET(_xlpm.turno,MOD(COUNTIF($I$2:I26,I26)-1,5),_xlpm.nivel,VALUE(LEFT(M26,1)),IF(_xlpm.turno=4,"No estoy seguro/a",IF(_xlpm.turno&lt;IF(_xlpm.nivel&lt;=2,1,3),"Sí","No"))),"")</f>
        <v/>
      </c>
      <c r="P26" s="9" t="str">
        <f>_xlfn.LET(_xlpm.perfil,I26,_xlpm.turno,COUNTIF($I$2:I26,_xlpm.perfil)-1,_xlpm.busca,OR(_xlpm.perfil="Actualmente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trabajar"),IF(AND(_xlpm.trabaja,O26="No"),"Todavía no he iniciado una búsqueda activa",CHOOSE(MOD(_xlpm.turno*3,5)+1,"Menos de 1 mes","Entre 1 y 3 meses","Entre 4 y 6 meses","Más de 6 meses","Todavía no he iniciado una búsqueda activa")),"")))</f>
        <v>Entre 1 y 3 meses</v>
      </c>
      <c r="Q26" t="str">
        <f>IF(I26="Tengo un emprendimiento o quiero iniciar uno","",CHOOSE(MOD(INT((COUNTIF($I$2:I26,I26)-1)/7),3)+1,"Sí","No","Tengo una pero necesito actualizarla"))</f>
        <v>Sí</v>
      </c>
      <c r="R26" s="9" t="str">
        <f>IF(I26="Tengo un emprendimiento o quiero iniciar uno","",IF(I26="Busco mi primer empleo","No",IF(MOD(COUNTIF($I$2:I26,I26)-1,2)=0,"Sí","No")))</f>
        <v>No</v>
      </c>
      <c r="S26" t="str">
        <f>IF(I26="Tengo un emprendimiento o quiero iniciar uno","",CHOOSE(MOD(INT((COUNTIF($I$2:I26,I26)-1)/3),10)+1,"Portales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6" t="str">
        <f>IF(I26="Tengo un emprendimiento o quiero iniciar uno","",_xlfn.LET(_xlpm.opcion,MOD(INT((COUNTIF($I$2:I26,I26)-1)/4),6)+1,CHOOSE(IF(AND(_xlpm.opcion=3,Q26="Sí"),1,_xlpm.opcion),"Falta de experiencia","Falta de formación","Dificultades con la hoja de vida","Horarios disponibles","Transporte","Internet")))</f>
        <v>Falta de experiencia</v>
      </c>
      <c r="U26" s="9" t="str">
        <f>IF(I26="Tengo un emprendimiento o quiero iniciar uno","",IF(MOD(INT((COUNTIF($I$2:I26,I26)-1)/3),2)=0,"Sí","No"))</f>
        <v>No</v>
      </c>
      <c r="V26" s="9" t="str">
        <f>IF(I26="Tengo un emprendimiento o quiero iniciar uno",CHOOSE(MOD(COUNTIF($I$2:I26,I26)-1,3)+1,"Tengo un emprendimiento","Estoy iniciando un emprendimiento","Me interesa emprender"),"")</f>
        <v/>
      </c>
      <c r="W26" t="str">
        <f t="shared" si="5"/>
        <v/>
      </c>
      <c r="X26" s="9" t="str">
        <f>IF(I26="Tengo un emprendimiento o quiero iniciar uno",CHOOSE(MOD(COUNTIF($I$2:I26,I26)-1,5)+1,"Falta de financiación","Falta de conocimientos administrativos","Falta de conocimientos financieros","Falta de tiempo","Falta de herramientas"),"")</f>
        <v/>
      </c>
      <c r="Y26" s="9" t="str">
        <f t="shared" si="6"/>
        <v/>
      </c>
      <c r="Z26" t="str">
        <f>IF(I26="Tengo un emprendimiento o quiero iniciar uno",CHOOSE(INT(MOD((COUNTIF($I$2:I26,I26)-1)*7,39)/13)+1,"Sí","No","No conozco programas de ese tipo"),"")</f>
        <v/>
      </c>
      <c r="AA26" t="str">
        <f t="shared" si="7"/>
        <v>Puedo hacerlo con dificultad</v>
      </c>
      <c r="AB26" t="str">
        <f t="shared" si="7"/>
        <v>Puedo hacerlo con dificultad</v>
      </c>
      <c r="AC26" t="str">
        <f t="shared" si="8"/>
        <v>No puedo hacerlo</v>
      </c>
      <c r="AD26" s="9" t="str">
        <f t="shared" si="9"/>
        <v>Puedo hacerlo con dificultad</v>
      </c>
      <c r="AE26" t="str">
        <f t="shared" si="10"/>
        <v>No puedo hacerlo</v>
      </c>
      <c r="AF26" s="9" t="str">
        <f t="shared" si="11"/>
        <v>Crear una hoja de vida;Preparación para entrevista</v>
      </c>
      <c r="AG26" s="9" t="str">
        <f t="shared" si="17"/>
        <v>Horarios</v>
      </c>
      <c r="AH26" t="str">
        <f t="shared" si="12"/>
        <v>Oficina de orientación laboral</v>
      </c>
      <c r="AI26" s="9" t="str">
        <f t="shared" si="13"/>
        <v>Presencial y virtual</v>
      </c>
      <c r="AJ26" s="9" t="str">
        <f t="shared" si="14"/>
        <v>Nocturno</v>
      </c>
      <c r="AK26" s="9" t="str">
        <f t="shared" si="15"/>
        <v>Correo electrónico</v>
      </c>
    </row>
    <row r="27" spans="1:37">
      <c r="A27" t="str">
        <f t="shared" si="16"/>
        <v>SG026</v>
      </c>
      <c r="B27" t="s">
        <v>418</v>
      </c>
      <c r="C27" s="9" t="s">
        <v>427</v>
      </c>
      <c r="D27" t="str">
        <f t="shared" si="0"/>
        <v>Masculino</v>
      </c>
      <c r="E27" t="str">
        <f t="shared" si="1"/>
        <v>De 18 a 20 años</v>
      </c>
      <c r="F27">
        <f t="shared" si="2"/>
        <v>19</v>
      </c>
      <c r="G27" s="9" t="s">
        <v>428</v>
      </c>
      <c r="H27" s="9" t="str">
        <f t="shared" si="3"/>
        <v>Tecnólogo</v>
      </c>
      <c r="I27" s="9" t="str">
        <f t="shared" si="4"/>
        <v>Trabajo actualmente como empleado</v>
      </c>
      <c r="J27" s="13" t="str">
        <f>IF(I27="Trabajo actualmente como empleado",IF(MOD((COUNTIF($I$2:I27,"Trabajo actualmente como empleado")-1)*37,150)&lt;100,"Empleado con contrato","Empleado sin contrato formal"),IF(I27="Trabajo de manera independiente","Trabajo independiente",""))</f>
        <v>Empleado sin contrato formal</v>
      </c>
      <c r="K27" s="9" t="str">
        <f>IF(OR(I27="Trabajo actualmente como empleado",I27="Trabajo de manera independiente"),CHOOSE(MOD(COUNTIF($I$2:I27,I27)-1,4)+1,"Menos de 3 meses","De 3 a 6 meses","De 7 a 12 meses","Más de un año"),"")</f>
        <v>Menos de 3 meses</v>
      </c>
      <c r="L27" t="str">
        <f>IF(OR(I27="Trabajo actualmente como empleado",I27="Trabajo de manera independiente"),CHOOSE(MOD(COUNTIF($I$2:I27,I27)-1,3)+1,"Sí, completamente","Parcialmente","No"),"")</f>
        <v>No</v>
      </c>
      <c r="M27" t="str">
        <f>IF(OR(I27="Trabajo actualmente como empleado",I27="Trabajo de manera independiente"),CHOOSE(MOD(INT((COUNTIF($I$2:I27,I27)-1)/3),4)+1,"1- Muy satisfecho/a","2- Satisfecho/a","3- Insatisfecho/a","4- Muy insatisfecho/a"),"")</f>
        <v>3- Insatisfecho/a</v>
      </c>
      <c r="N27" t="str">
        <f>IF(OR(I27="Trabajo actualmente como empleado",I27="Trabajo de manera independiente"),_xlfn.LET(_xlpm.opcion,MOD(INT((COUNTIF($I$2:I27,I27)-1)/5),6)+1,CHOOSE(IF(AND(_xlpm.opcion=6,L27="Sí, completamente"),5,_xlpm.opcion),"Salario","Estabilidad laboral","Horario","Acceso a prestaciones","Oportunidades de crecimiento","Trabajar en un área relacionada con mi formación")),"")</f>
        <v>Estabilidad laboral</v>
      </c>
      <c r="O27" s="9" t="str">
        <f>IF(OR(I27="Trabajo actualmente como empleado",I27="Trabajo de manera independiente"),_xlfn.LET(_xlpm.turno,MOD(COUNTIF($I$2:I27,I27)-1,5),_xlpm.nivel,VALUE(LEFT(M27,1)),IF(_xlpm.turno=4,"No estoy seguro/a",IF(_xlpm.turno&lt;IF(_xlpm.nivel&lt;=2,1,3),"Sí","No"))),"")</f>
        <v>No</v>
      </c>
      <c r="P27" s="9" t="str">
        <f>_xlfn.LET(_xlpm.perfil,I27,_xlpm.turno,COUNTIF($I$2:I27,_xlpm.perfil)-1,_xlpm.busca,OR(_xlpm.perfil="Actualmente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7" t="str">
        <f>IF(I27="Tengo un emprendimiento o quiero iniciar uno","",CHOOSE(MOD(INT((COUNTIF($I$2:I27,I27)-1)/7),3)+1,"Sí","No","Tengo una pero necesito actualizarla"))</f>
        <v>No</v>
      </c>
      <c r="R27" s="9" t="str">
        <f>IF(I27="Tengo un emprendimiento o quiero iniciar uno","",IF(I27="Busco mi primer empleo","No",IF(MOD(COUNTIF($I$2:I27,I27)-1,2)=0,"Sí","No")))</f>
        <v>Sí</v>
      </c>
      <c r="S27" t="str">
        <f>IF(I27="Tengo un emprendimiento o quiero iniciar uno","",CHOOSE(MOD(INT((COUNTIF($I$2:I27,I27)-1)/3),10)+1,"Portales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7" t="str">
        <f>IF(I27="Tengo un emprendimiento o quiero iniciar uno","",_xlfn.LET(_xlpm.opcion,MOD(INT((COUNTIF($I$2:I27,I27)-1)/4),6)+1,CHOOSE(IF(AND(_xlpm.opcion=3,Q27="Sí"),1,_xlpm.opcion),"Falta de experiencia","Falta de formación","Dificultades con la hoja de vida","Horarios disponibles","Transporte","Internet")))</f>
        <v>Dificultades con la hoja de vida</v>
      </c>
      <c r="U27" s="9" t="str">
        <f>IF(I27="Tengo un emprendimiento o quiero iniciar uno","",IF(MOD(INT((COUNTIF($I$2:I27,I27)-1)/3),2)=0,"Sí","No"))</f>
        <v>Sí</v>
      </c>
      <c r="V27" s="9" t="str">
        <f>IF(I27="Tengo un emprendimiento o quiero iniciar uno",CHOOSE(MOD(COUNTIF($I$2:I27,I27)-1,3)+1,"Tengo un emprendimiento","Estoy iniciando un emprendimiento","Me interesa emprender"),"")</f>
        <v/>
      </c>
      <c r="W27" t="str">
        <f t="shared" si="5"/>
        <v/>
      </c>
      <c r="X27" s="9" t="str">
        <f>IF(I27="Tengo un emprendimiento o quiero iniciar uno",CHOOSE(MOD(COUNTIF($I$2:I27,I27)-1,5)+1,"Falta de financiación","Falta de conocimientos administrativos","Falta de conocimientos financieros","Falta de tiempo","Falta de herramientas"),"")</f>
        <v/>
      </c>
      <c r="Y27" s="9" t="str">
        <f t="shared" si="6"/>
        <v/>
      </c>
      <c r="Z27" t="str">
        <f>IF(I27="Tengo un emprendimiento o quiero iniciar uno",CHOOSE(INT(MOD((COUNTIF($I$2:I27,I27)-1)*7,39)/13)+1,"Sí","No","No conozco programas de ese tipo"),"")</f>
        <v/>
      </c>
      <c r="AA27" t="str">
        <f t="shared" si="7"/>
        <v>Puedo hacerlo sin ayuda</v>
      </c>
      <c r="AB27" t="str">
        <f t="shared" si="7"/>
        <v>Puedo hacerlo sin ayuda</v>
      </c>
      <c r="AC27" t="str">
        <f t="shared" si="8"/>
        <v>Puedo hacerlo con ayuda</v>
      </c>
      <c r="AD27" s="9" t="str">
        <f t="shared" si="9"/>
        <v>Puedo hacerlo sin ayuda</v>
      </c>
      <c r="AE27" t="str">
        <f t="shared" si="10"/>
        <v>No puedo hacerlo</v>
      </c>
      <c r="AF27" s="9" t="str">
        <f t="shared" si="11"/>
        <v>Comunicación;Liderazgo</v>
      </c>
      <c r="AG27" s="9" t="str">
        <f t="shared" si="17"/>
        <v>Horarios</v>
      </c>
      <c r="AH27" t="str">
        <f t="shared" si="12"/>
        <v>Programas de emprendimiento</v>
      </c>
      <c r="AI27" s="9" t="str">
        <f t="shared" si="13"/>
        <v>Me es indiferente</v>
      </c>
      <c r="AJ27" s="9" t="str">
        <f t="shared" si="14"/>
        <v>Mañana entre semana</v>
      </c>
      <c r="AK27" s="9" t="str">
        <f t="shared" si="15"/>
        <v>Redes sociales</v>
      </c>
    </row>
    <row r="28" spans="1:37">
      <c r="A28" t="str">
        <f t="shared" si="16"/>
        <v>SG027</v>
      </c>
      <c r="B28" t="s">
        <v>418</v>
      </c>
      <c r="C28" s="9" t="s">
        <v>427</v>
      </c>
      <c r="D28" t="str">
        <f t="shared" si="0"/>
        <v>Masculino</v>
      </c>
      <c r="E28" t="str">
        <f t="shared" si="1"/>
        <v>De 20 a 22 años</v>
      </c>
      <c r="F28">
        <f t="shared" si="2"/>
        <v>21</v>
      </c>
      <c r="G28" s="9" t="s">
        <v>428</v>
      </c>
      <c r="H28" s="9" t="str">
        <f t="shared" si="3"/>
        <v>Tecnólogo</v>
      </c>
      <c r="I28" s="9" t="str">
        <f t="shared" si="4"/>
        <v>Trabajo de manera independiente</v>
      </c>
      <c r="J28" s="13" t="str">
        <f>IF(I28="Trabajo actualmente como empleado",IF(MOD((COUNTIF($I$2:I28,"Trabajo actualmente como empleado")-1)*37,150)&lt;100,"Empleado con contrato","Empleado sin contrato formal"),IF(I28="Trabajo de manera independiente","Trabajo independiente",""))</f>
        <v>Trabajo independiente</v>
      </c>
      <c r="K28" s="9" t="str">
        <f>IF(OR(I28="Trabajo actualmente como empleado",I28="Trabajo de manera independiente"),CHOOSE(MOD(COUNTIF($I$2:I28,I28)-1,4)+1,"Menos de 3 meses","De 3 a 6 meses","De 7 a 12 meses","Más de un año"),"")</f>
        <v>Menos de 3 meses</v>
      </c>
      <c r="L28" t="str">
        <f>IF(OR(I28="Trabajo actualmente como empleado",I28="Trabajo de manera independiente"),CHOOSE(MOD(COUNTIF($I$2:I28,I28)-1,3)+1,"Sí, completamente","Parcialmente","No"),"")</f>
        <v>Parcialmente</v>
      </c>
      <c r="M28" t="str">
        <f>IF(OR(I28="Trabajo actualmente como empleado",I28="Trabajo de manera independiente"),CHOOSE(MOD(INT((COUNTIF($I$2:I28,I28)-1)/3),4)+1,"1- Muy satisfecho/a","2- Satisfecho/a","3- Insatisfecho/a","4- Muy insatisfecho/a"),"")</f>
        <v>2- Satisfecho/a</v>
      </c>
      <c r="N28" t="str">
        <f>IF(OR(I28="Trabajo actualmente como empleado",I28="Trabajo de manera independiente"),_xlfn.LET(_xlpm.opcion,MOD(INT((COUNTIF($I$2:I28,I28)-1)/5),6)+1,CHOOSE(IF(AND(_xlpm.opcion=6,L28="Sí, completamente"),5,_xlpm.opcion),"Salario","Estabilidad laboral","Horario","Acceso a prestaciones","Oportunidades de crecimiento","Trabajar en un área relacionada con mi formación")),"")</f>
        <v>Salario</v>
      </c>
      <c r="O28" s="9" t="str">
        <f>IF(OR(I28="Trabajo actualmente como empleado",I28="Trabajo de manera independiente"),_xlfn.LET(_xlpm.turno,MOD(COUNTIF($I$2:I28,I28)-1,5),_xlpm.nivel,VALUE(LEFT(M28,1)),IF(_xlpm.turno=4,"No estoy seguro/a",IF(_xlpm.turno&lt;IF(_xlpm.nivel&lt;=2,1,3),"Sí","No"))),"")</f>
        <v>No estoy seguro/a</v>
      </c>
      <c r="P28" s="9" t="str">
        <f>_xlfn.LET(_xlpm.perfil,I28,_xlpm.turno,COUNTIF($I$2:I28,_xlpm.perfil)-1,_xlpm.busca,OR(_xlpm.perfil="Actualmente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trabajar"),IF(AND(_xlpm.trabaja,O28="No"),"Todavía no he iniciado una búsqueda activa",CHOOSE(MOD(_xlpm.turno*3,5)+1,"Menos de 1 mes","Entre 1 y 3 meses","Entre 4 y 6 meses","Más de 6 meses","Todavía no he iniciado una búsqueda activa")),"")))</f>
        <v>Entre 4 y 6 meses</v>
      </c>
      <c r="Q28" t="str">
        <f>IF(I28="Tengo un emprendimiento o quiero iniciar uno","",CHOOSE(MOD(INT((COUNTIF($I$2:I28,I28)-1)/7),3)+1,"Sí","No","Tengo una pero necesito actualizarla"))</f>
        <v>Sí</v>
      </c>
      <c r="R28" s="9" t="str">
        <f>IF(I28="Tengo un emprendimiento o quiero iniciar uno","",IF(I28="Busco mi primer empleo","No",IF(MOD(COUNTIF($I$2:I28,I28)-1,2)=0,"Sí","No")))</f>
        <v>Sí</v>
      </c>
      <c r="S28" t="str">
        <f>IF(I28="Tengo un emprendimiento o quiero iniciar uno","",CHOOSE(MOD(INT((COUNTIF($I$2:I28,I28)-1)/3),10)+1,"Portales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8" t="str">
        <f>IF(I28="Tengo un emprendimiento o quiero iniciar uno","",_xlfn.LET(_xlpm.opcion,MOD(INT((COUNTIF($I$2:I28,I28)-1)/4),6)+1,CHOOSE(IF(AND(_xlpm.opcion=3,Q28="Sí"),1,_xlpm.opcion),"Falta de experiencia","Falta de formación","Dificultades con la hoja de vida","Horarios disponibles","Transporte","Internet")))</f>
        <v>Falta de formación</v>
      </c>
      <c r="U28" s="9" t="str">
        <f>IF(I28="Tengo un emprendimiento o quiero iniciar uno","",IF(MOD(INT((COUNTIF($I$2:I28,I28)-1)/3),2)=0,"Sí","No"))</f>
        <v>No</v>
      </c>
      <c r="V28" s="9" t="str">
        <f>IF(I28="Tengo un emprendimiento o quiero iniciar uno",CHOOSE(MOD(COUNTIF($I$2:I28,I28)-1,3)+1,"Tengo un emprendimiento","Estoy iniciando un emprendimiento","Me interesa emprender"),"")</f>
        <v/>
      </c>
      <c r="W28" t="str">
        <f t="shared" si="5"/>
        <v/>
      </c>
      <c r="X28" s="9" t="str">
        <f>IF(I28="Tengo un emprendimiento o quiero iniciar uno",CHOOSE(MOD(COUNTIF($I$2:I28,I28)-1,5)+1,"Falta de financiación","Falta de conocimientos administrativos","Falta de conocimientos financieros","Falta de tiempo","Falta de herramientas"),"")</f>
        <v/>
      </c>
      <c r="Y28" s="9" t="str">
        <f t="shared" si="6"/>
        <v/>
      </c>
      <c r="Z28" t="str">
        <f>IF(I28="Tengo un emprendimiento o quiero iniciar uno",CHOOSE(INT(MOD((COUNTIF($I$2:I28,I28)-1)*7,39)/13)+1,"Sí","No","No conozco programas de ese tipo"),"")</f>
        <v/>
      </c>
      <c r="AA28" t="str">
        <f t="shared" si="7"/>
        <v>Puedo hacerlo con ayuda</v>
      </c>
      <c r="AB28" t="str">
        <f t="shared" si="7"/>
        <v>Puedo hacerlo con ayuda</v>
      </c>
      <c r="AC28" t="str">
        <f t="shared" si="8"/>
        <v>Puedo hacerlo con dificultad</v>
      </c>
      <c r="AD28" s="9" t="str">
        <f t="shared" si="9"/>
        <v>No puedo hacerlo</v>
      </c>
      <c r="AE28" t="str">
        <f t="shared" si="10"/>
        <v>Puedo hacerlo con ayuda</v>
      </c>
      <c r="AF28" s="9" t="str">
        <f t="shared" si="11"/>
        <v>Herramientas digitales;Educación financiera</v>
      </c>
      <c r="AG28" s="9" t="str">
        <f t="shared" si="17"/>
        <v>Horarios</v>
      </c>
      <c r="AH28" t="str">
        <f t="shared" si="12"/>
        <v>No conozco ninguno</v>
      </c>
      <c r="AI28" s="9" t="str">
        <f t="shared" si="13"/>
        <v>Presencial</v>
      </c>
      <c r="AJ28" s="9" t="str">
        <f t="shared" si="14"/>
        <v>Diurno</v>
      </c>
      <c r="AK28" s="9" t="str">
        <f t="shared" si="15"/>
        <v>WhatsApp</v>
      </c>
    </row>
    <row r="29" spans="1:37">
      <c r="A29" t="str">
        <f t="shared" si="16"/>
        <v>SG028</v>
      </c>
      <c r="B29" t="s">
        <v>418</v>
      </c>
      <c r="C29" s="9" t="s">
        <v>427</v>
      </c>
      <c r="D29" t="str">
        <f t="shared" si="0"/>
        <v>Femenino</v>
      </c>
      <c r="E29" t="str">
        <f t="shared" si="1"/>
        <v>De 22 a 24 años</v>
      </c>
      <c r="F29">
        <f t="shared" si="2"/>
        <v>23</v>
      </c>
      <c r="G29" s="9" t="s">
        <v>428</v>
      </c>
      <c r="H29" s="9" t="str">
        <f t="shared" si="3"/>
        <v>Profesional</v>
      </c>
      <c r="I29" s="9" t="str">
        <f t="shared" si="4"/>
        <v>Busco mi primer empleo</v>
      </c>
      <c r="J29" s="13" t="str">
        <f>IF(I29="Trabajo actualmente como empleado",IF(MOD((COUNTIF($I$2:I29,"Trabajo actualmente como empleado")-1)*37,150)&lt;100,"Empleado con contrato","Empleado sin contrato formal"),IF(I29="Trabajo de manera independiente","Trabajo independiente",""))</f>
        <v/>
      </c>
      <c r="K29" s="9" t="str">
        <f>IF(OR(I29="Trabajo actualmente como empleado",I29="Trabajo de manera independiente"),CHOOSE(MOD(COUNTIF($I$2:I29,I29)-1,4)+1,"Menos de 3 meses","De 3 a 6 meses","De 7 a 12 meses","Más de un año"),"")</f>
        <v/>
      </c>
      <c r="L29" t="str">
        <f>IF(OR(I29="Trabajo actualmente como empleado",I29="Trabajo de manera independiente"),CHOOSE(MOD(COUNTIF($I$2:I29,I29)-1,3)+1,"Sí, completamente","Parcialmente","No"),"")</f>
        <v/>
      </c>
      <c r="M29" t="str">
        <f>IF(OR(I29="Trabajo actualmente como empleado",I29="Trabajo de manera independiente"),CHOOSE(MOD(INT((COUNTIF($I$2:I29,I29)-1)/3),4)+1,"1- Muy satisfecho/a","2- Satisfecho/a","3- Insatisfecho/a","4- Muy insatisfecho/a"),"")</f>
        <v/>
      </c>
      <c r="N29" t="str">
        <f>IF(OR(I29="Trabajo actualmente como empleado",I29="Trabajo de manera independiente"),_xlfn.LET(_xlpm.opcion,MOD(INT((COUNTIF($I$2:I29,I29)-1)/5),6)+1,CHOOSE(IF(AND(_xlpm.opcion=6,L29="Sí, completamente"),5,_xlpm.opcion),"Salario","Estabilidad laboral","Horario","Acceso a prestaciones","Oportunidades de crecimiento","Trabajar en un área relacionada con mi formación")),"")</f>
        <v/>
      </c>
      <c r="O29" s="9" t="str">
        <f>IF(OR(I29="Trabajo actualmente como empleado",I29="Trabajo de manera independiente"),_xlfn.LET(_xlpm.turno,MOD(COUNTIF($I$2:I29,I29)-1,5),_xlpm.nivel,VALUE(LEFT(M29,1)),IF(_xlpm.turno=4,"No estoy seguro/a",IF(_xlpm.turno&lt;IF(_xlpm.nivel&lt;=2,1,3),"Sí","No"))),"")</f>
        <v/>
      </c>
      <c r="P29" s="9" t="str">
        <f>_xlfn.LET(_xlpm.perfil,I29,_xlpm.turno,COUNTIF($I$2:I29,_xlpm.perfil)-1,_xlpm.busca,OR(_xlpm.perfil="Actualmente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trabajar"),IF(AND(_xlpm.trabaja,O29="No"),"Todavía no he iniciado una búsqueda activa",CHOOSE(MOD(_xlpm.turno*3,5)+1,"Menos de 1 mes","Entre 1 y 3 meses","Entre 4 y 6 meses","Más de 6 meses","Todavía no he iniciado una búsqueda activa")),"")))</f>
        <v>Menos de 1 mes</v>
      </c>
      <c r="Q29" t="str">
        <f>IF(I29="Tengo un emprendimiento o quiero iniciar uno","",CHOOSE(MOD(INT((COUNTIF($I$2:I29,I29)-1)/7),3)+1,"Sí","No","Tengo una pero necesito actualizarla"))</f>
        <v>Sí</v>
      </c>
      <c r="R29" s="9" t="str">
        <f>IF(I29="Tengo un emprendimiento o quiero iniciar uno","",IF(I29="Busco mi primer empleo","No",IF(MOD(COUNTIF($I$2:I29,I29)-1,2)=0,"Sí","No")))</f>
        <v>No</v>
      </c>
      <c r="S29" t="str">
        <f>IF(I29="Tengo un emprendimiento o quiero iniciar uno","",CHOOSE(MOD(INT((COUNTIF($I$2:I29,I29)-1)/3),10)+1,"Portales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9" t="str">
        <f>IF(I29="Tengo un emprendimiento o quiero iniciar uno","",_xlfn.LET(_xlpm.opcion,MOD(INT((COUNTIF($I$2:I29,I29)-1)/4),6)+1,CHOOSE(IF(AND(_xlpm.opcion=3,Q29="Sí"),1,_xlpm.opcion),"Falta de experiencia","Falta de formación","Dificultades con la hoja de vida","Horarios disponibles","Transporte","Internet")))</f>
        <v>Falta de formación</v>
      </c>
      <c r="U29" s="9" t="str">
        <f>IF(I29="Tengo un emprendimiento o quiero iniciar uno","",IF(MOD(INT((COUNTIF($I$2:I29,I29)-1)/3),2)=0,"Sí","No"))</f>
        <v>No</v>
      </c>
      <c r="V29" s="9" t="str">
        <f>IF(I29="Tengo un emprendimiento o quiero iniciar uno",CHOOSE(MOD(COUNTIF($I$2:I29,I29)-1,3)+1,"Tengo un emprendimiento","Estoy iniciando un emprendimiento","Me interesa emprender"),"")</f>
        <v/>
      </c>
      <c r="W29" t="str">
        <f t="shared" si="5"/>
        <v/>
      </c>
      <c r="X29" s="9" t="str">
        <f>IF(I29="Tengo un emprendimiento o quiero iniciar uno",CHOOSE(MOD(COUNTIF($I$2:I29,I29)-1,5)+1,"Falta de financiación","Falta de conocimientos administrativos","Falta de conocimientos financieros","Falta de tiempo","Falta de herramientas"),"")</f>
        <v/>
      </c>
      <c r="Y29" s="9" t="str">
        <f t="shared" si="6"/>
        <v/>
      </c>
      <c r="Z29" t="str">
        <f>IF(I29="Tengo un emprendimiento o quiero iniciar uno",CHOOSE(INT(MOD((COUNTIF($I$2:I29,I29)-1)*7,39)/13)+1,"Sí","No","No conozco programas de ese tipo"),"")</f>
        <v/>
      </c>
      <c r="AA29" t="str">
        <f t="shared" si="7"/>
        <v>Puedo hacerlo sin ayuda</v>
      </c>
      <c r="AB29" t="str">
        <f t="shared" si="7"/>
        <v>Puedo hacerlo sin ayuda</v>
      </c>
      <c r="AC29" t="str">
        <f t="shared" si="8"/>
        <v>No puedo hacerlo</v>
      </c>
      <c r="AD29" s="9" t="str">
        <f t="shared" si="9"/>
        <v>Puedo hacerlo con ayuda</v>
      </c>
      <c r="AE29" t="str">
        <f t="shared" si="10"/>
        <v>Puedo hacerlo con ayuda</v>
      </c>
      <c r="AF29" s="9" t="str">
        <f t="shared" si="11"/>
        <v>Crear una hoja de vida</v>
      </c>
      <c r="AG29" s="9" t="str">
        <f t="shared" si="17"/>
        <v>Costos de transporte</v>
      </c>
      <c r="AH29" t="str">
        <f t="shared" si="12"/>
        <v>Ferias de empleo</v>
      </c>
      <c r="AI29" s="9" t="str">
        <f t="shared" si="13"/>
        <v>Virtual</v>
      </c>
      <c r="AJ29" s="9" t="str">
        <f t="shared" si="14"/>
        <v>Nocturno</v>
      </c>
      <c r="AK29" s="9" t="str">
        <f t="shared" si="15"/>
        <v>Correo electrónico</v>
      </c>
    </row>
    <row r="30" spans="1:37">
      <c r="A30" t="str">
        <f t="shared" si="16"/>
        <v>SG029</v>
      </c>
      <c r="B30" t="s">
        <v>418</v>
      </c>
      <c r="C30" s="9" t="s">
        <v>427</v>
      </c>
      <c r="D30" t="str">
        <f t="shared" si="0"/>
        <v>Masculino</v>
      </c>
      <c r="E30" t="str">
        <f t="shared" si="1"/>
        <v>De 24 a 26 años</v>
      </c>
      <c r="F30">
        <f t="shared" si="2"/>
        <v>25</v>
      </c>
      <c r="G30" s="9" t="s">
        <v>428</v>
      </c>
      <c r="H30" s="9" t="str">
        <f t="shared" si="3"/>
        <v>Profesional</v>
      </c>
      <c r="I30" s="9" t="str">
        <f t="shared" si="4"/>
        <v>Trabajo actualmente como empleado</v>
      </c>
      <c r="J30" s="13" t="str">
        <f>IF(I30="Trabajo actualmente como empleado",IF(MOD((COUNTIF($I$2:I30,"Trabajo actualmente como empleado")-1)*37,150)&lt;100,"Empleado con contrato","Empleado sin contrato formal"),IF(I30="Trabajo de manera independiente","Trabajo independiente",""))</f>
        <v>Empleado con contrato</v>
      </c>
      <c r="K30" s="9" t="str">
        <f>IF(OR(I30="Trabajo actualmente como empleado",I30="Trabajo de manera independiente"),CHOOSE(MOD(COUNTIF($I$2:I30,I30)-1,4)+1,"Menos de 3 meses","De 3 a 6 meses","De 7 a 12 meses","Más de un año"),"")</f>
        <v>De 3 a 6 meses</v>
      </c>
      <c r="L30" t="str">
        <f>IF(OR(I30="Trabajo actualmente como empleado",I30="Trabajo de manera independiente"),CHOOSE(MOD(COUNTIF($I$2:I30,I30)-1,3)+1,"Sí, completamente","Parcialmente","No"),"")</f>
        <v>Sí, completamente</v>
      </c>
      <c r="M30" t="str">
        <f>IF(OR(I30="Trabajo actualmente como empleado",I30="Trabajo de manera independiente"),CHOOSE(MOD(INT((COUNTIF($I$2:I30,I30)-1)/3),4)+1,"1- Muy satisfecho/a","2- Satisfecho/a","3- Insatisfecho/a","4- Muy insatisfecho/a"),"")</f>
        <v>4- Muy insatisfecho/a</v>
      </c>
      <c r="N30" t="str">
        <f>IF(OR(I30="Trabajo actualmente como empleado",I30="Trabajo de manera independiente"),_xlfn.LET(_xlpm.opcion,MOD(INT((COUNTIF($I$2:I30,I30)-1)/5),6)+1,CHOOSE(IF(AND(_xlpm.opcion=6,L30="Sí, completamente"),5,_xlpm.opcion),"Salario","Estabilidad laboral","Horario","Acceso a prestaciones","Oportunidades de crecimiento","Trabajar en un área relacionada con mi formación")),"")</f>
        <v>Estabilidad laboral</v>
      </c>
      <c r="O30" s="9" t="str">
        <f>IF(OR(I30="Trabajo actualmente como empleado",I30="Trabajo de manera independiente"),_xlfn.LET(_xlpm.turno,MOD(COUNTIF($I$2:I30,I30)-1,5),_xlpm.nivel,VALUE(LEFT(M30,1)),IF(_xlpm.turno=4,"No estoy seguro/a",IF(_xlpm.turno&lt;IF(_xlpm.nivel&lt;=2,1,3),"Sí","No"))),"")</f>
        <v>No estoy seguro/a</v>
      </c>
      <c r="P30" s="9" t="str">
        <f>_xlfn.LET(_xlpm.perfil,I30,_xlpm.turno,COUNTIF($I$2:I30,_xlpm.perfil)-1,_xlpm.busca,OR(_xlpm.perfil="Actualmente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trabajar"),IF(AND(_xlpm.trabaja,O30="No"),"Todavía no he iniciado una búsqueda activa",CHOOSE(MOD(_xlpm.turno*3,5)+1,"Menos de 1 mes","Entre 1 y 3 meses","Entre 4 y 6 meses","Más de 6 meses","Todavía no he iniciado una búsqueda activa")),"")))</f>
        <v>Entre 4 y 6 meses</v>
      </c>
      <c r="Q30" t="str">
        <f>IF(I30="Tengo un emprendimiento o quiero iniciar uno","",CHOOSE(MOD(INT((COUNTIF($I$2:I30,I30)-1)/7),3)+1,"Sí","No","Tengo una pero necesito actualizarla"))</f>
        <v>No</v>
      </c>
      <c r="R30" s="9" t="str">
        <f>IF(I30="Tengo un emprendimiento o quiero iniciar uno","",IF(I30="Busco mi primer empleo","No",IF(MOD(COUNTIF($I$2:I30,I30)-1,2)=0,"Sí","No")))</f>
        <v>No</v>
      </c>
      <c r="S30" t="str">
        <f>IF(I30="Tengo un emprendimiento o quiero iniciar uno","",CHOOSE(MOD(INT((COUNTIF($I$2:I30,I30)-1)/3),10)+1,"Portales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0" t="str">
        <f>IF(I30="Tengo un emprendimiento o quiero iniciar uno","",_xlfn.LET(_xlpm.opcion,MOD(INT((COUNTIF($I$2:I30,I30)-1)/4),6)+1,CHOOSE(IF(AND(_xlpm.opcion=3,Q30="Sí"),1,_xlpm.opcion),"Falta de experiencia","Falta de formación","Dificultades con la hoja de vida","Horarios disponibles","Transporte","Internet")))</f>
        <v>Dificultades con la hoja de vida</v>
      </c>
      <c r="U30" s="9" t="str">
        <f>IF(I30="Tengo un emprendimiento o quiero iniciar uno","",IF(MOD(INT((COUNTIF($I$2:I30,I30)-1)/3),2)=0,"Sí","No"))</f>
        <v>No</v>
      </c>
      <c r="V30" s="9" t="str">
        <f>IF(I30="Tengo un emprendimiento o quiero iniciar uno",CHOOSE(MOD(COUNTIF($I$2:I30,I30)-1,3)+1,"Tengo un emprendimiento","Estoy iniciando un emprendimiento","Me interesa emprender"),"")</f>
        <v/>
      </c>
      <c r="W30" t="str">
        <f t="shared" si="5"/>
        <v/>
      </c>
      <c r="X30" s="9" t="str">
        <f>IF(I30="Tengo un emprendimiento o quiero iniciar uno",CHOOSE(MOD(COUNTIF($I$2:I30,I30)-1,5)+1,"Falta de financiación","Falta de conocimientos administrativos","Falta de conocimientos financieros","Falta de tiempo","Falta de herramientas"),"")</f>
        <v/>
      </c>
      <c r="Y30" s="9" t="str">
        <f t="shared" si="6"/>
        <v/>
      </c>
      <c r="Z30" t="str">
        <f>IF(I30="Tengo un emprendimiento o quiero iniciar uno",CHOOSE(INT(MOD((COUNTIF($I$2:I30,I30)-1)*7,39)/13)+1,"Sí","No","No conozco programas de ese tipo"),"")</f>
        <v/>
      </c>
      <c r="AA30" t="str">
        <f t="shared" si="7"/>
        <v>No puedo hacerlo</v>
      </c>
      <c r="AB30" t="str">
        <f t="shared" si="7"/>
        <v>No puedo hacerlo</v>
      </c>
      <c r="AC30" t="str">
        <f t="shared" si="8"/>
        <v>Puedo hacerlo con ayuda</v>
      </c>
      <c r="AD30" s="9" t="str">
        <f t="shared" si="9"/>
        <v>Puedo hacerlo con ayuda</v>
      </c>
      <c r="AE30" t="str">
        <f t="shared" si="10"/>
        <v>Puedo hacerlo con dificultad</v>
      </c>
      <c r="AF30" s="9" t="str">
        <f t="shared" si="11"/>
        <v>Preparación para entrevista</v>
      </c>
      <c r="AG30" s="9" t="str">
        <f t="shared" si="17"/>
        <v>Costos de transporte</v>
      </c>
      <c r="AH30" t="str">
        <f t="shared" si="12"/>
        <v>No conozco ninguno</v>
      </c>
      <c r="AI30" s="9" t="str">
        <f t="shared" si="13"/>
        <v>Presencial y virtual</v>
      </c>
      <c r="AJ30" s="9" t="str">
        <f t="shared" si="14"/>
        <v>Mañana entre semana</v>
      </c>
      <c r="AK30" s="9" t="str">
        <f t="shared" si="15"/>
        <v>Celular</v>
      </c>
    </row>
    <row r="31" spans="1:37">
      <c r="A31" t="str">
        <f t="shared" si="16"/>
        <v>SG030</v>
      </c>
      <c r="B31" t="s">
        <v>418</v>
      </c>
      <c r="C31" s="9" t="s">
        <v>427</v>
      </c>
      <c r="D31" t="str">
        <f t="shared" si="0"/>
        <v>Masculino</v>
      </c>
      <c r="E31" t="str">
        <f t="shared" si="1"/>
        <v>De 26 a 28 años</v>
      </c>
      <c r="F31">
        <f t="shared" si="2"/>
        <v>28</v>
      </c>
      <c r="G31" s="9" t="s">
        <v>428</v>
      </c>
      <c r="H31" s="9" t="str">
        <f t="shared" si="3"/>
        <v>Posgrado</v>
      </c>
      <c r="I31" s="9" t="str">
        <f t="shared" si="4"/>
        <v>Trabajo de manera independiente</v>
      </c>
      <c r="J31" s="13" t="str">
        <f>IF(I31="Trabajo actualmente como empleado",IF(MOD((COUNTIF($I$2:I31,"Trabajo actualmente como empleado")-1)*37,150)&lt;100,"Empleado con contrato","Empleado sin contrato formal"),IF(I31="Trabajo de manera independiente","Trabajo independiente",""))</f>
        <v>Trabajo independiente</v>
      </c>
      <c r="K31" s="9" t="str">
        <f>IF(OR(I31="Trabajo actualmente como empleado",I31="Trabajo de manera independiente"),CHOOSE(MOD(COUNTIF($I$2:I31,I31)-1,4)+1,"Menos de 3 meses","De 3 a 6 meses","De 7 a 12 meses","Más de un año"),"")</f>
        <v>De 3 a 6 meses</v>
      </c>
      <c r="L31" t="str">
        <f>IF(OR(I31="Trabajo actualmente como empleado",I31="Trabajo de manera independiente"),CHOOSE(MOD(COUNTIF($I$2:I31,I31)-1,3)+1,"Sí, completamente","Parcialmente","No"),"")</f>
        <v>No</v>
      </c>
      <c r="M31" t="str">
        <f>IF(OR(I31="Trabajo actualmente como empleado",I31="Trabajo de manera independiente"),CHOOSE(MOD(INT((COUNTIF($I$2:I31,I31)-1)/3),4)+1,"1- Muy satisfecho/a","2- Satisfecho/a","3- Insatisfecho/a","4- Muy insatisfecho/a"),"")</f>
        <v>2- Satisfecho/a</v>
      </c>
      <c r="N31" t="str">
        <f>IF(OR(I31="Trabajo actualmente como empleado",I31="Trabajo de manera independiente"),_xlfn.LET(_xlpm.opcion,MOD(INT((COUNTIF($I$2:I31,I31)-1)/5),6)+1,CHOOSE(IF(AND(_xlpm.opcion=6,L31="Sí, completamente"),5,_xlpm.opcion),"Salario","Estabilidad laboral","Horario","Acceso a prestaciones","Oportunidades de crecimiento","Trabajar en un área relacionada con mi formación")),"")</f>
        <v>Estabilidad laboral</v>
      </c>
      <c r="O31" s="9" t="str">
        <f>IF(OR(I31="Trabajo actualmente como empleado",I31="Trabajo de manera independiente"),_xlfn.LET(_xlpm.turno,MOD(COUNTIF($I$2:I31,I31)-1,5),_xlpm.nivel,VALUE(LEFT(M31,1)),IF(_xlpm.turno=4,"No estoy seguro/a",IF(_xlpm.turno&lt;IF(_xlpm.nivel&lt;=2,1,3),"Sí","No"))),"")</f>
        <v>Sí</v>
      </c>
      <c r="P31" s="9" t="str">
        <f>_xlfn.LET(_xlpm.perfil,I31,_xlpm.turno,COUNTIF($I$2:I31,_xlpm.perfil)-1,_xlpm.busca,OR(_xlpm.perfil="Actualmente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trabajar"),IF(AND(_xlpm.trabaja,O31="No"),"Todavía no he iniciado una búsqueda activa",CHOOSE(MOD(_xlpm.turno*3,5)+1,"Menos de 1 mes","Entre 1 y 3 meses","Entre 4 y 6 meses","Más de 6 meses","Todavía no he iniciado una búsqueda activa")),"")))</f>
        <v>Menos de 1 mes</v>
      </c>
      <c r="Q31" t="str">
        <f>IF(I31="Tengo un emprendimiento o quiero iniciar uno","",CHOOSE(MOD(INT((COUNTIF($I$2:I31,I31)-1)/7),3)+1,"Sí","No","Tengo una pero necesito actualizarla"))</f>
        <v>Sí</v>
      </c>
      <c r="R31" s="9" t="str">
        <f>IF(I31="Tengo un emprendimiento o quiero iniciar uno","",IF(I31="Busco mi primer empleo","No",IF(MOD(COUNTIF($I$2:I31,I31)-1,2)=0,"Sí","No")))</f>
        <v>No</v>
      </c>
      <c r="S31" t="str">
        <f>IF(I31="Tengo un emprendimiento o quiero iniciar uno","",CHOOSE(MOD(INT((COUNTIF($I$2:I31,I31)-1)/3),10)+1,"Portales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1" t="str">
        <f>IF(I31="Tengo un emprendimiento o quiero iniciar uno","",_xlfn.LET(_xlpm.opcion,MOD(INT((COUNTIF($I$2:I31,I31)-1)/4),6)+1,CHOOSE(IF(AND(_xlpm.opcion=3,Q31="Sí"),1,_xlpm.opcion),"Falta de experiencia","Falta de formación","Dificultades con la hoja de vida","Horarios disponibles","Transporte","Internet")))</f>
        <v>Falta de formación</v>
      </c>
      <c r="U31" s="9" t="str">
        <f>IF(I31="Tengo un emprendimiento o quiero iniciar uno","",IF(MOD(INT((COUNTIF($I$2:I31,I31)-1)/3),2)=0,"Sí","No"))</f>
        <v>No</v>
      </c>
      <c r="V31" s="9" t="str">
        <f>IF(I31="Tengo un emprendimiento o quiero iniciar uno",CHOOSE(MOD(COUNTIF($I$2:I31,I31)-1,3)+1,"Tengo un emprendimiento","Estoy iniciando un emprendimiento","Me interesa emprender"),"")</f>
        <v/>
      </c>
      <c r="W31" t="str">
        <f t="shared" si="5"/>
        <v/>
      </c>
      <c r="X31" s="9" t="str">
        <f>IF(I31="Tengo un emprendimiento o quiero iniciar uno",CHOOSE(MOD(COUNTIF($I$2:I31,I31)-1,5)+1,"Falta de financiación","Falta de conocimientos administrativos","Falta de conocimientos financieros","Falta de tiempo","Falta de herramientas"),"")</f>
        <v/>
      </c>
      <c r="Y31" s="9" t="str">
        <f t="shared" si="6"/>
        <v/>
      </c>
      <c r="Z31" t="str">
        <f>IF(I31="Tengo un emprendimiento o quiero iniciar uno",CHOOSE(INT(MOD((COUNTIF($I$2:I31,I31)-1)*7,39)/13)+1,"Sí","No","No conozco programas de ese tipo"),"")</f>
        <v/>
      </c>
      <c r="AA31" t="str">
        <f t="shared" si="7"/>
        <v>Puedo hacerlo con dificultad</v>
      </c>
      <c r="AB31" t="str">
        <f t="shared" si="7"/>
        <v>Puedo hacerlo con dificultad</v>
      </c>
      <c r="AC31" t="str">
        <f t="shared" si="8"/>
        <v>Puedo hacerlo con dificultad</v>
      </c>
      <c r="AD31" s="9" t="str">
        <f t="shared" si="9"/>
        <v>Puedo hacerlo con dificultad</v>
      </c>
      <c r="AE31" t="str">
        <f t="shared" si="10"/>
        <v>Puedo hacerlo sin ayuda</v>
      </c>
      <c r="AF31" s="9" t="str">
        <f t="shared" si="11"/>
        <v>Comunicación</v>
      </c>
      <c r="AG31" s="9" t="str">
        <f t="shared" si="17"/>
        <v>Costos de transporte</v>
      </c>
      <c r="AH31" t="str">
        <f t="shared" si="12"/>
        <v>Oficina de orientación laboral</v>
      </c>
      <c r="AI31" s="9" t="str">
        <f t="shared" si="13"/>
        <v>Me es indiferente</v>
      </c>
      <c r="AJ31" s="9" t="str">
        <f t="shared" si="14"/>
        <v>Diurno</v>
      </c>
      <c r="AK31" s="9" t="str">
        <f t="shared" si="15"/>
        <v>WhatsApp</v>
      </c>
    </row>
    <row r="32" spans="1:37">
      <c r="A32" t="str">
        <f t="shared" si="16"/>
        <v>SG031</v>
      </c>
      <c r="B32" t="s">
        <v>418</v>
      </c>
      <c r="C32" s="9" t="s">
        <v>427</v>
      </c>
      <c r="D32" t="str">
        <f t="shared" si="0"/>
        <v>Femenino</v>
      </c>
      <c r="E32" t="str">
        <f t="shared" si="1"/>
        <v>De 18 a 20 años</v>
      </c>
      <c r="F32">
        <f t="shared" si="2"/>
        <v>18</v>
      </c>
      <c r="G32" s="9" t="s">
        <v>428</v>
      </c>
      <c r="H32" s="9" t="str">
        <f t="shared" si="3"/>
        <v>Bachiller</v>
      </c>
      <c r="I32" s="9" t="str">
        <f t="shared" si="4"/>
        <v>Estudio y quiero comenzar a trabajar</v>
      </c>
      <c r="J32" s="13" t="str">
        <f>IF(I32="Trabajo actualmente como empleado",IF(MOD((COUNTIF($I$2:I32,"Trabajo actualmente como empleado")-1)*37,150)&lt;100,"Empleado con contrato","Empleado sin contrato formal"),IF(I32="Trabajo de manera independiente","Trabajo independiente",""))</f>
        <v/>
      </c>
      <c r="K32" s="9" t="str">
        <f>IF(OR(I32="Trabajo actualmente como empleado",I32="Trabajo de manera independiente"),CHOOSE(MOD(COUNTIF($I$2:I32,I32)-1,4)+1,"Menos de 3 meses","De 3 a 6 meses","De 7 a 12 meses","Más de un año"),"")</f>
        <v/>
      </c>
      <c r="L32" t="str">
        <f>IF(OR(I32="Trabajo actualmente como empleado",I32="Trabajo de manera independiente"),CHOOSE(MOD(COUNTIF($I$2:I32,I32)-1,3)+1,"Sí, completamente","Parcialmente","No"),"")</f>
        <v/>
      </c>
      <c r="M32" t="str">
        <f>IF(OR(I32="Trabajo actualmente como empleado",I32="Trabajo de manera independiente"),CHOOSE(MOD(INT((COUNTIF($I$2:I32,I32)-1)/3),4)+1,"1- Muy satisfecho/a","2- Satisfecho/a","3- Insatisfecho/a","4- Muy insatisfecho/a"),"")</f>
        <v/>
      </c>
      <c r="N32" t="str">
        <f>IF(OR(I32="Trabajo actualmente como empleado",I32="Trabajo de manera independiente"),_xlfn.LET(_xlpm.opcion,MOD(INT((COUNTIF($I$2:I32,I32)-1)/5),6)+1,CHOOSE(IF(AND(_xlpm.opcion=6,L32="Sí, completamente"),5,_xlpm.opcion),"Salario","Estabilidad laboral","Horario","Acceso a prestaciones","Oportunidades de crecimiento","Trabajar en un área relacionada con mi formación")),"")</f>
        <v/>
      </c>
      <c r="O32" s="9" t="str">
        <f>IF(OR(I32="Trabajo actualmente como empleado",I32="Trabajo de manera independiente"),_xlfn.LET(_xlpm.turno,MOD(COUNTIF($I$2:I32,I32)-1,5),_xlpm.nivel,VALUE(LEFT(M32,1)),IF(_xlpm.turno=4,"No estoy seguro/a",IF(_xlpm.turno&lt;IF(_xlpm.nivel&lt;=2,1,3),"Sí","No"))),"")</f>
        <v/>
      </c>
      <c r="P32" s="9" t="str">
        <f>_xlfn.LET(_xlpm.perfil,I32,_xlpm.turno,COUNTIF($I$2:I32,_xlpm.perfil)-1,_xlpm.busca,OR(_xlpm.perfil="Actualmente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2" t="str">
        <f>IF(I32="Tengo un emprendimiento o quiero iniciar uno","",CHOOSE(MOD(INT((COUNTIF($I$2:I32,I32)-1)/7),3)+1,"Sí","No","Tengo una pero necesito actualizarla"))</f>
        <v>Sí</v>
      </c>
      <c r="R32" s="9" t="str">
        <f>IF(I32="Tengo un emprendimiento o quiero iniciar uno","",IF(I32="Busco mi primer empleo","No",IF(MOD(COUNTIF($I$2:I32,I32)-1,2)=0,"Sí","No")))</f>
        <v>No</v>
      </c>
      <c r="S32" t="str">
        <f>IF(I32="Tengo un emprendimiento o quiero iniciar uno","",CHOOSE(MOD(INT((COUNTIF($I$2:I32,I32)-1)/3),10)+1,"Portales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2" t="str">
        <f>IF(I32="Tengo un emprendimiento o quiero iniciar uno","",_xlfn.LET(_xlpm.opcion,MOD(INT((COUNTIF($I$2:I32,I32)-1)/4),6)+1,CHOOSE(IF(AND(_xlpm.opcion=3,Q32="Sí"),1,_xlpm.opcion),"Falta de experiencia","Falta de formación","Dificultades con la hoja de vida","Horarios disponibles","Transporte","Internet")))</f>
        <v>Falta de experiencia</v>
      </c>
      <c r="U32" s="9" t="str">
        <f>IF(I32="Tengo un emprendimiento o quiero iniciar uno","",IF(MOD(INT((COUNTIF($I$2:I32,I32)-1)/3),2)=0,"Sí","No"))</f>
        <v>No</v>
      </c>
      <c r="V32" s="9" t="str">
        <f>IF(I32="Tengo un emprendimiento o quiero iniciar uno",CHOOSE(MOD(COUNTIF($I$2:I32,I32)-1,3)+1,"Tengo un emprendimiento","Estoy iniciando un emprendimiento","Me interesa emprender"),"")</f>
        <v/>
      </c>
      <c r="W32" t="str">
        <f t="shared" si="5"/>
        <v/>
      </c>
      <c r="X32" s="9" t="str">
        <f>IF(I32="Tengo un emprendimiento o quiero iniciar uno",CHOOSE(MOD(COUNTIF($I$2:I32,I32)-1,5)+1,"Falta de financiación","Falta de conocimientos administrativos","Falta de conocimientos financieros","Falta de tiempo","Falta de herramientas"),"")</f>
        <v/>
      </c>
      <c r="Y32" s="9" t="str">
        <f t="shared" si="6"/>
        <v/>
      </c>
      <c r="Z32" t="str">
        <f>IF(I32="Tengo un emprendimiento o quiero iniciar uno",CHOOSE(INT(MOD((COUNTIF($I$2:I32,I32)-1)*7,39)/13)+1,"Sí","No","No conozco programas de ese tipo"),"")</f>
        <v/>
      </c>
      <c r="AA32" t="str">
        <f t="shared" si="7"/>
        <v>Puedo hacerlo sin ayuda</v>
      </c>
      <c r="AB32" t="str">
        <f t="shared" si="7"/>
        <v>Puedo hacerlo sin ayuda</v>
      </c>
      <c r="AC32" t="str">
        <f t="shared" si="8"/>
        <v>No puedo hacerlo</v>
      </c>
      <c r="AD32" s="9" t="str">
        <f t="shared" si="9"/>
        <v>Puedo hacerlo sin ayuda</v>
      </c>
      <c r="AE32" t="str">
        <f t="shared" si="10"/>
        <v>Puedo hacerlo sin ayuda</v>
      </c>
      <c r="AF32" s="9" t="str">
        <f t="shared" si="11"/>
        <v>Liderazgo</v>
      </c>
      <c r="AG32" s="9" t="str">
        <f t="shared" si="17"/>
        <v>Horarios;Falta de información</v>
      </c>
      <c r="AH32" t="str">
        <f t="shared" si="12"/>
        <v>Programas de emprendimiento</v>
      </c>
      <c r="AI32" s="9" t="str">
        <f t="shared" si="13"/>
        <v>Presencial</v>
      </c>
      <c r="AJ32" s="9" t="str">
        <f t="shared" si="14"/>
        <v>Nocturno</v>
      </c>
      <c r="AK32" s="9" t="str">
        <f t="shared" si="15"/>
        <v>Redes sociales</v>
      </c>
    </row>
    <row r="33" spans="1:37">
      <c r="A33" t="str">
        <f t="shared" si="16"/>
        <v>SG032</v>
      </c>
      <c r="B33" t="s">
        <v>418</v>
      </c>
      <c r="C33" s="9" t="s">
        <v>427</v>
      </c>
      <c r="D33" t="str">
        <f t="shared" si="0"/>
        <v>Femenino</v>
      </c>
      <c r="E33" t="str">
        <f t="shared" si="1"/>
        <v>De 20 a 22 años</v>
      </c>
      <c r="F33">
        <f t="shared" si="2"/>
        <v>20</v>
      </c>
      <c r="G33" s="9" t="s">
        <v>428</v>
      </c>
      <c r="H33" s="9" t="str">
        <f t="shared" si="3"/>
        <v>Bachiller</v>
      </c>
      <c r="I33" s="9" t="str">
        <f t="shared" si="4"/>
        <v>Trabajo actualmente como empleado</v>
      </c>
      <c r="J33" s="13" t="str">
        <f>IF(I33="Trabajo actualmente como empleado",IF(MOD((COUNTIF($I$2:I33,"Trabajo actualmente como empleado")-1)*37,150)&lt;100,"Empleado con contrato","Empleado sin contrato formal"),IF(I33="Trabajo de manera independiente","Trabajo independiente",""))</f>
        <v>Empleado con contrato</v>
      </c>
      <c r="K33" s="9" t="str">
        <f>IF(OR(I33="Trabajo actualmente como empleado",I33="Trabajo de manera independiente"),CHOOSE(MOD(COUNTIF($I$2:I33,I33)-1,4)+1,"Menos de 3 meses","De 3 a 6 meses","De 7 a 12 meses","Más de un año"),"")</f>
        <v>De 7 a 12 meses</v>
      </c>
      <c r="L33" t="str">
        <f>IF(OR(I33="Trabajo actualmente como empleado",I33="Trabajo de manera independiente"),CHOOSE(MOD(COUNTIF($I$2:I33,I33)-1,3)+1,"Sí, completamente","Parcialmente","No"),"")</f>
        <v>Parcialmente</v>
      </c>
      <c r="M33" t="str">
        <f>IF(OR(I33="Trabajo actualmente como empleado",I33="Trabajo de manera independiente"),CHOOSE(MOD(INT((COUNTIF($I$2:I33,I33)-1)/3),4)+1,"1- Muy satisfecho/a","2- Satisfecho/a","3- Insatisfecho/a","4- Muy insatisfecho/a"),"")</f>
        <v>4- Muy insatisfecho/a</v>
      </c>
      <c r="N33" t="str">
        <f>IF(OR(I33="Trabajo actualmente como empleado",I33="Trabajo de manera independiente"),_xlfn.LET(_xlpm.opcion,MOD(INT((COUNTIF($I$2:I33,I33)-1)/5),6)+1,CHOOSE(IF(AND(_xlpm.opcion=6,L33="Sí, completamente"),5,_xlpm.opcion),"Salario","Estabilidad laboral","Horario","Acceso a prestaciones","Oportunidades de crecimiento","Trabajar en un área relacionada con mi formación")),"")</f>
        <v>Horario</v>
      </c>
      <c r="O33" s="9" t="str">
        <f>IF(OR(I33="Trabajo actualmente como empleado",I33="Trabajo de manera independiente"),_xlfn.LET(_xlpm.turno,MOD(COUNTIF($I$2:I33,I33)-1,5),_xlpm.nivel,VALUE(LEFT(M33,1)),IF(_xlpm.turno=4,"No estoy seguro/a",IF(_xlpm.turno&lt;IF(_xlpm.nivel&lt;=2,1,3),"Sí","No"))),"")</f>
        <v>Sí</v>
      </c>
      <c r="P33" s="9" t="str">
        <f>_xlfn.LET(_xlpm.perfil,I33,_xlpm.turno,COUNTIF($I$2:I33,_xlpm.perfil)-1,_xlpm.busca,OR(_xlpm.perfil="Actualmente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trabajar"),IF(AND(_xlpm.trabaja,O33="No"),"Todavía no he iniciado una búsqueda activa",CHOOSE(MOD(_xlpm.turno*3,5)+1,"Menos de 1 mes","Entre 1 y 3 meses","Entre 4 y 6 meses","Más de 6 meses","Todavía no he iniciado una búsqueda activa")),"")))</f>
        <v>Menos de 1 mes</v>
      </c>
      <c r="Q33" t="str">
        <f>IF(I33="Tengo un emprendimiento o quiero iniciar uno","",CHOOSE(MOD(INT((COUNTIF($I$2:I33,I33)-1)/7),3)+1,"Sí","No","Tengo una pero necesito actualizarla"))</f>
        <v>No</v>
      </c>
      <c r="R33" s="9" t="str">
        <f>IF(I33="Tengo un emprendimiento o quiero iniciar uno","",IF(I33="Busco mi primer empleo","No",IF(MOD(COUNTIF($I$2:I33,I33)-1,2)=0,"Sí","No")))</f>
        <v>Sí</v>
      </c>
      <c r="S33" t="str">
        <f>IF(I33="Tengo un emprendimiento o quiero iniciar uno","",CHOOSE(MOD(INT((COUNTIF($I$2:I33,I33)-1)/3),10)+1,"Portales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3" t="str">
        <f>IF(I33="Tengo un emprendimiento o quiero iniciar uno","",_xlfn.LET(_xlpm.opcion,MOD(INT((COUNTIF($I$2:I33,I33)-1)/4),6)+1,CHOOSE(IF(AND(_xlpm.opcion=3,Q33="Sí"),1,_xlpm.opcion),"Falta de experiencia","Falta de formación","Dificultades con la hoja de vida","Horarios disponibles","Transporte","Internet")))</f>
        <v>Dificultades con la hoja de vida</v>
      </c>
      <c r="U33" s="9" t="str">
        <f>IF(I33="Tengo un emprendimiento o quiero iniciar uno","",IF(MOD(INT((COUNTIF($I$2:I33,I33)-1)/3),2)=0,"Sí","No"))</f>
        <v>No</v>
      </c>
      <c r="V33" s="9" t="str">
        <f>IF(I33="Tengo un emprendimiento o quiero iniciar uno",CHOOSE(MOD(COUNTIF($I$2:I33,I33)-1,3)+1,"Tengo un emprendimiento","Estoy iniciando un emprendimiento","Me interesa emprender"),"")</f>
        <v/>
      </c>
      <c r="W33" t="str">
        <f t="shared" si="5"/>
        <v/>
      </c>
      <c r="X33" s="9" t="str">
        <f>IF(I33="Tengo un emprendimiento o quiero iniciar uno",CHOOSE(MOD(COUNTIF($I$2:I33,I33)-1,5)+1,"Falta de financiación","Falta de conocimientos administrativos","Falta de conocimientos financieros","Falta de tiempo","Falta de herramientas"),"")</f>
        <v/>
      </c>
      <c r="Y33" s="9" t="str">
        <f t="shared" si="6"/>
        <v/>
      </c>
      <c r="Z33" t="str">
        <f>IF(I33="Tengo un emprendimiento o quiero iniciar uno",CHOOSE(INT(MOD((COUNTIF($I$2:I33,I33)-1)*7,39)/13)+1,"Sí","No","No conozco programas de ese tipo"),"")</f>
        <v/>
      </c>
      <c r="AA33" t="str">
        <f t="shared" si="7"/>
        <v>Puedo hacerlo con ayuda</v>
      </c>
      <c r="AB33" t="str">
        <f t="shared" si="7"/>
        <v>Puedo hacerlo con ayuda</v>
      </c>
      <c r="AC33" t="str">
        <f t="shared" si="8"/>
        <v>Puedo hacerlo con ayuda</v>
      </c>
      <c r="AD33" s="9" t="str">
        <f t="shared" si="9"/>
        <v>No puedo hacerlo</v>
      </c>
      <c r="AE33" t="str">
        <f t="shared" si="10"/>
        <v>No puedo hacerlo</v>
      </c>
      <c r="AF33" s="9" t="str">
        <f t="shared" si="11"/>
        <v>Emprendimiento</v>
      </c>
      <c r="AG33" s="9" t="str">
        <f t="shared" si="17"/>
        <v>Horarios;Falta de información</v>
      </c>
      <c r="AH33" t="str">
        <f t="shared" si="12"/>
        <v>Oficina de orientación laboral</v>
      </c>
      <c r="AI33" s="9" t="str">
        <f t="shared" si="13"/>
        <v>Virtual</v>
      </c>
      <c r="AJ33" s="9" t="str">
        <f t="shared" si="14"/>
        <v>Fines de semana</v>
      </c>
      <c r="AK33" s="9" t="str">
        <f t="shared" si="15"/>
        <v>Celular</v>
      </c>
    </row>
    <row r="34" spans="1:37">
      <c r="A34" t="str">
        <f t="shared" si="16"/>
        <v>SG033</v>
      </c>
      <c r="B34" t="s">
        <v>418</v>
      </c>
      <c r="C34" s="9" t="s">
        <v>427</v>
      </c>
      <c r="D34" t="str">
        <f t="shared" si="0"/>
        <v>Masculino</v>
      </c>
      <c r="E34" t="str">
        <f t="shared" si="1"/>
        <v>De 22 a 24 años</v>
      </c>
      <c r="F34">
        <f t="shared" si="2"/>
        <v>22</v>
      </c>
      <c r="G34" s="9" t="s">
        <v>428</v>
      </c>
      <c r="H34" s="9" t="str">
        <f t="shared" si="3"/>
        <v>Técnico</v>
      </c>
      <c r="I34" s="9" t="str">
        <f t="shared" si="4"/>
        <v>Actualmente no trabajo y estoy buscando empleo</v>
      </c>
      <c r="J34" s="13" t="str">
        <f>IF(I34="Trabajo actualmente como empleado",IF(MOD((COUNTIF($I$2:I34,"Trabajo actualmente como empleado")-1)*37,150)&lt;100,"Empleado con contrato","Empleado sin contrato formal"),IF(I34="Trabajo de manera independiente","Trabajo independiente",""))</f>
        <v/>
      </c>
      <c r="K34" s="9" t="str">
        <f>IF(OR(I34="Trabajo actualmente como empleado",I34="Trabajo de manera independiente"),CHOOSE(MOD(COUNTIF($I$2:I34,I34)-1,4)+1,"Menos de 3 meses","De 3 a 6 meses","De 7 a 12 meses","Más de un año"),"")</f>
        <v/>
      </c>
      <c r="L34" t="str">
        <f>IF(OR(I34="Trabajo actualmente como empleado",I34="Trabajo de manera independiente"),CHOOSE(MOD(COUNTIF($I$2:I34,I34)-1,3)+1,"Sí, completamente","Parcialmente","No"),"")</f>
        <v/>
      </c>
      <c r="M34" t="str">
        <f>IF(OR(I34="Trabajo actualmente como empleado",I34="Trabajo de manera independiente"),CHOOSE(MOD(INT((COUNTIF($I$2:I34,I34)-1)/3),4)+1,"1- Muy satisfecho/a","2- Satisfecho/a","3- Insatisfecho/a","4- Muy insatisfecho/a"),"")</f>
        <v/>
      </c>
      <c r="N34" t="str">
        <f>IF(OR(I34="Trabajo actualmente como empleado",I34="Trabajo de manera independiente"),_xlfn.LET(_xlpm.opcion,MOD(INT((COUNTIF($I$2:I34,I34)-1)/5),6)+1,CHOOSE(IF(AND(_xlpm.opcion=6,L34="Sí, completamente"),5,_xlpm.opcion),"Salario","Estabilidad laboral","Horario","Acceso a prestaciones","Oportunidades de crecimiento","Trabajar en un área relacionada con mi formación")),"")</f>
        <v/>
      </c>
      <c r="O34" s="9" t="str">
        <f>IF(OR(I34="Trabajo actualmente como empleado",I34="Trabajo de manera independiente"),_xlfn.LET(_xlpm.turno,MOD(COUNTIF($I$2:I34,I34)-1,5),_xlpm.nivel,VALUE(LEFT(M34,1)),IF(_xlpm.turno=4,"No estoy seguro/a",IF(_xlpm.turno&lt;IF(_xlpm.nivel&lt;=2,1,3),"Sí","No"))),"")</f>
        <v/>
      </c>
      <c r="P34" s="9" t="str">
        <f>_xlfn.LET(_xlpm.perfil,I34,_xlpm.turno,COUNTIF($I$2:I34,_xlpm.perfil)-1,_xlpm.busca,OR(_xlpm.perfil="Actualmente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trabajar"),IF(AND(_xlpm.trabaja,O34="No"),"Todavía no he iniciado una búsqueda activa",CHOOSE(MOD(_xlpm.turno*3,5)+1,"Menos de 1 mes","Entre 1 y 3 meses","Entre 4 y 6 meses","Más de 6 meses","Todavía no he iniciado una búsqueda activa")),"")))</f>
        <v>Menos de 1 mes</v>
      </c>
      <c r="Q34" t="str">
        <f>IF(I34="Tengo un emprendimiento o quiero iniciar uno","",CHOOSE(MOD(INT((COUNTIF($I$2:I34,I34)-1)/7),3)+1,"Sí","No","Tengo una pero necesito actualizarla"))</f>
        <v>Sí</v>
      </c>
      <c r="R34" s="9" t="str">
        <f>IF(I34="Tengo un emprendimiento o quiero iniciar uno","",IF(I34="Busco mi primer empleo","No",IF(MOD(COUNTIF($I$2:I34,I34)-1,2)=0,"Sí","No")))</f>
        <v>Sí</v>
      </c>
      <c r="S34" t="str">
        <f>IF(I34="Tengo un emprendimiento o quiero iniciar uno","",CHOOSE(MOD(INT((COUNTIF($I$2:I34,I34)-1)/3),10)+1,"Portales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4" t="str">
        <f>IF(I34="Tengo un emprendimiento o quiero iniciar uno","",_xlfn.LET(_xlpm.opcion,MOD(INT((COUNTIF($I$2:I34,I34)-1)/4),6)+1,CHOOSE(IF(AND(_xlpm.opcion=3,Q34="Sí"),1,_xlpm.opcion),"Falta de experiencia","Falta de formación","Dificultades con la hoja de vida","Horarios disponibles","Transporte","Internet")))</f>
        <v>Falta de formación</v>
      </c>
      <c r="U34" s="9" t="str">
        <f>IF(I34="Tengo un emprendimiento o quiero iniciar uno","",IF(MOD(INT((COUNTIF($I$2:I34,I34)-1)/3),2)=0,"Sí","No"))</f>
        <v>No</v>
      </c>
      <c r="V34" s="9" t="str">
        <f>IF(I34="Tengo un emprendimiento o quiero iniciar uno",CHOOSE(MOD(COUNTIF($I$2:I34,I34)-1,3)+1,"Tengo un emprendimiento","Estoy iniciando un emprendimiento","Me interesa emprender"),"")</f>
        <v/>
      </c>
      <c r="W34" t="str">
        <f t="shared" si="5"/>
        <v/>
      </c>
      <c r="X34" s="9" t="str">
        <f>IF(I34="Tengo un emprendimiento o quiero iniciar uno",CHOOSE(MOD(COUNTIF($I$2:I34,I34)-1,5)+1,"Falta de financiación","Falta de conocimientos administrativos","Falta de conocimientos financieros","Falta de tiempo","Falta de herramientas"),"")</f>
        <v/>
      </c>
      <c r="Y34" s="9" t="str">
        <f t="shared" si="6"/>
        <v/>
      </c>
      <c r="Z34" t="str">
        <f>IF(I34="Tengo un emprendimiento o quiero iniciar uno",CHOOSE(INT(MOD((COUNTIF($I$2:I34,I34)-1)*7,39)/13)+1,"Sí","No","No conozco programas de ese tipo"),"")</f>
        <v/>
      </c>
      <c r="AA34" t="str">
        <f t="shared" si="7"/>
        <v>Puedo hacerlo sin ayuda</v>
      </c>
      <c r="AB34" t="str">
        <f t="shared" si="7"/>
        <v>Puedo hacerlo sin ayuda</v>
      </c>
      <c r="AC34" t="str">
        <f t="shared" si="8"/>
        <v>Puedo hacerlo con dificultad</v>
      </c>
      <c r="AD34" s="9" t="str">
        <f t="shared" si="9"/>
        <v>No puedo hacerlo</v>
      </c>
      <c r="AE34" t="str">
        <f t="shared" si="10"/>
        <v>Puedo hacerlo con ayuda</v>
      </c>
      <c r="AF34" s="9" t="str">
        <f t="shared" si="11"/>
        <v>Herramientas digitales</v>
      </c>
      <c r="AG34" s="9" t="str">
        <f t="shared" si="17"/>
        <v>Horarios;Falta de información</v>
      </c>
      <c r="AH34" t="str">
        <f t="shared" si="12"/>
        <v>Ferias de empleo</v>
      </c>
      <c r="AI34" s="9" t="str">
        <f t="shared" si="13"/>
        <v>Presencial y virtual</v>
      </c>
      <c r="AJ34" s="9" t="str">
        <f t="shared" si="14"/>
        <v>Diurno</v>
      </c>
      <c r="AK34" s="9" t="str">
        <f t="shared" si="15"/>
        <v>Correo electrónico</v>
      </c>
    </row>
    <row r="35" spans="1:37">
      <c r="A35" t="str">
        <f t="shared" si="16"/>
        <v>SG034</v>
      </c>
      <c r="B35" t="s">
        <v>418</v>
      </c>
      <c r="C35" s="9" t="s">
        <v>427</v>
      </c>
      <c r="D35" t="str">
        <f t="shared" si="0"/>
        <v>Masculino</v>
      </c>
      <c r="E35" t="str">
        <f t="shared" si="1"/>
        <v>De 24 a 26 años</v>
      </c>
      <c r="F35">
        <f t="shared" si="2"/>
        <v>24</v>
      </c>
      <c r="G35" s="9" t="s">
        <v>428</v>
      </c>
      <c r="H35" s="9" t="str">
        <f t="shared" si="3"/>
        <v>Tecnólogo</v>
      </c>
      <c r="I35" s="9" t="str">
        <f t="shared" si="4"/>
        <v>Tengo un emprendimiento o quiero iniciar uno</v>
      </c>
      <c r="J35" s="13" t="str">
        <f>IF(I35="Trabajo actualmente como empleado",IF(MOD((COUNTIF($I$2:I35,"Trabajo actualmente como empleado")-1)*37,150)&lt;100,"Empleado con contrato","Empleado sin contrato formal"),IF(I35="Trabajo de manera independiente","Trabajo independiente",""))</f>
        <v/>
      </c>
      <c r="K35" s="9" t="str">
        <f>IF(OR(I35="Trabajo actualmente como empleado",I35="Trabajo de manera independiente"),CHOOSE(MOD(COUNTIF($I$2:I35,I35)-1,4)+1,"Menos de 3 meses","De 3 a 6 meses","De 7 a 12 meses","Más de un año"),"")</f>
        <v/>
      </c>
      <c r="L35" t="str">
        <f>IF(OR(I35="Trabajo actualmente como empleado",I35="Trabajo de manera independiente"),CHOOSE(MOD(COUNTIF($I$2:I35,I35)-1,3)+1,"Sí, completamente","Parcialmente","No"),"")</f>
        <v/>
      </c>
      <c r="M35" t="str">
        <f>IF(OR(I35="Trabajo actualmente como empleado",I35="Trabajo de manera independiente"),CHOOSE(MOD(INT((COUNTIF($I$2:I35,I35)-1)/3),4)+1,"1- Muy satisfecho/a","2- Satisfecho/a","3- Insatisfecho/a","4- Muy insatisfecho/a"),"")</f>
        <v/>
      </c>
      <c r="N35" t="str">
        <f>IF(OR(I35="Trabajo actualmente como empleado",I35="Trabajo de manera independiente"),_xlfn.LET(_xlpm.opcion,MOD(INT((COUNTIF($I$2:I35,I35)-1)/5),6)+1,CHOOSE(IF(AND(_xlpm.opcion=6,L35="Sí, completamente"),5,_xlpm.opcion),"Salario","Estabilidad laboral","Horario","Acceso a prestaciones","Oportunidades de crecimiento","Trabajar en un área relacionada con mi formación")),"")</f>
        <v/>
      </c>
      <c r="O35" s="9" t="str">
        <f>IF(OR(I35="Trabajo actualmente como empleado",I35="Trabajo de manera independiente"),_xlfn.LET(_xlpm.turno,MOD(COUNTIF($I$2:I35,I35)-1,5),_xlpm.nivel,VALUE(LEFT(M35,1)),IF(_xlpm.turno=4,"No estoy seguro/a",IF(_xlpm.turno&lt;IF(_xlpm.nivel&lt;=2,1,3),"Sí","No"))),"")</f>
        <v/>
      </c>
      <c r="P35" s="9" t="str">
        <f>_xlfn.LET(_xlpm.perfil,I35,_xlpm.turno,COUNTIF($I$2:I35,_xlpm.perfil)-1,_xlpm.busca,OR(_xlpm.perfil="Actualmente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trabajar"),IF(AND(_xlpm.trabaja,O35="No"),"Todavía no he iniciado una búsqueda activa",CHOOSE(MOD(_xlpm.turno*3,5)+1,"Menos de 1 mes","Entre 1 y 3 meses","Entre 4 y 6 meses","Más de 6 meses","Todavía no he iniciado una búsqueda activa")),"")))</f>
        <v/>
      </c>
      <c r="Q35" t="str">
        <f>IF(I35="Tengo un emprendimiento o quiero iniciar uno","",CHOOSE(MOD(INT((COUNTIF($I$2:I35,I35)-1)/7),3)+1,"Sí","No","Tengo una pero necesito actualizarla"))</f>
        <v/>
      </c>
      <c r="R35" s="9" t="str">
        <f>IF(I35="Tengo un emprendimiento o quiero iniciar uno","",IF(I35="Busco mi primer empleo","No",IF(MOD(COUNTIF($I$2:I35,I35)-1,2)=0,"Sí","No")))</f>
        <v/>
      </c>
      <c r="S35" t="str">
        <f>IF(I35="Tengo un emprendimiento o quiero iniciar uno","",CHOOSE(MOD(INT((COUNTIF($I$2:I35,I35)-1)/3),10)+1,"Portales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5" t="str">
        <f>IF(I35="Tengo un emprendimiento o quiero iniciar uno","",_xlfn.LET(_xlpm.opcion,MOD(INT((COUNTIF($I$2:I35,I35)-1)/4),6)+1,CHOOSE(IF(AND(_xlpm.opcion=3,Q35="Sí"),1,_xlpm.opcion),"Falta de experiencia","Falta de formación","Dificultades con la hoja de vida","Horarios disponibles","Transporte","Internet")))</f>
        <v/>
      </c>
      <c r="U35" s="9" t="str">
        <f>IF(I35="Tengo un emprendimiento o quiero iniciar uno","",IF(MOD(INT((COUNTIF($I$2:I35,I35)-1)/3),2)=0,"Sí","No"))</f>
        <v/>
      </c>
      <c r="V35" s="9" t="str">
        <f>IF(I35="Tengo un emprendimiento o quiero iniciar uno",CHOOSE(MOD(COUNTIF($I$2:I35,I35)-1,3)+1,"Tengo un emprendimiento","Estoy iniciando un emprendimiento","Me interesa emprender"),"")</f>
        <v>Me interesa emprender</v>
      </c>
      <c r="W35" t="str">
        <f t="shared" si="5"/>
        <v/>
      </c>
      <c r="X35" s="9" t="str">
        <f>IF(I35="Tengo un emprendimiento o quiero iniciar uno",CHOOSE(MOD(COUNTIF($I$2:I35,I35)-1,5)+1,"Falta de financiación","Falta de conocimientos administrativos","Falta de conocimientos financieros","Falta de tiempo","Falta de herramientas"),"")</f>
        <v>Falta de conocimientos financieros</v>
      </c>
      <c r="Y35" s="9" t="str">
        <f t="shared" si="6"/>
        <v>Falta de conocimientos financieros</v>
      </c>
      <c r="Z35" t="str">
        <f>IF(I35="Tengo un emprendimiento o quiero iniciar uno",CHOOSE(INT(MOD((COUNTIF($I$2:I35,I35)-1)*7,39)/13)+1,"Sí","No","No conozco programas de ese tipo"),"")</f>
        <v>No</v>
      </c>
      <c r="AA35" t="str">
        <f t="shared" si="7"/>
        <v>No puedo hacerlo</v>
      </c>
      <c r="AB35" t="str">
        <f t="shared" si="7"/>
        <v>No puedo hacerlo</v>
      </c>
      <c r="AC35" t="str">
        <f t="shared" si="8"/>
        <v>Puedo hacerlo sin ayuda</v>
      </c>
      <c r="AD35" s="9" t="str">
        <f t="shared" si="9"/>
        <v>Puedo hacerlo con ayuda</v>
      </c>
      <c r="AE35" t="str">
        <f t="shared" si="10"/>
        <v>Puedo hacerlo con ayuda</v>
      </c>
      <c r="AF35" s="9" t="str">
        <f t="shared" si="11"/>
        <v>Educación financiera</v>
      </c>
      <c r="AG35" s="9" t="str">
        <f t="shared" si="17"/>
        <v>Ninguna</v>
      </c>
      <c r="AH35" t="str">
        <f t="shared" si="12"/>
        <v>No conozco ninguno</v>
      </c>
      <c r="AI35" s="9" t="str">
        <f t="shared" si="13"/>
        <v>Me es indiferente</v>
      </c>
      <c r="AJ35" s="9" t="str">
        <f t="shared" si="14"/>
        <v>Nocturno</v>
      </c>
      <c r="AK35" s="9" t="str">
        <f t="shared" si="15"/>
        <v>Redes sociales</v>
      </c>
    </row>
    <row r="36" spans="1:37">
      <c r="A36" t="str">
        <f t="shared" si="16"/>
        <v>SG035</v>
      </c>
      <c r="B36" t="s">
        <v>418</v>
      </c>
      <c r="C36" s="9" t="s">
        <v>427</v>
      </c>
      <c r="D36" t="str">
        <f t="shared" si="0"/>
        <v>Femenino</v>
      </c>
      <c r="E36" t="str">
        <f t="shared" si="1"/>
        <v>De 26 a 28 años</v>
      </c>
      <c r="F36">
        <f t="shared" si="2"/>
        <v>26</v>
      </c>
      <c r="G36" s="9" t="s">
        <v>428</v>
      </c>
      <c r="H36" s="9" t="str">
        <f t="shared" si="3"/>
        <v>Tecnólogo</v>
      </c>
      <c r="I36" s="9" t="str">
        <f t="shared" si="4"/>
        <v>Trabajo actualmente como empleado</v>
      </c>
      <c r="J36" s="13" t="str">
        <f>IF(I36="Trabajo actualmente como empleado",IF(MOD((COUNTIF($I$2:I36,"Trabajo actualmente como empleado")-1)*37,150)&lt;100,"Empleado con contrato","Empleado sin contrato formal"),IF(I36="Trabajo de manera independiente","Trabajo independiente",""))</f>
        <v>Empleado sin contrato formal</v>
      </c>
      <c r="K36" s="9" t="str">
        <f>IF(OR(I36="Trabajo actualmente como empleado",I36="Trabajo de manera independiente"),CHOOSE(MOD(COUNTIF($I$2:I36,I36)-1,4)+1,"Menos de 3 meses","De 3 a 6 meses","De 7 a 12 meses","Más de un año"),"")</f>
        <v>Más de un año</v>
      </c>
      <c r="L36" t="str">
        <f>IF(OR(I36="Trabajo actualmente como empleado",I36="Trabajo de manera independiente"),CHOOSE(MOD(COUNTIF($I$2:I36,I36)-1,3)+1,"Sí, completamente","Parcialmente","No"),"")</f>
        <v>No</v>
      </c>
      <c r="M36" t="str">
        <f>IF(OR(I36="Trabajo actualmente como empleado",I36="Trabajo de manera independiente"),CHOOSE(MOD(INT((COUNTIF($I$2:I36,I36)-1)/3),4)+1,"1- Muy satisfecho/a","2- Satisfecho/a","3- Insatisfecho/a","4- Muy insatisfecho/a"),"")</f>
        <v>4- Muy insatisfecho/a</v>
      </c>
      <c r="N36" t="str">
        <f>IF(OR(I36="Trabajo actualmente como empleado",I36="Trabajo de manera independiente"),_xlfn.LET(_xlpm.opcion,MOD(INT((COUNTIF($I$2:I36,I36)-1)/5),6)+1,CHOOSE(IF(AND(_xlpm.opcion=6,L36="Sí, completamente"),5,_xlpm.opcion),"Salario","Estabilidad laboral","Horario","Acceso a prestaciones","Oportunidades de crecimiento","Trabajar en un área relacionada con mi formación")),"")</f>
        <v>Horario</v>
      </c>
      <c r="O36" s="9" t="str">
        <f>IF(OR(I36="Trabajo actualmente como empleado",I36="Trabajo de manera independiente"),_xlfn.LET(_xlpm.turno,MOD(COUNTIF($I$2:I36,I36)-1,5),_xlpm.nivel,VALUE(LEFT(M36,1)),IF(_xlpm.turno=4,"No estoy seguro/a",IF(_xlpm.turno&lt;IF(_xlpm.nivel&lt;=2,1,3),"Sí","No"))),"")</f>
        <v>Sí</v>
      </c>
      <c r="P36" s="9" t="str">
        <f>_xlfn.LET(_xlpm.perfil,I36,_xlpm.turno,COUNTIF($I$2:I36,_xlpm.perfil)-1,_xlpm.busca,OR(_xlpm.perfil="Actualmente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trabajar"),IF(AND(_xlpm.trabaja,O36="No"),"Todavía no he iniciado una búsqueda activa",CHOOSE(MOD(_xlpm.turno*3,5)+1,"Menos de 1 mes","Entre 1 y 3 meses","Entre 4 y 6 meses","Más de 6 meses","Todavía no he iniciado una búsqueda activa")),"")))</f>
        <v>Más de 6 meses</v>
      </c>
      <c r="Q36" t="str">
        <f>IF(I36="Tengo un emprendimiento o quiero iniciar uno","",CHOOSE(MOD(INT((COUNTIF($I$2:I36,I36)-1)/7),3)+1,"Sí","No","Tengo una pero necesito actualizarla"))</f>
        <v>No</v>
      </c>
      <c r="R36" s="9" t="str">
        <f>IF(I36="Tengo un emprendimiento o quiero iniciar uno","",IF(I36="Busco mi primer empleo","No",IF(MOD(COUNTIF($I$2:I36,I36)-1,2)=0,"Sí","No")))</f>
        <v>No</v>
      </c>
      <c r="S36" t="str">
        <f>IF(I36="Tengo un emprendimiento o quiero iniciar uno","",CHOOSE(MOD(INT((COUNTIF($I$2:I36,I36)-1)/3),10)+1,"Portales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6" t="str">
        <f>IF(I36="Tengo un emprendimiento o quiero iniciar uno","",_xlfn.LET(_xlpm.opcion,MOD(INT((COUNTIF($I$2:I36,I36)-1)/4),6)+1,CHOOSE(IF(AND(_xlpm.opcion=3,Q36="Sí"),1,_xlpm.opcion),"Falta de experiencia","Falta de formación","Dificultades con la hoja de vida","Horarios disponibles","Transporte","Internet")))</f>
        <v>Dificultades con la hoja de vida</v>
      </c>
      <c r="U36" s="9" t="str">
        <f>IF(I36="Tengo un emprendimiento o quiero iniciar uno","",IF(MOD(INT((COUNTIF($I$2:I36,I36)-1)/3),2)=0,"Sí","No"))</f>
        <v>No</v>
      </c>
      <c r="V36" s="9" t="str">
        <f>IF(I36="Tengo un emprendimiento o quiero iniciar uno",CHOOSE(MOD(COUNTIF($I$2:I36,I36)-1,3)+1,"Tengo un emprendimiento","Estoy iniciando un emprendimiento","Me interesa emprender"),"")</f>
        <v/>
      </c>
      <c r="W36" t="str">
        <f t="shared" si="5"/>
        <v/>
      </c>
      <c r="X36" s="9" t="str">
        <f>IF(I36="Tengo un emprendimiento o quiero iniciar uno",CHOOSE(MOD(COUNTIF($I$2:I36,I36)-1,5)+1,"Falta de financiación","Falta de conocimientos administrativos","Falta de conocimientos financieros","Falta de tiempo","Falta de herramientas"),"")</f>
        <v/>
      </c>
      <c r="Y36" s="9" t="str">
        <f t="shared" si="6"/>
        <v/>
      </c>
      <c r="Z36" t="str">
        <f>IF(I36="Tengo un emprendimiento o quiero iniciar uno",CHOOSE(INT(MOD((COUNTIF($I$2:I36,I36)-1)*7,39)/13)+1,"Sí","No","No conozco programas de ese tipo"),"")</f>
        <v/>
      </c>
      <c r="AA36" t="str">
        <f t="shared" si="7"/>
        <v>Puedo hacerlo con dificultad</v>
      </c>
      <c r="AB36" t="str">
        <f t="shared" si="7"/>
        <v>Puedo hacerlo con dificultad</v>
      </c>
      <c r="AC36" t="str">
        <f t="shared" si="8"/>
        <v>Puedo hacerlo con ayuda</v>
      </c>
      <c r="AD36" s="9" t="str">
        <f t="shared" si="9"/>
        <v>Puedo hacerlo con dificultad</v>
      </c>
      <c r="AE36" t="str">
        <f t="shared" si="10"/>
        <v>Puedo hacerlo con dificultad</v>
      </c>
      <c r="AF36" s="9" t="str">
        <f t="shared" si="11"/>
        <v>Crear una hoja de vida;Preparación para entrevista</v>
      </c>
      <c r="AG36" s="9" t="str">
        <f t="shared" si="17"/>
        <v>Ninguna</v>
      </c>
      <c r="AH36" t="str">
        <f t="shared" si="12"/>
        <v>Oficina de orientación laboral</v>
      </c>
      <c r="AI36" s="9" t="str">
        <f t="shared" si="13"/>
        <v>Presencial</v>
      </c>
      <c r="AJ36" s="9" t="str">
        <f t="shared" si="14"/>
        <v>Fines de semana</v>
      </c>
      <c r="AK36" s="9" t="str">
        <f t="shared" si="15"/>
        <v>WhatsApp</v>
      </c>
    </row>
    <row r="37" spans="1:37">
      <c r="A37" t="str">
        <f t="shared" si="16"/>
        <v>SG036</v>
      </c>
      <c r="B37" t="s">
        <v>418</v>
      </c>
      <c r="C37" s="9" t="s">
        <v>427</v>
      </c>
      <c r="D37" t="str">
        <f t="shared" si="0"/>
        <v>Masculino</v>
      </c>
      <c r="E37" t="str">
        <f t="shared" si="1"/>
        <v>De 18 a 20 años</v>
      </c>
      <c r="F37">
        <f t="shared" si="2"/>
        <v>19</v>
      </c>
      <c r="G37" s="9" t="s">
        <v>428</v>
      </c>
      <c r="H37" s="9" t="str">
        <f t="shared" si="3"/>
        <v>Técnico</v>
      </c>
      <c r="I37" s="9" t="str">
        <f t="shared" si="4"/>
        <v>Actualmente no trabajo y estoy buscando empleo</v>
      </c>
      <c r="J37" s="13" t="str">
        <f>IF(I37="Trabajo actualmente como empleado",IF(MOD((COUNTIF($I$2:I37,"Trabajo actualmente como empleado")-1)*37,150)&lt;100,"Empleado con contrato","Empleado sin contrato formal"),IF(I37="Trabajo de manera independiente","Trabajo independiente",""))</f>
        <v/>
      </c>
      <c r="K37" s="9" t="str">
        <f>IF(OR(I37="Trabajo actualmente como empleado",I37="Trabajo de manera independiente"),CHOOSE(MOD(COUNTIF($I$2:I37,I37)-1,4)+1,"Menos de 3 meses","De 3 a 6 meses","De 7 a 12 meses","Más de un año"),"")</f>
        <v/>
      </c>
      <c r="L37" t="str">
        <f>IF(OR(I37="Trabajo actualmente como empleado",I37="Trabajo de manera independiente"),CHOOSE(MOD(COUNTIF($I$2:I37,I37)-1,3)+1,"Sí, completamente","Parcialmente","No"),"")</f>
        <v/>
      </c>
      <c r="M37" t="str">
        <f>IF(OR(I37="Trabajo actualmente como empleado",I37="Trabajo de manera independiente"),CHOOSE(MOD(INT((COUNTIF($I$2:I37,I37)-1)/3),4)+1,"1- Muy satisfecho/a","2- Satisfecho/a","3- Insatisfecho/a","4- Muy insatisfecho/a"),"")</f>
        <v/>
      </c>
      <c r="N37" t="str">
        <f>IF(OR(I37="Trabajo actualmente como empleado",I37="Trabajo de manera independiente"),_xlfn.LET(_xlpm.opcion,MOD(INT((COUNTIF($I$2:I37,I37)-1)/5),6)+1,CHOOSE(IF(AND(_xlpm.opcion=6,L37="Sí, completamente"),5,_xlpm.opcion),"Salario","Estabilidad laboral","Horario","Acceso a prestaciones","Oportunidades de crecimiento","Trabajar en un área relacionada con mi formación")),"")</f>
        <v/>
      </c>
      <c r="O37" s="9" t="str">
        <f>IF(OR(I37="Trabajo actualmente como empleado",I37="Trabajo de manera independiente"),_xlfn.LET(_xlpm.turno,MOD(COUNTIF($I$2:I37,I37)-1,5),_xlpm.nivel,VALUE(LEFT(M37,1)),IF(_xlpm.turno=4,"No estoy seguro/a",IF(_xlpm.turno&lt;IF(_xlpm.nivel&lt;=2,1,3),"Sí","No"))),"")</f>
        <v/>
      </c>
      <c r="P37" s="9" t="str">
        <f>_xlfn.LET(_xlpm.perfil,I37,_xlpm.turno,COUNTIF($I$2:I37,_xlpm.perfil)-1,_xlpm.busca,OR(_xlpm.perfil="Actualmente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trabajar"),IF(AND(_xlpm.trabaja,O37="No"),"Todavía no he iniciado una búsqueda activa",CHOOSE(MOD(_xlpm.turno*3,5)+1,"Menos de 1 mes","Entre 1 y 3 meses","Entre 4 y 6 meses","Más de 6 meses","Todavía no he iniciado una búsqueda activa")),"")))</f>
        <v>Más de 6 meses</v>
      </c>
      <c r="Q37" t="str">
        <f>IF(I37="Tengo un emprendimiento o quiero iniciar uno","",CHOOSE(MOD(INT((COUNTIF($I$2:I37,I37)-1)/7),3)+1,"Sí","No","Tengo una pero necesito actualizarla"))</f>
        <v>Sí</v>
      </c>
      <c r="R37" s="9" t="str">
        <f>IF(I37="Tengo un emprendimiento o quiero iniciar uno","",IF(I37="Busco mi primer empleo","No",IF(MOD(COUNTIF($I$2:I37,I37)-1,2)=0,"Sí","No")))</f>
        <v>No</v>
      </c>
      <c r="S37" t="str">
        <f>IF(I37="Tengo un emprendimiento o quiero iniciar uno","",CHOOSE(MOD(INT((COUNTIF($I$2:I37,I37)-1)/3),10)+1,"Portales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7" t="str">
        <f>IF(I37="Tengo un emprendimiento o quiero iniciar uno","",_xlfn.LET(_xlpm.opcion,MOD(INT((COUNTIF($I$2:I37,I37)-1)/4),6)+1,CHOOSE(IF(AND(_xlpm.opcion=3,Q37="Sí"),1,_xlpm.opcion),"Falta de experiencia","Falta de formación","Dificultades con la hoja de vida","Horarios disponibles","Transporte","Internet")))</f>
        <v>Falta de formación</v>
      </c>
      <c r="U37" s="9" t="str">
        <f>IF(I37="Tengo un emprendimiento o quiero iniciar uno","",IF(MOD(INT((COUNTIF($I$2:I37,I37)-1)/3),2)=0,"Sí","No"))</f>
        <v>No</v>
      </c>
      <c r="V37" s="9" t="str">
        <f>IF(I37="Tengo un emprendimiento o quiero iniciar uno",CHOOSE(MOD(COUNTIF($I$2:I37,I37)-1,3)+1,"Tengo un emprendimiento","Estoy iniciando un emprendimiento","Me interesa emprender"),"")</f>
        <v/>
      </c>
      <c r="W37" t="str">
        <f t="shared" si="5"/>
        <v/>
      </c>
      <c r="X37" s="9" t="str">
        <f>IF(I37="Tengo un emprendimiento o quiero iniciar uno",CHOOSE(MOD(COUNTIF($I$2:I37,I37)-1,5)+1,"Falta de financiación","Falta de conocimientos administrativos","Falta de conocimientos financieros","Falta de tiempo","Falta de herramientas"),"")</f>
        <v/>
      </c>
      <c r="Y37" s="9" t="str">
        <f t="shared" si="6"/>
        <v/>
      </c>
      <c r="Z37" t="str">
        <f>IF(I37="Tengo un emprendimiento o quiero iniciar uno",CHOOSE(INT(MOD((COUNTIF($I$2:I37,I37)-1)*7,39)/13)+1,"Sí","No","No conozco programas de ese tipo"),"")</f>
        <v/>
      </c>
      <c r="AA37" t="str">
        <f t="shared" si="7"/>
        <v>Puedo hacerlo sin ayuda</v>
      </c>
      <c r="AB37" t="str">
        <f t="shared" si="7"/>
        <v>Puedo hacerlo sin ayuda</v>
      </c>
      <c r="AC37" t="str">
        <f t="shared" si="8"/>
        <v>Puedo hacerlo con dificultad</v>
      </c>
      <c r="AD37" s="9" t="str">
        <f t="shared" si="9"/>
        <v>Puedo hacerlo sin ayuda</v>
      </c>
      <c r="AE37" t="str">
        <f t="shared" si="10"/>
        <v>Puedo hacerlo con dificultad</v>
      </c>
      <c r="AF37" s="9" t="str">
        <f t="shared" si="11"/>
        <v>Comunicación;Liderazgo</v>
      </c>
      <c r="AG37" s="9" t="str">
        <f t="shared" si="17"/>
        <v>Ninguna</v>
      </c>
      <c r="AH37" t="str">
        <f t="shared" si="12"/>
        <v>Programas de emprendimiento</v>
      </c>
      <c r="AI37" s="9" t="str">
        <f t="shared" si="13"/>
        <v>Virtual</v>
      </c>
      <c r="AJ37" s="9" t="str">
        <f t="shared" si="14"/>
        <v>Diurno</v>
      </c>
      <c r="AK37" s="9" t="str">
        <f t="shared" si="15"/>
        <v>Correo electrónico</v>
      </c>
    </row>
    <row r="38" spans="1:37">
      <c r="A38" t="str">
        <f t="shared" si="16"/>
        <v>SG037</v>
      </c>
      <c r="B38" t="s">
        <v>418</v>
      </c>
      <c r="C38" s="9" t="s">
        <v>427</v>
      </c>
      <c r="D38" t="str">
        <f t="shared" si="0"/>
        <v>Masculino</v>
      </c>
      <c r="E38" t="str">
        <f t="shared" si="1"/>
        <v>De 20 a 22 años</v>
      </c>
      <c r="F38">
        <f t="shared" si="2"/>
        <v>21</v>
      </c>
      <c r="G38" s="9" t="s">
        <v>428</v>
      </c>
      <c r="H38" s="9" t="str">
        <f t="shared" si="3"/>
        <v>Tecnólogo</v>
      </c>
      <c r="I38" s="9" t="str">
        <f t="shared" si="4"/>
        <v>Trabajo actualmente como empleado</v>
      </c>
      <c r="J38" s="13" t="str">
        <f>IF(I38="Trabajo actualmente como empleado",IF(MOD((COUNTIF($I$2:I38,"Trabajo actualmente como empleado")-1)*37,150)&lt;100,"Empleado con contrato","Empleado sin contrato formal"),IF(I38="Trabajo de manera independiente","Trabajo independiente",""))</f>
        <v>Empleado sin contrato formal</v>
      </c>
      <c r="K38" s="9" t="str">
        <f>IF(OR(I38="Trabajo actualmente como empleado",I38="Trabajo de manera independiente"),CHOOSE(MOD(COUNTIF($I$2:I38,I38)-1,4)+1,"Menos de 3 meses","De 3 a 6 meses","De 7 a 12 meses","Más de un año"),"")</f>
        <v>Menos de 3 meses</v>
      </c>
      <c r="L38" t="str">
        <f>IF(OR(I38="Trabajo actualmente como empleado",I38="Trabajo de manera independiente"),CHOOSE(MOD(COUNTIF($I$2:I38,I38)-1,3)+1,"Sí, completamente","Parcialmente","No"),"")</f>
        <v>Sí, completamente</v>
      </c>
      <c r="M38" t="str">
        <f>IF(OR(I38="Trabajo actualmente como empleado",I38="Trabajo de manera independiente"),CHOOSE(MOD(INT((COUNTIF($I$2:I38,I38)-1)/3),4)+1,"1- Muy satisfecho/a","2- Satisfecho/a","3- Insatisfecho/a","4- Muy insatisfecho/a"),"")</f>
        <v>1- Muy satisfecho/a</v>
      </c>
      <c r="N38" t="str">
        <f>IF(OR(I38="Trabajo actualmente como empleado",I38="Trabajo de manera independiente"),_xlfn.LET(_xlpm.opcion,MOD(INT((COUNTIF($I$2:I38,I38)-1)/5),6)+1,CHOOSE(IF(AND(_xlpm.opcion=6,L38="Sí, completamente"),5,_xlpm.opcion),"Salario","Estabilidad laboral","Horario","Acceso a prestaciones","Oportunidades de crecimiento","Trabajar en un área relacionada con mi formación")),"")</f>
        <v>Horario</v>
      </c>
      <c r="O38" s="9" t="str">
        <f>IF(OR(I38="Trabajo actualmente como empleado",I38="Trabajo de manera independiente"),_xlfn.LET(_xlpm.turno,MOD(COUNTIF($I$2:I38,I38)-1,5),_xlpm.nivel,VALUE(LEFT(M38,1)),IF(_xlpm.turno=4,"No estoy seguro/a",IF(_xlpm.turno&lt;IF(_xlpm.nivel&lt;=2,1,3),"Sí","No"))),"")</f>
        <v>No</v>
      </c>
      <c r="P38" s="9" t="str">
        <f>_xlfn.LET(_xlpm.perfil,I38,_xlpm.turno,COUNTIF($I$2:I38,_xlpm.perfil)-1,_xlpm.busca,OR(_xlpm.perfil="Actualmente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8" t="str">
        <f>IF(I38="Tengo un emprendimiento o quiero iniciar uno","",CHOOSE(MOD(INT((COUNTIF($I$2:I38,I38)-1)/7),3)+1,"Sí","No","Tengo una pero necesito actualizarla"))</f>
        <v>No</v>
      </c>
      <c r="R38" s="9" t="str">
        <f>IF(I38="Tengo un emprendimiento o quiero iniciar uno","",IF(I38="Busco mi primer empleo","No",IF(MOD(COUNTIF($I$2:I38,I38)-1,2)=0,"Sí","No")))</f>
        <v>Sí</v>
      </c>
      <c r="S38" t="str">
        <f>IF(I38="Tengo un emprendimiento o quiero iniciar uno","",CHOOSE(MOD(INT((COUNTIF($I$2:I38,I38)-1)/3),10)+1,"Portales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8" t="str">
        <f>IF(I38="Tengo un emprendimiento o quiero iniciar uno","",_xlfn.LET(_xlpm.opcion,MOD(INT((COUNTIF($I$2:I38,I38)-1)/4),6)+1,CHOOSE(IF(AND(_xlpm.opcion=3,Q38="Sí"),1,_xlpm.opcion),"Falta de experiencia","Falta de formación","Dificultades con la hoja de vida","Horarios disponibles","Transporte","Internet")))</f>
        <v>Horarios disponibles</v>
      </c>
      <c r="U38" s="9" t="str">
        <f>IF(I38="Tengo un emprendimiento o quiero iniciar uno","",IF(MOD(INT((COUNTIF($I$2:I38,I38)-1)/3),2)=0,"Sí","No"))</f>
        <v>Sí</v>
      </c>
      <c r="V38" s="9" t="str">
        <f>IF(I38="Tengo un emprendimiento o quiero iniciar uno",CHOOSE(MOD(COUNTIF($I$2:I38,I38)-1,3)+1,"Tengo un emprendimiento","Estoy iniciando un emprendimiento","Me interesa emprender"),"")</f>
        <v/>
      </c>
      <c r="W38" t="str">
        <f t="shared" si="5"/>
        <v/>
      </c>
      <c r="X38" s="9" t="str">
        <f>IF(I38="Tengo un emprendimiento o quiero iniciar uno",CHOOSE(MOD(COUNTIF($I$2:I38,I38)-1,5)+1,"Falta de financiación","Falta de conocimientos administrativos","Falta de conocimientos financieros","Falta de tiempo","Falta de herramientas"),"")</f>
        <v/>
      </c>
      <c r="Y38" s="9" t="str">
        <f t="shared" si="6"/>
        <v/>
      </c>
      <c r="Z38" t="str">
        <f>IF(I38="Tengo un emprendimiento o quiero iniciar uno",CHOOSE(INT(MOD((COUNTIF($I$2:I38,I38)-1)*7,39)/13)+1,"Sí","No","No conozco programas de ese tipo"),"")</f>
        <v/>
      </c>
      <c r="AA38" t="str">
        <f t="shared" si="7"/>
        <v>Puedo hacerlo con ayuda</v>
      </c>
      <c r="AB38" t="str">
        <f t="shared" si="7"/>
        <v>Puedo hacerlo con ayuda</v>
      </c>
      <c r="AC38" t="str">
        <f t="shared" si="8"/>
        <v>Puedo hacerlo sin ayuda</v>
      </c>
      <c r="AD38" s="9" t="str">
        <f t="shared" si="9"/>
        <v>Puedo hacerlo sin ayuda</v>
      </c>
      <c r="AE38" t="str">
        <f t="shared" si="10"/>
        <v>Puedo hacerlo sin ayuda</v>
      </c>
      <c r="AF38" s="9" t="str">
        <f t="shared" si="11"/>
        <v>Herramientas digitales;Educación financiera</v>
      </c>
      <c r="AG38" s="9" t="str">
        <f t="shared" si="17"/>
        <v>Falta de experiencia</v>
      </c>
      <c r="AH38" t="str">
        <f t="shared" si="12"/>
        <v>Oficina de orientación laboral</v>
      </c>
      <c r="AI38" s="9" t="str">
        <f t="shared" si="13"/>
        <v>Presencial y virtual</v>
      </c>
      <c r="AJ38" s="9" t="str">
        <f t="shared" si="14"/>
        <v>Nocturno</v>
      </c>
      <c r="AK38" s="9" t="str">
        <f t="shared" si="15"/>
        <v>Celular</v>
      </c>
    </row>
    <row r="39" spans="1:37">
      <c r="A39" t="str">
        <f t="shared" si="16"/>
        <v>SG038</v>
      </c>
      <c r="B39" t="s">
        <v>418</v>
      </c>
      <c r="C39" s="9" t="s">
        <v>427</v>
      </c>
      <c r="D39" t="str">
        <f t="shared" si="0"/>
        <v>Femenino</v>
      </c>
      <c r="E39" t="str">
        <f t="shared" si="1"/>
        <v>De 22 a 24 años</v>
      </c>
      <c r="F39">
        <f t="shared" si="2"/>
        <v>23</v>
      </c>
      <c r="G39" s="9" t="s">
        <v>428</v>
      </c>
      <c r="H39" s="9" t="str">
        <f t="shared" si="3"/>
        <v>Tecnólogo</v>
      </c>
      <c r="I39" s="9" t="str">
        <f t="shared" si="4"/>
        <v>Trabajo de manera independiente</v>
      </c>
      <c r="J39" s="13" t="str">
        <f>IF(I39="Trabajo actualmente como empleado",IF(MOD((COUNTIF($I$2:I39,"Trabajo actualmente como empleado")-1)*37,150)&lt;100,"Empleado con contrato","Empleado sin contrato formal"),IF(I39="Trabajo de manera independiente","Trabajo independiente",""))</f>
        <v>Trabajo independiente</v>
      </c>
      <c r="K39" s="9" t="str">
        <f>IF(OR(I39="Trabajo actualmente como empleado",I39="Trabajo de manera independiente"),CHOOSE(MOD(COUNTIF($I$2:I39,I39)-1,4)+1,"Menos de 3 meses","De 3 a 6 meses","De 7 a 12 meses","Más de un año"),"")</f>
        <v>De 7 a 12 meses</v>
      </c>
      <c r="L39" t="str">
        <f>IF(OR(I39="Trabajo actualmente como empleado",I39="Trabajo de manera independiente"),CHOOSE(MOD(COUNTIF($I$2:I39,I39)-1,3)+1,"Sí, completamente","Parcialmente","No"),"")</f>
        <v>Sí, completamente</v>
      </c>
      <c r="M39" t="str">
        <f>IF(OR(I39="Trabajo actualmente como empleado",I39="Trabajo de manera independiente"),CHOOSE(MOD(INT((COUNTIF($I$2:I39,I39)-1)/3),4)+1,"1- Muy satisfecho/a","2- Satisfecho/a","3- Insatisfecho/a","4- Muy insatisfecho/a"),"")</f>
        <v>3- Insatisfecho/a</v>
      </c>
      <c r="N39" t="str">
        <f>IF(OR(I39="Trabajo actualmente como empleado",I39="Trabajo de manera independiente"),_xlfn.LET(_xlpm.opcion,MOD(INT((COUNTIF($I$2:I39,I39)-1)/5),6)+1,CHOOSE(IF(AND(_xlpm.opcion=6,L39="Sí, completamente"),5,_xlpm.opcion),"Salario","Estabilidad laboral","Horario","Acceso a prestaciones","Oportunidades de crecimiento","Trabajar en un área relacionada con mi formación")),"")</f>
        <v>Estabilidad laboral</v>
      </c>
      <c r="O39" s="9" t="str">
        <f>IF(OR(I39="Trabajo actualmente como empleado",I39="Trabajo de manera independiente"),_xlfn.LET(_xlpm.turno,MOD(COUNTIF($I$2:I39,I39)-1,5),_xlpm.nivel,VALUE(LEFT(M39,1)),IF(_xlpm.turno=4,"No estoy seguro/a",IF(_xlpm.turno&lt;IF(_xlpm.nivel&lt;=2,1,3),"Sí","No"))),"")</f>
        <v>Sí</v>
      </c>
      <c r="P39" s="9" t="str">
        <f>_xlfn.LET(_xlpm.perfil,I39,_xlpm.turno,COUNTIF($I$2:I39,_xlpm.perfil)-1,_xlpm.busca,OR(_xlpm.perfil="Actualmente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trabajar"),IF(AND(_xlpm.trabaja,O39="No"),"Todavía no he iniciado una búsqueda activa",CHOOSE(MOD(_xlpm.turno*3,5)+1,"Menos de 1 mes","Entre 1 y 3 meses","Entre 4 y 6 meses","Más de 6 meses","Todavía no he iniciado una búsqueda activa")),"")))</f>
        <v>Más de 6 meses</v>
      </c>
      <c r="Q39" t="str">
        <f>IF(I39="Tengo un emprendimiento o quiero iniciar uno","",CHOOSE(MOD(INT((COUNTIF($I$2:I39,I39)-1)/7),3)+1,"Sí","No","Tengo una pero necesito actualizarla"))</f>
        <v>Sí</v>
      </c>
      <c r="R39" s="9" t="str">
        <f>IF(I39="Tengo un emprendimiento o quiero iniciar uno","",IF(I39="Busco mi primer empleo","No",IF(MOD(COUNTIF($I$2:I39,I39)-1,2)=0,"Sí","No")))</f>
        <v>Sí</v>
      </c>
      <c r="S39" t="str">
        <f>IF(I39="Tengo un emprendimiento o quiero iniciar uno","",CHOOSE(MOD(INT((COUNTIF($I$2:I39,I39)-1)/3),10)+1,"Portales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9" t="str">
        <f>IF(I39="Tengo un emprendimiento o quiero iniciar uno","",_xlfn.LET(_xlpm.opcion,MOD(INT((COUNTIF($I$2:I39,I39)-1)/4),6)+1,CHOOSE(IF(AND(_xlpm.opcion=3,Q39="Sí"),1,_xlpm.opcion),"Falta de experiencia","Falta de formación","Dificultades con la hoja de vida","Horarios disponibles","Transporte","Internet")))</f>
        <v>Falta de formación</v>
      </c>
      <c r="U39" s="9" t="str">
        <f>IF(I39="Tengo un emprendimiento o quiero iniciar uno","",IF(MOD(INT((COUNTIF($I$2:I39,I39)-1)/3),2)=0,"Sí","No"))</f>
        <v>Sí</v>
      </c>
      <c r="V39" s="9" t="str">
        <f>IF(I39="Tengo un emprendimiento o quiero iniciar uno",CHOOSE(MOD(COUNTIF($I$2:I39,I39)-1,3)+1,"Tengo un emprendimiento","Estoy iniciando un emprendimiento","Me interesa emprender"),"")</f>
        <v/>
      </c>
      <c r="W39" t="str">
        <f t="shared" si="5"/>
        <v/>
      </c>
      <c r="X39" s="9" t="str">
        <f>IF(I39="Tengo un emprendimiento o quiero iniciar uno",CHOOSE(MOD(COUNTIF($I$2:I39,I39)-1,5)+1,"Falta de financiación","Falta de conocimientos administrativos","Falta de conocimientos financieros","Falta de tiempo","Falta de herramientas"),"")</f>
        <v/>
      </c>
      <c r="Y39" s="9" t="str">
        <f t="shared" si="6"/>
        <v/>
      </c>
      <c r="Z39" t="str">
        <f>IF(I39="Tengo un emprendimiento o quiero iniciar uno",CHOOSE(INT(MOD((COUNTIF($I$2:I39,I39)-1)*7,39)/13)+1,"Sí","No","No conozco programas de ese tipo"),"")</f>
        <v/>
      </c>
      <c r="AA39" t="str">
        <f t="shared" si="7"/>
        <v>Puedo hacerlo sin ayuda</v>
      </c>
      <c r="AB39" t="str">
        <f t="shared" si="7"/>
        <v>Puedo hacerlo sin ayuda</v>
      </c>
      <c r="AC39" t="str">
        <f t="shared" si="8"/>
        <v>Puedo hacerlo con ayuda</v>
      </c>
      <c r="AD39" s="9" t="str">
        <f t="shared" si="9"/>
        <v>No puedo hacerlo</v>
      </c>
      <c r="AE39" t="str">
        <f t="shared" si="10"/>
        <v>No puedo hacerlo</v>
      </c>
      <c r="AF39" s="9" t="str">
        <f t="shared" si="11"/>
        <v>Crear una hoja de vida</v>
      </c>
      <c r="AG39" s="9" t="str">
        <f t="shared" si="17"/>
        <v>Falta de experiencia</v>
      </c>
      <c r="AH39" t="str">
        <f t="shared" si="12"/>
        <v>Ferias de empleo</v>
      </c>
      <c r="AI39" s="9" t="str">
        <f t="shared" si="13"/>
        <v>Me es indiferente</v>
      </c>
      <c r="AJ39" s="9" t="str">
        <f t="shared" si="14"/>
        <v>Fines de semana</v>
      </c>
      <c r="AK39" s="9" t="str">
        <f t="shared" si="15"/>
        <v>WhatsApp</v>
      </c>
    </row>
    <row r="40" spans="1:37">
      <c r="A40" t="str">
        <f t="shared" si="16"/>
        <v>SG039</v>
      </c>
      <c r="B40" t="s">
        <v>418</v>
      </c>
      <c r="C40" s="9" t="s">
        <v>427</v>
      </c>
      <c r="D40" t="str">
        <f t="shared" si="0"/>
        <v>Femenino</v>
      </c>
      <c r="E40" t="str">
        <f t="shared" si="1"/>
        <v>De 24 a 26 años</v>
      </c>
      <c r="F40">
        <f t="shared" si="2"/>
        <v>25</v>
      </c>
      <c r="G40" s="9" t="s">
        <v>428</v>
      </c>
      <c r="H40" s="9" t="str">
        <f t="shared" si="3"/>
        <v>Profesional</v>
      </c>
      <c r="I40" s="9" t="str">
        <f t="shared" si="4"/>
        <v>Busco mi primer empleo</v>
      </c>
      <c r="J40" s="13" t="str">
        <f>IF(I40="Trabajo actualmente como empleado",IF(MOD((COUNTIF($I$2:I40,"Trabajo actualmente como empleado")-1)*37,150)&lt;100,"Empleado con contrato","Empleado sin contrato formal"),IF(I40="Trabajo de manera independiente","Trabajo independiente",""))</f>
        <v/>
      </c>
      <c r="K40" s="9" t="str">
        <f>IF(OR(I40="Trabajo actualmente como empleado",I40="Trabajo de manera independiente"),CHOOSE(MOD(COUNTIF($I$2:I40,I40)-1,4)+1,"Menos de 3 meses","De 3 a 6 meses","De 7 a 12 meses","Más de un año"),"")</f>
        <v/>
      </c>
      <c r="L40" t="str">
        <f>IF(OR(I40="Trabajo actualmente como empleado",I40="Trabajo de manera independiente"),CHOOSE(MOD(COUNTIF($I$2:I40,I40)-1,3)+1,"Sí, completamente","Parcialmente","No"),"")</f>
        <v/>
      </c>
      <c r="M40" t="str">
        <f>IF(OR(I40="Trabajo actualmente como empleado",I40="Trabajo de manera independiente"),CHOOSE(MOD(INT((COUNTIF($I$2:I40,I40)-1)/3),4)+1,"1- Muy satisfecho/a","2- Satisfecho/a","3- Insatisfecho/a","4- Muy insatisfecho/a"),"")</f>
        <v/>
      </c>
      <c r="N40" t="str">
        <f>IF(OR(I40="Trabajo actualmente como empleado",I40="Trabajo de manera independiente"),_xlfn.LET(_xlpm.opcion,MOD(INT((COUNTIF($I$2:I40,I40)-1)/5),6)+1,CHOOSE(IF(AND(_xlpm.opcion=6,L40="Sí, completamente"),5,_xlpm.opcion),"Salario","Estabilidad laboral","Horario","Acceso a prestaciones","Oportunidades de crecimiento","Trabajar en un área relacionada con mi formación")),"")</f>
        <v/>
      </c>
      <c r="O40" s="9" t="str">
        <f>IF(OR(I40="Trabajo actualmente como empleado",I40="Trabajo de manera independiente"),_xlfn.LET(_xlpm.turno,MOD(COUNTIF($I$2:I40,I40)-1,5),_xlpm.nivel,VALUE(LEFT(M40,1)),IF(_xlpm.turno=4,"No estoy seguro/a",IF(_xlpm.turno&lt;IF(_xlpm.nivel&lt;=2,1,3),"Sí","No"))),"")</f>
        <v/>
      </c>
      <c r="P40" s="9" t="str">
        <f>_xlfn.LET(_xlpm.perfil,I40,_xlpm.turno,COUNTIF($I$2:I40,_xlpm.perfil)-1,_xlpm.busca,OR(_xlpm.perfil="Actualmente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trabajar"),IF(AND(_xlpm.trabaja,O40="No"),"Todavía no he iniciado una búsqueda activa",CHOOSE(MOD(_xlpm.turno*3,5)+1,"Menos de 1 mes","Entre 1 y 3 meses","Entre 4 y 6 meses","Más de 6 meses","Todavía no he iniciado una búsqueda activa")),"")))</f>
        <v>Más de 6 meses</v>
      </c>
      <c r="Q40" t="str">
        <f>IF(I40="Tengo un emprendimiento o quiero iniciar uno","",CHOOSE(MOD(INT((COUNTIF($I$2:I40,I40)-1)/7),3)+1,"Sí","No","Tengo una pero necesito actualizarla"))</f>
        <v>Sí</v>
      </c>
      <c r="R40" s="9" t="str">
        <f>IF(I40="Tengo un emprendimiento o quiero iniciar uno","",IF(I40="Busco mi primer empleo","No",IF(MOD(COUNTIF($I$2:I40,I40)-1,2)=0,"Sí","No")))</f>
        <v>No</v>
      </c>
      <c r="S40" t="str">
        <f>IF(I40="Tengo un emprendimiento o quiero iniciar uno","",CHOOSE(MOD(INT((COUNTIF($I$2:I40,I40)-1)/3),10)+1,"Portales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40" t="str">
        <f>IF(I40="Tengo un emprendimiento o quiero iniciar uno","",_xlfn.LET(_xlpm.opcion,MOD(INT((COUNTIF($I$2:I40,I40)-1)/4),6)+1,CHOOSE(IF(AND(_xlpm.opcion=3,Q40="Sí"),1,_xlpm.opcion),"Falta de experiencia","Falta de formación","Dificultades con la hoja de vida","Horarios disponibles","Transporte","Internet")))</f>
        <v>Falta de formación</v>
      </c>
      <c r="U40" s="9" t="str">
        <f>IF(I40="Tengo un emprendimiento o quiero iniciar uno","",IF(MOD(INT((COUNTIF($I$2:I40,I40)-1)/3),2)=0,"Sí","No"))</f>
        <v>No</v>
      </c>
      <c r="V40" s="9" t="str">
        <f>IF(I40="Tengo un emprendimiento o quiero iniciar uno",CHOOSE(MOD(COUNTIF($I$2:I40,I40)-1,3)+1,"Tengo un emprendimiento","Estoy iniciando un emprendimiento","Me interesa emprender"),"")</f>
        <v/>
      </c>
      <c r="W40" t="str">
        <f t="shared" si="5"/>
        <v/>
      </c>
      <c r="X40" s="9" t="str">
        <f>IF(I40="Tengo un emprendimiento o quiero iniciar uno",CHOOSE(MOD(COUNTIF($I$2:I40,I40)-1,5)+1,"Falta de financiación","Falta de conocimientos administrativos","Falta de conocimientos financieros","Falta de tiempo","Falta de herramientas"),"")</f>
        <v/>
      </c>
      <c r="Y40" s="9" t="str">
        <f t="shared" si="6"/>
        <v/>
      </c>
      <c r="Z40" t="str">
        <f>IF(I40="Tengo un emprendimiento o quiero iniciar uno",CHOOSE(INT(MOD((COUNTIF($I$2:I40,I40)-1)*7,39)/13)+1,"Sí","No","No conozco programas de ese tipo"),"")</f>
        <v/>
      </c>
      <c r="AA40" t="str">
        <f t="shared" si="7"/>
        <v>No puedo hacerlo</v>
      </c>
      <c r="AB40" t="str">
        <f t="shared" si="7"/>
        <v>No puedo hacerlo</v>
      </c>
      <c r="AC40" t="str">
        <f t="shared" si="8"/>
        <v>Puedo hacerlo con dificultad</v>
      </c>
      <c r="AD40" s="9" t="str">
        <f t="shared" si="9"/>
        <v>Puedo hacerlo con ayuda</v>
      </c>
      <c r="AE40" t="str">
        <f t="shared" si="10"/>
        <v>No puedo hacerlo</v>
      </c>
      <c r="AF40" s="9" t="str">
        <f t="shared" si="11"/>
        <v>Preparación para entrevista</v>
      </c>
      <c r="AG40" s="9" t="str">
        <f t="shared" si="17"/>
        <v>Falta de experiencia</v>
      </c>
      <c r="AH40" t="str">
        <f t="shared" si="12"/>
        <v>No conozco ninguno</v>
      </c>
      <c r="AI40" s="9" t="str">
        <f t="shared" si="13"/>
        <v>Presencial</v>
      </c>
      <c r="AJ40" s="9" t="str">
        <f t="shared" si="14"/>
        <v>Diurno</v>
      </c>
      <c r="AK40" s="9" t="str">
        <f t="shared" si="15"/>
        <v>Redes sociales</v>
      </c>
    </row>
    <row r="41" spans="1:37">
      <c r="A41" t="str">
        <f t="shared" si="16"/>
        <v>SG040</v>
      </c>
      <c r="B41" t="s">
        <v>418</v>
      </c>
      <c r="C41" s="9" t="s">
        <v>427</v>
      </c>
      <c r="D41" t="str">
        <f t="shared" si="0"/>
        <v>Masculino</v>
      </c>
      <c r="E41" t="str">
        <f t="shared" si="1"/>
        <v>De 26 a 28 años</v>
      </c>
      <c r="F41">
        <f t="shared" si="2"/>
        <v>27</v>
      </c>
      <c r="G41" s="9" t="s">
        <v>428</v>
      </c>
      <c r="H41" s="9" t="str">
        <f t="shared" si="3"/>
        <v>Profesional</v>
      </c>
      <c r="I41" s="9" t="str">
        <f t="shared" si="4"/>
        <v>Trabajo actualmente como empleado</v>
      </c>
      <c r="J41" s="13" t="str">
        <f>IF(I41="Trabajo actualmente como empleado",IF(MOD((COUNTIF($I$2:I41,"Trabajo actualmente como empleado")-1)*37,150)&lt;100,"Empleado con contrato","Empleado sin contrato formal"),IF(I41="Trabajo de manera independiente","Trabajo independiente",""))</f>
        <v>Empleado con contrato</v>
      </c>
      <c r="K41" s="9" t="str">
        <f>IF(OR(I41="Trabajo actualmente como empleado",I41="Trabajo de manera independiente"),CHOOSE(MOD(COUNTIF($I$2:I41,I41)-1,4)+1,"Menos de 3 meses","De 3 a 6 meses","De 7 a 12 meses","Más de un año"),"")</f>
        <v>De 3 a 6 meses</v>
      </c>
      <c r="L41" t="str">
        <f>IF(OR(I41="Trabajo actualmente como empleado",I41="Trabajo de manera independiente"),CHOOSE(MOD(COUNTIF($I$2:I41,I41)-1,3)+1,"Sí, completamente","Parcialmente","No"),"")</f>
        <v>Parcialmente</v>
      </c>
      <c r="M41" t="str">
        <f>IF(OR(I41="Trabajo actualmente como empleado",I41="Trabajo de manera independiente"),CHOOSE(MOD(INT((COUNTIF($I$2:I41,I41)-1)/3),4)+1,"1- Muy satisfecho/a","2- Satisfecho/a","3- Insatisfecho/a","4- Muy insatisfecho/a"),"")</f>
        <v>1- Muy satisfecho/a</v>
      </c>
      <c r="N41" t="str">
        <f>IF(OR(I41="Trabajo actualmente como empleado",I41="Trabajo de manera independiente"),_xlfn.LET(_xlpm.opcion,MOD(INT((COUNTIF($I$2:I41,I41)-1)/5),6)+1,CHOOSE(IF(AND(_xlpm.opcion=6,L41="Sí, completamente"),5,_xlpm.opcion),"Salario","Estabilidad laboral","Horario","Acceso a prestaciones","Oportunidades de crecimiento","Trabajar en un área relacionada con mi formación")),"")</f>
        <v>Horario</v>
      </c>
      <c r="O41" s="9" t="str">
        <f>IF(OR(I41="Trabajo actualmente como empleado",I41="Trabajo de manera independiente"),_xlfn.LET(_xlpm.turno,MOD(COUNTIF($I$2:I41,I41)-1,5),_xlpm.nivel,VALUE(LEFT(M41,1)),IF(_xlpm.turno=4,"No estoy seguro/a",IF(_xlpm.turno&lt;IF(_xlpm.nivel&lt;=2,1,3),"Sí","No"))),"")</f>
        <v>No</v>
      </c>
      <c r="P41" s="9" t="str">
        <f>_xlfn.LET(_xlpm.perfil,I41,_xlpm.turno,COUNTIF($I$2:I41,_xlpm.perfil)-1,_xlpm.busca,OR(_xlpm.perfil="Actualmente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1" t="str">
        <f>IF(I41="Tengo un emprendimiento o quiero iniciar uno","",CHOOSE(MOD(INT((COUNTIF($I$2:I41,I41)-1)/7),3)+1,"Sí","No","Tengo una pero necesito actualizarla"))</f>
        <v>No</v>
      </c>
      <c r="R41" s="9" t="str">
        <f>IF(I41="Tengo un emprendimiento o quiero iniciar uno","",IF(I41="Busco mi primer empleo","No",IF(MOD(COUNTIF($I$2:I41,I41)-1,2)=0,"Sí","No")))</f>
        <v>No</v>
      </c>
      <c r="S41" t="str">
        <f>IF(I41="Tengo un emprendimiento o quiero iniciar uno","",CHOOSE(MOD(INT((COUNTIF($I$2:I41,I41)-1)/3),10)+1,"Portales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1" t="str">
        <f>IF(I41="Tengo un emprendimiento o quiero iniciar uno","",_xlfn.LET(_xlpm.opcion,MOD(INT((COUNTIF($I$2:I41,I41)-1)/4),6)+1,CHOOSE(IF(AND(_xlpm.opcion=3,Q41="Sí"),1,_xlpm.opcion),"Falta de experiencia","Falta de formación","Dificultades con la hoja de vida","Horarios disponibles","Transporte","Internet")))</f>
        <v>Horarios disponibles</v>
      </c>
      <c r="U41" s="9" t="str">
        <f>IF(I41="Tengo un emprendimiento o quiero iniciar uno","",IF(MOD(INT((COUNTIF($I$2:I41,I41)-1)/3),2)=0,"Sí","No"))</f>
        <v>Sí</v>
      </c>
      <c r="V41" s="9" t="str">
        <f>IF(I41="Tengo un emprendimiento o quiero iniciar uno",CHOOSE(MOD(COUNTIF($I$2:I41,I41)-1,3)+1,"Tengo un emprendimiento","Estoy iniciando un emprendimiento","Me interesa emprender"),"")</f>
        <v/>
      </c>
      <c r="W41" t="str">
        <f t="shared" si="5"/>
        <v/>
      </c>
      <c r="X41" s="9" t="str">
        <f>IF(I41="Tengo un emprendimiento o quiero iniciar uno",CHOOSE(MOD(COUNTIF($I$2:I41,I41)-1,5)+1,"Falta de financiación","Falta de conocimientos administrativos","Falta de conocimientos financieros","Falta de tiempo","Falta de herramientas"),"")</f>
        <v/>
      </c>
      <c r="Y41" s="9" t="str">
        <f t="shared" si="6"/>
        <v/>
      </c>
      <c r="Z41" t="str">
        <f>IF(I41="Tengo un emprendimiento o quiero iniciar uno",CHOOSE(INT(MOD((COUNTIF($I$2:I41,I41)-1)*7,39)/13)+1,"Sí","No","No conozco programas de ese tipo"),"")</f>
        <v/>
      </c>
      <c r="AA41" t="str">
        <f t="shared" si="7"/>
        <v>Puedo hacerlo con dificultad</v>
      </c>
      <c r="AB41" t="str">
        <f t="shared" si="7"/>
        <v>Puedo hacerlo con dificultad</v>
      </c>
      <c r="AC41" t="str">
        <f t="shared" si="8"/>
        <v>Puedo hacerlo sin ayuda</v>
      </c>
      <c r="AD41" s="9" t="str">
        <f t="shared" si="9"/>
        <v>Puedo hacerlo con dificultad</v>
      </c>
      <c r="AE41" t="str">
        <f t="shared" si="10"/>
        <v>Puedo hacerlo con ayuda</v>
      </c>
      <c r="AF41" s="9" t="str">
        <f t="shared" si="11"/>
        <v>Comunicación</v>
      </c>
      <c r="AG41" s="9" t="str">
        <f t="shared" si="17"/>
        <v>Distancia</v>
      </c>
      <c r="AH41" t="str">
        <f t="shared" si="12"/>
        <v>Ferias de empleo</v>
      </c>
      <c r="AI41" s="9" t="str">
        <f t="shared" si="13"/>
        <v>Virtual</v>
      </c>
      <c r="AJ41" s="9" t="str">
        <f t="shared" si="14"/>
        <v>Nocturno</v>
      </c>
      <c r="AK41" s="9" t="str">
        <f t="shared" si="15"/>
        <v>Celular</v>
      </c>
    </row>
    <row r="42" spans="1:37">
      <c r="A42" t="str">
        <f t="shared" si="16"/>
        <v>SG041</v>
      </c>
      <c r="B42" t="s">
        <v>418</v>
      </c>
      <c r="C42" s="9" t="s">
        <v>427</v>
      </c>
      <c r="D42" t="str">
        <f t="shared" si="0"/>
        <v>Masculino</v>
      </c>
      <c r="E42" t="str">
        <f t="shared" si="1"/>
        <v>De 18 a 20 años</v>
      </c>
      <c r="F42">
        <f t="shared" si="2"/>
        <v>18</v>
      </c>
      <c r="G42" s="9" t="s">
        <v>428</v>
      </c>
      <c r="H42" s="9" t="str">
        <f t="shared" si="3"/>
        <v>Bachiller</v>
      </c>
      <c r="I42" s="9" t="str">
        <f t="shared" si="4"/>
        <v>Trabajo de manera independiente</v>
      </c>
      <c r="J42" s="13" t="str">
        <f>IF(I42="Trabajo actualmente como empleado",IF(MOD((COUNTIF($I$2:I42,"Trabajo actualmente como empleado")-1)*37,150)&lt;100,"Empleado con contrato","Empleado sin contrato formal"),IF(I42="Trabajo de manera independiente","Trabajo independiente",""))</f>
        <v>Trabajo independiente</v>
      </c>
      <c r="K42" s="9" t="str">
        <f>IF(OR(I42="Trabajo actualmente como empleado",I42="Trabajo de manera independiente"),CHOOSE(MOD(COUNTIF($I$2:I42,I42)-1,4)+1,"Menos de 3 meses","De 3 a 6 meses","De 7 a 12 meses","Más de un año"),"")</f>
        <v>Más de un año</v>
      </c>
      <c r="L42" t="str">
        <f>IF(OR(I42="Trabajo actualmente como empleado",I42="Trabajo de manera independiente"),CHOOSE(MOD(COUNTIF($I$2:I42,I42)-1,3)+1,"Sí, completamente","Parcialmente","No"),"")</f>
        <v>Parcialmente</v>
      </c>
      <c r="M42" t="str">
        <f>IF(OR(I42="Trabajo actualmente como empleado",I42="Trabajo de manera independiente"),CHOOSE(MOD(INT((COUNTIF($I$2:I42,I42)-1)/3),4)+1,"1- Muy satisfecho/a","2- Satisfecho/a","3- Insatisfecho/a","4- Muy insatisfecho/a"),"")</f>
        <v>3- Insatisfecho/a</v>
      </c>
      <c r="N42" t="str">
        <f>IF(OR(I42="Trabajo actualmente como empleado",I42="Trabajo de manera independiente"),_xlfn.LET(_xlpm.opcion,MOD(INT((COUNTIF($I$2:I42,I42)-1)/5),6)+1,CHOOSE(IF(AND(_xlpm.opcion=6,L42="Sí, completamente"),5,_xlpm.opcion),"Salario","Estabilidad laboral","Horario","Acceso a prestaciones","Oportunidades de crecimiento","Trabajar en un área relacionada con mi formación")),"")</f>
        <v>Estabilidad laboral</v>
      </c>
      <c r="O42" s="9" t="str">
        <f>IF(OR(I42="Trabajo actualmente como empleado",I42="Trabajo de manera independiente"),_xlfn.LET(_xlpm.turno,MOD(COUNTIF($I$2:I42,I42)-1,5),_xlpm.nivel,VALUE(LEFT(M42,1)),IF(_xlpm.turno=4,"No estoy seguro/a",IF(_xlpm.turno&lt;IF(_xlpm.nivel&lt;=2,1,3),"Sí","No"))),"")</f>
        <v>Sí</v>
      </c>
      <c r="P42" s="9" t="str">
        <f>_xlfn.LET(_xlpm.perfil,I42,_xlpm.turno,COUNTIF($I$2:I42,_xlpm.perfil)-1,_xlpm.busca,OR(_xlpm.perfil="Actualmente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trabajar"),IF(AND(_xlpm.trabaja,O42="No"),"Todavía no he iniciado una búsqueda activa",CHOOSE(MOD(_xlpm.turno*3,5)+1,"Menos de 1 mes","Entre 1 y 3 meses","Entre 4 y 6 meses","Más de 6 meses","Todavía no he iniciado una búsqueda activa")),"")))</f>
        <v>Entre 1 y 3 meses</v>
      </c>
      <c r="Q42" t="str">
        <f>IF(I42="Tengo un emprendimiento o quiero iniciar uno","",CHOOSE(MOD(INT((COUNTIF($I$2:I42,I42)-1)/7),3)+1,"Sí","No","Tengo una pero necesito actualizarla"))</f>
        <v>No</v>
      </c>
      <c r="R42" s="9" t="str">
        <f>IF(I42="Tengo un emprendimiento o quiero iniciar uno","",IF(I42="Busco mi primer empleo","No",IF(MOD(COUNTIF($I$2:I42,I42)-1,2)=0,"Sí","No")))</f>
        <v>No</v>
      </c>
      <c r="S42" t="str">
        <f>IF(I42="Tengo un emprendimiento o quiero iniciar uno","",CHOOSE(MOD(INT((COUNTIF($I$2:I42,I42)-1)/3),10)+1,"Portales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2" t="str">
        <f>IF(I42="Tengo un emprendimiento o quiero iniciar uno","",_xlfn.LET(_xlpm.opcion,MOD(INT((COUNTIF($I$2:I42,I42)-1)/4),6)+1,CHOOSE(IF(AND(_xlpm.opcion=3,Q42="Sí"),1,_xlpm.opcion),"Falta de experiencia","Falta de formación","Dificultades con la hoja de vida","Horarios disponibles","Transporte","Internet")))</f>
        <v>Falta de formación</v>
      </c>
      <c r="U42" s="9" t="str">
        <f>IF(I42="Tengo un emprendimiento o quiero iniciar uno","",IF(MOD(INT((COUNTIF($I$2:I42,I42)-1)/3),2)=0,"Sí","No"))</f>
        <v>Sí</v>
      </c>
      <c r="V42" s="9" t="str">
        <f>IF(I42="Tengo un emprendimiento o quiero iniciar uno",CHOOSE(MOD(COUNTIF($I$2:I42,I42)-1,3)+1,"Tengo un emprendimiento","Estoy iniciando un emprendimiento","Me interesa emprender"),"")</f>
        <v/>
      </c>
      <c r="W42" t="str">
        <f t="shared" si="5"/>
        <v/>
      </c>
      <c r="X42" s="9" t="str">
        <f>IF(I42="Tengo un emprendimiento o quiero iniciar uno",CHOOSE(MOD(COUNTIF($I$2:I42,I42)-1,5)+1,"Falta de financiación","Falta de conocimientos administrativos","Falta de conocimientos financieros","Falta de tiempo","Falta de herramientas"),"")</f>
        <v/>
      </c>
      <c r="Y42" s="9" t="str">
        <f t="shared" si="6"/>
        <v/>
      </c>
      <c r="Z42" t="str">
        <f>IF(I42="Tengo un emprendimiento o quiero iniciar uno",CHOOSE(INT(MOD((COUNTIF($I$2:I42,I42)-1)*7,39)/13)+1,"Sí","No","No conozco programas de ese tipo"),"")</f>
        <v/>
      </c>
      <c r="AA42" t="str">
        <f t="shared" si="7"/>
        <v>Puedo hacerlo sin ayuda</v>
      </c>
      <c r="AB42" t="str">
        <f t="shared" si="7"/>
        <v>Puedo hacerlo sin ayuda</v>
      </c>
      <c r="AC42" t="str">
        <f t="shared" si="8"/>
        <v>Puedo hacerlo con ayuda</v>
      </c>
      <c r="AD42" s="9" t="str">
        <f t="shared" si="9"/>
        <v>Puedo hacerlo con dificultad</v>
      </c>
      <c r="AE42" t="str">
        <f t="shared" si="10"/>
        <v>Puedo hacerlo con ayuda</v>
      </c>
      <c r="AF42" s="9" t="str">
        <f t="shared" si="11"/>
        <v>Liderazgo</v>
      </c>
      <c r="AG42" s="9" t="str">
        <f t="shared" si="17"/>
        <v>Distancia</v>
      </c>
      <c r="AH42" t="str">
        <f t="shared" si="12"/>
        <v>Programas de emprendimiento</v>
      </c>
      <c r="AI42" s="9" t="str">
        <f t="shared" si="13"/>
        <v>Me es indiferente</v>
      </c>
      <c r="AJ42" s="9" t="str">
        <f t="shared" si="14"/>
        <v>Fines de semana</v>
      </c>
      <c r="AK42" s="9" t="str">
        <f t="shared" si="15"/>
        <v>Correo electrónico</v>
      </c>
    </row>
    <row r="43" spans="1:37">
      <c r="A43" t="str">
        <f t="shared" si="16"/>
        <v>SG042</v>
      </c>
      <c r="B43" t="s">
        <v>418</v>
      </c>
      <c r="C43" s="9" t="s">
        <v>427</v>
      </c>
      <c r="D43" t="str">
        <f t="shared" si="0"/>
        <v>Femenino</v>
      </c>
      <c r="E43" t="str">
        <f t="shared" si="1"/>
        <v>De 20 a 22 años</v>
      </c>
      <c r="F43">
        <f t="shared" si="2"/>
        <v>20</v>
      </c>
      <c r="G43" s="9" t="s">
        <v>428</v>
      </c>
      <c r="H43" s="9" t="str">
        <f t="shared" si="3"/>
        <v>Bachiller</v>
      </c>
      <c r="I43" s="9" t="str">
        <f t="shared" si="4"/>
        <v>Estudio y quiero comenzar a trabajar</v>
      </c>
      <c r="J43" s="13" t="str">
        <f>IF(I43="Trabajo actualmente como empleado",IF(MOD((COUNTIF($I$2:I43,"Trabajo actualmente como empleado")-1)*37,150)&lt;100,"Empleado con contrato","Empleado sin contrato formal"),IF(I43="Trabajo de manera independiente","Trabajo independiente",""))</f>
        <v/>
      </c>
      <c r="K43" s="9" t="str">
        <f>IF(OR(I43="Trabajo actualmente como empleado",I43="Trabajo de manera independiente"),CHOOSE(MOD(COUNTIF($I$2:I43,I43)-1,4)+1,"Menos de 3 meses","De 3 a 6 meses","De 7 a 12 meses","Más de un año"),"")</f>
        <v/>
      </c>
      <c r="L43" t="str">
        <f>IF(OR(I43="Trabajo actualmente como empleado",I43="Trabajo de manera independiente"),CHOOSE(MOD(COUNTIF($I$2:I43,I43)-1,3)+1,"Sí, completamente","Parcialmente","No"),"")</f>
        <v/>
      </c>
      <c r="M43" t="str">
        <f>IF(OR(I43="Trabajo actualmente como empleado",I43="Trabajo de manera independiente"),CHOOSE(MOD(INT((COUNTIF($I$2:I43,I43)-1)/3),4)+1,"1- Muy satisfecho/a","2- Satisfecho/a","3- Insatisfecho/a","4- Muy insatisfecho/a"),"")</f>
        <v/>
      </c>
      <c r="N43" t="str">
        <f>IF(OR(I43="Trabajo actualmente como empleado",I43="Trabajo de manera independiente"),_xlfn.LET(_xlpm.opcion,MOD(INT((COUNTIF($I$2:I43,I43)-1)/5),6)+1,CHOOSE(IF(AND(_xlpm.opcion=6,L43="Sí, completamente"),5,_xlpm.opcion),"Salario","Estabilidad laboral","Horario","Acceso a prestaciones","Oportunidades de crecimiento","Trabajar en un área relacionada con mi formación")),"")</f>
        <v/>
      </c>
      <c r="O43" s="9" t="str">
        <f>IF(OR(I43="Trabajo actualmente como empleado",I43="Trabajo de manera independiente"),_xlfn.LET(_xlpm.turno,MOD(COUNTIF($I$2:I43,I43)-1,5),_xlpm.nivel,VALUE(LEFT(M43,1)),IF(_xlpm.turno=4,"No estoy seguro/a",IF(_xlpm.turno&lt;IF(_xlpm.nivel&lt;=2,1,3),"Sí","No"))),"")</f>
        <v/>
      </c>
      <c r="P43" s="9" t="str">
        <f>_xlfn.LET(_xlpm.perfil,I43,_xlpm.turno,COUNTIF($I$2:I43,_xlpm.perfil)-1,_xlpm.busca,OR(_xlpm.perfil="Actualmente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trabajar"),IF(AND(_xlpm.trabaja,O43="No"),"Todavía no he iniciado una búsqueda activa",CHOOSE(MOD(_xlpm.turno*3,5)+1,"Menos de 1 mes","Entre 1 y 3 meses","Entre 4 y 6 meses","Más de 6 meses","Todavía no he iniciado una búsqueda activa")),"")))</f>
        <v>Entre 4 y 6 meses</v>
      </c>
      <c r="Q43" t="str">
        <f>IF(I43="Tengo un emprendimiento o quiero iniciar uno","",CHOOSE(MOD(INT((COUNTIF($I$2:I43,I43)-1)/7),3)+1,"Sí","No","Tengo una pero necesito actualizarla"))</f>
        <v>Sí</v>
      </c>
      <c r="R43" s="9" t="str">
        <f>IF(I43="Tengo un emprendimiento o quiero iniciar uno","",IF(I43="Busco mi primer empleo","No",IF(MOD(COUNTIF($I$2:I43,I43)-1,2)=0,"Sí","No")))</f>
        <v>Sí</v>
      </c>
      <c r="S43" t="str">
        <f>IF(I43="Tengo un emprendimiento o quiero iniciar uno","",CHOOSE(MOD(INT((COUNTIF($I$2:I43,I43)-1)/3),10)+1,"Portales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43" t="str">
        <f>IF(I43="Tengo un emprendimiento o quiero iniciar uno","",_xlfn.LET(_xlpm.opcion,MOD(INT((COUNTIF($I$2:I43,I43)-1)/4),6)+1,CHOOSE(IF(AND(_xlpm.opcion=3,Q43="Sí"),1,_xlpm.opcion),"Falta de experiencia","Falta de formación","Dificultades con la hoja de vida","Horarios disponibles","Transporte","Internet")))</f>
        <v>Falta de formación</v>
      </c>
      <c r="U43" s="9" t="str">
        <f>IF(I43="Tengo un emprendimiento o quiero iniciar uno","",IF(MOD(INT((COUNTIF($I$2:I43,I43)-1)/3),2)=0,"Sí","No"))</f>
        <v>No</v>
      </c>
      <c r="V43" s="9" t="str">
        <f>IF(I43="Tengo un emprendimiento o quiero iniciar uno",CHOOSE(MOD(COUNTIF($I$2:I43,I43)-1,3)+1,"Tengo un emprendimiento","Estoy iniciando un emprendimiento","Me interesa emprender"),"")</f>
        <v/>
      </c>
      <c r="W43" t="str">
        <f t="shared" si="5"/>
        <v/>
      </c>
      <c r="X43" s="9" t="str">
        <f>IF(I43="Tengo un emprendimiento o quiero iniciar uno",CHOOSE(MOD(COUNTIF($I$2:I43,I43)-1,5)+1,"Falta de financiación","Falta de conocimientos administrativos","Falta de conocimientos financieros","Falta de tiempo","Falta de herramientas"),"")</f>
        <v/>
      </c>
      <c r="Y43" s="9" t="str">
        <f t="shared" si="6"/>
        <v/>
      </c>
      <c r="Z43" t="str">
        <f>IF(I43="Tengo un emprendimiento o quiero iniciar uno",CHOOSE(INT(MOD((COUNTIF($I$2:I43,I43)-1)*7,39)/13)+1,"Sí","No","No conozco programas de ese tipo"),"")</f>
        <v/>
      </c>
      <c r="AA43" t="str">
        <f t="shared" si="7"/>
        <v>Puedo hacerlo con ayuda</v>
      </c>
      <c r="AB43" t="str">
        <f t="shared" si="7"/>
        <v>Puedo hacerlo con ayuda</v>
      </c>
      <c r="AC43" t="str">
        <f t="shared" si="8"/>
        <v>Puedo hacerlo con dificultad</v>
      </c>
      <c r="AD43" s="9" t="str">
        <f t="shared" si="9"/>
        <v>Puedo hacerlo sin ayuda</v>
      </c>
      <c r="AE43" t="str">
        <f t="shared" si="10"/>
        <v>Puedo hacerlo con dificultad</v>
      </c>
      <c r="AF43" s="9" t="str">
        <f t="shared" si="11"/>
        <v>Emprendimiento</v>
      </c>
      <c r="AG43" s="9" t="str">
        <f t="shared" si="17"/>
        <v>Distancia</v>
      </c>
      <c r="AH43" t="str">
        <f t="shared" si="12"/>
        <v>Oficina de orientación laboral</v>
      </c>
      <c r="AI43" s="9" t="str">
        <f t="shared" si="13"/>
        <v>Presencial</v>
      </c>
      <c r="AJ43" s="9" t="str">
        <f t="shared" si="14"/>
        <v>Diurno</v>
      </c>
      <c r="AK43" s="9" t="str">
        <f t="shared" si="15"/>
        <v>Redes sociales</v>
      </c>
    </row>
    <row r="44" spans="1:37">
      <c r="A44" t="str">
        <f t="shared" si="16"/>
        <v>SG043</v>
      </c>
      <c r="B44" t="s">
        <v>418</v>
      </c>
      <c r="C44" s="9" t="s">
        <v>427</v>
      </c>
      <c r="D44" t="str">
        <f t="shared" si="0"/>
        <v>Masculino</v>
      </c>
      <c r="E44" t="str">
        <f t="shared" si="1"/>
        <v>De 22 a 24 años</v>
      </c>
      <c r="F44">
        <f t="shared" si="2"/>
        <v>22</v>
      </c>
      <c r="G44" s="9" t="s">
        <v>428</v>
      </c>
      <c r="H44" s="9" t="str">
        <f t="shared" si="3"/>
        <v>Bachiller</v>
      </c>
      <c r="I44" s="9" t="str">
        <f t="shared" si="4"/>
        <v>Trabajo actualmente como empleado</v>
      </c>
      <c r="J44" s="13" t="str">
        <f>IF(I44="Trabajo actualmente como empleado",IF(MOD((COUNTIF($I$2:I44,"Trabajo actualmente como empleado")-1)*37,150)&lt;100,"Empleado con contrato","Empleado sin contrato formal"),IF(I44="Trabajo de manera independiente","Trabajo independiente",""))</f>
        <v>Empleado con contrato</v>
      </c>
      <c r="K44" s="9" t="str">
        <f>IF(OR(I44="Trabajo actualmente como empleado",I44="Trabajo de manera independiente"),CHOOSE(MOD(COUNTIF($I$2:I44,I44)-1,4)+1,"Menos de 3 meses","De 3 a 6 meses","De 7 a 12 meses","Más de un año"),"")</f>
        <v>De 7 a 12 meses</v>
      </c>
      <c r="L44" t="str">
        <f>IF(OR(I44="Trabajo actualmente como empleado",I44="Trabajo de manera independiente"),CHOOSE(MOD(COUNTIF($I$2:I44,I44)-1,3)+1,"Sí, completamente","Parcialmente","No"),"")</f>
        <v>No</v>
      </c>
      <c r="M44" t="str">
        <f>IF(OR(I44="Trabajo actualmente como empleado",I44="Trabajo de manera independiente"),CHOOSE(MOD(INT((COUNTIF($I$2:I44,I44)-1)/3),4)+1,"1- Muy satisfecho/a","2- Satisfecho/a","3- Insatisfecho/a","4- Muy insatisfecho/a"),"")</f>
        <v>1- Muy satisfecho/a</v>
      </c>
      <c r="N44" t="str">
        <f>IF(OR(I44="Trabajo actualmente como empleado",I44="Trabajo de manera independiente"),_xlfn.LET(_xlpm.opcion,MOD(INT((COUNTIF($I$2:I44,I44)-1)/5),6)+1,CHOOSE(IF(AND(_xlpm.opcion=6,L44="Sí, completamente"),5,_xlpm.opcion),"Salario","Estabilidad laboral","Horario","Acceso a prestaciones","Oportunidades de crecimiento","Trabajar en un área relacionada con mi formación")),"")</f>
        <v>Horario</v>
      </c>
      <c r="O44" s="9" t="str">
        <f>IF(OR(I44="Trabajo actualmente como empleado",I44="Trabajo de manera independiente"),_xlfn.LET(_xlpm.turno,MOD(COUNTIF($I$2:I44,I44)-1,5),_xlpm.nivel,VALUE(LEFT(M44,1)),IF(_xlpm.turno=4,"No estoy seguro/a",IF(_xlpm.turno&lt;IF(_xlpm.nivel&lt;=2,1,3),"Sí","No"))),"")</f>
        <v>No estoy seguro/a</v>
      </c>
      <c r="P44" s="9" t="str">
        <f>_xlfn.LET(_xlpm.perfil,I44,_xlpm.turno,COUNTIF($I$2:I44,_xlpm.perfil)-1,_xlpm.busca,OR(_xlpm.perfil="Actualmente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trabajar"),IF(AND(_xlpm.trabaja,O44="No"),"Todavía no he iniciado una búsqueda activa",CHOOSE(MOD(_xlpm.turno*3,5)+1,"Menos de 1 mes","Entre 1 y 3 meses","Entre 4 y 6 meses","Más de 6 meses","Todavía no he iniciado una búsqueda activa")),"")))</f>
        <v>Entre 4 y 6 meses</v>
      </c>
      <c r="Q44" t="str">
        <f>IF(I44="Tengo un emprendimiento o quiero iniciar uno","",CHOOSE(MOD(INT((COUNTIF($I$2:I44,I44)-1)/7),3)+1,"Sí","No","Tengo una pero necesito actualizarla"))</f>
        <v>Tengo una pero necesito actualizarla</v>
      </c>
      <c r="R44" s="9" t="str">
        <f>IF(I44="Tengo un emprendimiento o quiero iniciar uno","",IF(I44="Busco mi primer empleo","No",IF(MOD(COUNTIF($I$2:I44,I44)-1,2)=0,"Sí","No")))</f>
        <v>Sí</v>
      </c>
      <c r="S44" t="str">
        <f>IF(I44="Tengo un emprendimiento o quiero iniciar uno","",CHOOSE(MOD(INT((COUNTIF($I$2:I44,I44)-1)/3),10)+1,"Portales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4" t="str">
        <f>IF(I44="Tengo un emprendimiento o quiero iniciar uno","",_xlfn.LET(_xlpm.opcion,MOD(INT((COUNTIF($I$2:I44,I44)-1)/4),6)+1,CHOOSE(IF(AND(_xlpm.opcion=3,Q44="Sí"),1,_xlpm.opcion),"Falta de experiencia","Falta de formación","Dificultades con la hoja de vida","Horarios disponibles","Transporte","Internet")))</f>
        <v>Horarios disponibles</v>
      </c>
      <c r="U44" s="9" t="str">
        <f>IF(I44="Tengo un emprendimiento o quiero iniciar uno","",IF(MOD(INT((COUNTIF($I$2:I44,I44)-1)/3),2)=0,"Sí","No"))</f>
        <v>Sí</v>
      </c>
      <c r="V44" s="9" t="str">
        <f>IF(I44="Tengo un emprendimiento o quiero iniciar uno",CHOOSE(MOD(COUNTIF($I$2:I44,I44)-1,3)+1,"Tengo un emprendimiento","Estoy iniciando un emprendimiento","Me interesa emprender"),"")</f>
        <v/>
      </c>
      <c r="W44" t="str">
        <f t="shared" si="5"/>
        <v/>
      </c>
      <c r="X44" s="9" t="str">
        <f>IF(I44="Tengo un emprendimiento o quiero iniciar uno",CHOOSE(MOD(COUNTIF($I$2:I44,I44)-1,5)+1,"Falta de financiación","Falta de conocimientos administrativos","Falta de conocimientos financieros","Falta de tiempo","Falta de herramientas"),"")</f>
        <v/>
      </c>
      <c r="Y44" s="9" t="str">
        <f t="shared" si="6"/>
        <v/>
      </c>
      <c r="Z44" t="str">
        <f>IF(I44="Tengo un emprendimiento o quiero iniciar uno",CHOOSE(INT(MOD((COUNTIF($I$2:I44,I44)-1)*7,39)/13)+1,"Sí","No","No conozco programas de ese tipo"),"")</f>
        <v/>
      </c>
      <c r="AA44" t="str">
        <f t="shared" si="7"/>
        <v>Puedo hacerlo con dificultad</v>
      </c>
      <c r="AB44" t="str">
        <f t="shared" si="7"/>
        <v>Puedo hacerlo con dificultad</v>
      </c>
      <c r="AC44" t="str">
        <f t="shared" si="8"/>
        <v>Puedo hacerlo sin ayuda</v>
      </c>
      <c r="AD44" s="9" t="str">
        <f t="shared" si="9"/>
        <v>No puedo hacerlo</v>
      </c>
      <c r="AE44" t="str">
        <f t="shared" si="10"/>
        <v>Puedo hacerlo sin ayuda</v>
      </c>
      <c r="AF44" s="9" t="str">
        <f t="shared" si="11"/>
        <v>Herramientas digitales</v>
      </c>
      <c r="AG44" s="9" t="str">
        <f t="shared" si="17"/>
        <v>Falta de experiencia;Falta de información</v>
      </c>
      <c r="AH44" t="str">
        <f t="shared" si="12"/>
        <v>Programas de emprendimiento</v>
      </c>
      <c r="AI44" s="9" t="str">
        <f t="shared" si="13"/>
        <v>Virtual</v>
      </c>
      <c r="AJ44" s="9" t="str">
        <f t="shared" si="14"/>
        <v>Nocturno</v>
      </c>
      <c r="AK44" s="9" t="str">
        <f t="shared" si="15"/>
        <v>WhatsApp</v>
      </c>
    </row>
    <row r="45" spans="1:37">
      <c r="A45" t="str">
        <f t="shared" si="16"/>
        <v>SG044</v>
      </c>
      <c r="B45" t="s">
        <v>418</v>
      </c>
      <c r="C45" s="9" t="s">
        <v>427</v>
      </c>
      <c r="D45" t="str">
        <f t="shared" si="0"/>
        <v>Masculino</v>
      </c>
      <c r="E45" t="str">
        <f t="shared" si="1"/>
        <v>De 24 a 26 años</v>
      </c>
      <c r="F45">
        <f t="shared" si="2"/>
        <v>24</v>
      </c>
      <c r="G45" s="9" t="s">
        <v>428</v>
      </c>
      <c r="H45" s="9" t="str">
        <f t="shared" si="3"/>
        <v>Bachiller</v>
      </c>
      <c r="I45" s="9" t="str">
        <f t="shared" si="4"/>
        <v>Actualmente no trabajo y estoy buscando empleo</v>
      </c>
      <c r="J45" s="13" t="str">
        <f>IF(I45="Trabajo actualmente como empleado",IF(MOD((COUNTIF($I$2:I45,"Trabajo actualmente como empleado")-1)*37,150)&lt;100,"Empleado con contrato","Empleado sin contrato formal"),IF(I45="Trabajo de manera independiente","Trabajo independiente",""))</f>
        <v/>
      </c>
      <c r="K45" s="9" t="str">
        <f>IF(OR(I45="Trabajo actualmente como empleado",I45="Trabajo de manera independiente"),CHOOSE(MOD(COUNTIF($I$2:I45,I45)-1,4)+1,"Menos de 3 meses","De 3 a 6 meses","De 7 a 12 meses","Más de un año"),"")</f>
        <v/>
      </c>
      <c r="L45" t="str">
        <f>IF(OR(I45="Trabajo actualmente como empleado",I45="Trabajo de manera independiente"),CHOOSE(MOD(COUNTIF($I$2:I45,I45)-1,3)+1,"Sí, completamente","Parcialmente","No"),"")</f>
        <v/>
      </c>
      <c r="M45" t="str">
        <f>IF(OR(I45="Trabajo actualmente como empleado",I45="Trabajo de manera independiente"),CHOOSE(MOD(INT((COUNTIF($I$2:I45,I45)-1)/3),4)+1,"1- Muy satisfecho/a","2- Satisfecho/a","3- Insatisfecho/a","4- Muy insatisfecho/a"),"")</f>
        <v/>
      </c>
      <c r="N45" t="str">
        <f>IF(OR(I45="Trabajo actualmente como empleado",I45="Trabajo de manera independiente"),_xlfn.LET(_xlpm.opcion,MOD(INT((COUNTIF($I$2:I45,I45)-1)/5),6)+1,CHOOSE(IF(AND(_xlpm.opcion=6,L45="Sí, completamente"),5,_xlpm.opcion),"Salario","Estabilidad laboral","Horario","Acceso a prestaciones","Oportunidades de crecimiento","Trabajar en un área relacionada con mi formación")),"")</f>
        <v/>
      </c>
      <c r="O45" s="9" t="str">
        <f>IF(OR(I45="Trabajo actualmente como empleado",I45="Trabajo de manera independiente"),_xlfn.LET(_xlpm.turno,MOD(COUNTIF($I$2:I45,I45)-1,5),_xlpm.nivel,VALUE(LEFT(M45,1)),IF(_xlpm.turno=4,"No estoy seguro/a",IF(_xlpm.turno&lt;IF(_xlpm.nivel&lt;=2,1,3),"Sí","No"))),"")</f>
        <v/>
      </c>
      <c r="P45" s="9" t="str">
        <f>_xlfn.LET(_xlpm.perfil,I45,_xlpm.turno,COUNTIF($I$2:I45,_xlpm.perfil)-1,_xlpm.busca,OR(_xlpm.perfil="Actualmente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trabajar"),IF(AND(_xlpm.trabaja,O45="No"),"Todavía no he iniciado una búsqueda activa",CHOOSE(MOD(_xlpm.turno*3,5)+1,"Menos de 1 mes","Entre 1 y 3 meses","Entre 4 y 6 meses","Más de 6 meses","Todavía no he iniciado una búsqueda activa")),"")))</f>
        <v>Entre 4 y 6 meses</v>
      </c>
      <c r="Q45" t="str">
        <f>IF(I45="Tengo un emprendimiento o quiero iniciar uno","",CHOOSE(MOD(INT((COUNTIF($I$2:I45,I45)-1)/7),3)+1,"Sí","No","Tengo una pero necesito actualizarla"))</f>
        <v>Sí</v>
      </c>
      <c r="R45" s="9" t="str">
        <f>IF(I45="Tengo un emprendimiento o quiero iniciar uno","",IF(I45="Busco mi primer empleo","No",IF(MOD(COUNTIF($I$2:I45,I45)-1,2)=0,"Sí","No")))</f>
        <v>Sí</v>
      </c>
      <c r="S45" t="str">
        <f>IF(I45="Tengo un emprendimiento o quiero iniciar uno","",CHOOSE(MOD(INT((COUNTIF($I$2:I45,I45)-1)/3),10)+1,"Portales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5" t="str">
        <f>IF(I45="Tengo un emprendimiento o quiero iniciar uno","",_xlfn.LET(_xlpm.opcion,MOD(INT((COUNTIF($I$2:I45,I45)-1)/4),6)+1,CHOOSE(IF(AND(_xlpm.opcion=3,Q45="Sí"),1,_xlpm.opcion),"Falta de experiencia","Falta de formación","Dificultades con la hoja de vida","Horarios disponibles","Transporte","Internet")))</f>
        <v>Falta de formación</v>
      </c>
      <c r="U45" s="9" t="str">
        <f>IF(I45="Tengo un emprendimiento o quiero iniciar uno","",IF(MOD(INT((COUNTIF($I$2:I45,I45)-1)/3),2)=0,"Sí","No"))</f>
        <v>Sí</v>
      </c>
      <c r="V45" s="9" t="str">
        <f>IF(I45="Tengo un emprendimiento o quiero iniciar uno",CHOOSE(MOD(COUNTIF($I$2:I45,I45)-1,3)+1,"Tengo un emprendimiento","Estoy iniciando un emprendimiento","Me interesa emprender"),"")</f>
        <v/>
      </c>
      <c r="W45" t="str">
        <f t="shared" si="5"/>
        <v/>
      </c>
      <c r="X45" s="9" t="str">
        <f>IF(I45="Tengo un emprendimiento o quiero iniciar uno",CHOOSE(MOD(COUNTIF($I$2:I45,I45)-1,5)+1,"Falta de financiación","Falta de conocimientos administrativos","Falta de conocimientos financieros","Falta de tiempo","Falta de herramientas"),"")</f>
        <v/>
      </c>
      <c r="Y45" s="9" t="str">
        <f t="shared" si="6"/>
        <v/>
      </c>
      <c r="Z45" t="str">
        <f>IF(I45="Tengo un emprendimiento o quiero iniciar uno",CHOOSE(INT(MOD((COUNTIF($I$2:I45,I45)-1)*7,39)/13)+1,"Sí","No","No conozco programas de ese tipo"),"")</f>
        <v/>
      </c>
      <c r="AA45" t="str">
        <f t="shared" si="7"/>
        <v>No puedo hacerlo</v>
      </c>
      <c r="AB45" t="str">
        <f t="shared" si="7"/>
        <v>No puedo hacerlo</v>
      </c>
      <c r="AC45" t="str">
        <f t="shared" si="8"/>
        <v>Puedo hacerlo con ayuda</v>
      </c>
      <c r="AD45" s="9" t="str">
        <f t="shared" si="9"/>
        <v>Puedo hacerlo con ayuda</v>
      </c>
      <c r="AE45" t="str">
        <f t="shared" si="10"/>
        <v>Puedo hacerlo sin ayuda</v>
      </c>
      <c r="AF45" s="9" t="str">
        <f t="shared" si="11"/>
        <v>Educación financiera</v>
      </c>
      <c r="AG45" s="9" t="str">
        <f t="shared" si="17"/>
        <v>Falta de experiencia;Falta de información</v>
      </c>
      <c r="AH45" t="str">
        <f t="shared" si="12"/>
        <v>No conozco ninguno</v>
      </c>
      <c r="AI45" s="9" t="str">
        <f t="shared" si="13"/>
        <v>Presencial y virtual</v>
      </c>
      <c r="AJ45" s="9" t="str">
        <f t="shared" si="14"/>
        <v>Fines de semana</v>
      </c>
      <c r="AK45" s="9" t="str">
        <f t="shared" si="15"/>
        <v>Correo electrónico</v>
      </c>
    </row>
    <row r="46" spans="1:37">
      <c r="A46" t="str">
        <f t="shared" si="16"/>
        <v>SG045</v>
      </c>
      <c r="B46" t="s">
        <v>418</v>
      </c>
      <c r="C46" s="9" t="s">
        <v>427</v>
      </c>
      <c r="D46" t="str">
        <f t="shared" si="0"/>
        <v>Femenino</v>
      </c>
      <c r="E46" t="str">
        <f t="shared" si="1"/>
        <v>De 26 a 28 años</v>
      </c>
      <c r="F46">
        <f t="shared" si="2"/>
        <v>28</v>
      </c>
      <c r="G46" s="9" t="s">
        <v>428</v>
      </c>
      <c r="H46" s="9" t="str">
        <f t="shared" si="3"/>
        <v>Técnico</v>
      </c>
      <c r="I46" s="9" t="str">
        <f t="shared" si="4"/>
        <v>Estudio y quiero comenzar a trabajar</v>
      </c>
      <c r="J46" s="13" t="str">
        <f>IF(I46="Trabajo actualmente como empleado",IF(MOD((COUNTIF($I$2:I46,"Trabajo actualmente como empleado")-1)*37,150)&lt;100,"Empleado con contrato","Empleado sin contrato formal"),IF(I46="Trabajo de manera independiente","Trabajo independiente",""))</f>
        <v/>
      </c>
      <c r="K46" s="9" t="str">
        <f>IF(OR(I46="Trabajo actualmente como empleado",I46="Trabajo de manera independiente"),CHOOSE(MOD(COUNTIF($I$2:I46,I46)-1,4)+1,"Menos de 3 meses","De 3 a 6 meses","De 7 a 12 meses","Más de un año"),"")</f>
        <v/>
      </c>
      <c r="L46" t="str">
        <f>IF(OR(I46="Trabajo actualmente como empleado",I46="Trabajo de manera independiente"),CHOOSE(MOD(COUNTIF($I$2:I46,I46)-1,3)+1,"Sí, completamente","Parcialmente","No"),"")</f>
        <v/>
      </c>
      <c r="M46" t="str">
        <f>IF(OR(I46="Trabajo actualmente como empleado",I46="Trabajo de manera independiente"),CHOOSE(MOD(INT((COUNTIF($I$2:I46,I46)-1)/3),4)+1,"1- Muy satisfecho/a","2- Satisfecho/a","3- Insatisfecho/a","4- Muy insatisfecho/a"),"")</f>
        <v/>
      </c>
      <c r="N46" t="str">
        <f>IF(OR(I46="Trabajo actualmente como empleado",I46="Trabajo de manera independiente"),_xlfn.LET(_xlpm.opcion,MOD(INT((COUNTIF($I$2:I46,I46)-1)/5),6)+1,CHOOSE(IF(AND(_xlpm.opcion=6,L46="Sí, completamente"),5,_xlpm.opcion),"Salario","Estabilidad laboral","Horario","Acceso a prestaciones","Oportunidades de crecimiento","Trabajar en un área relacionada con mi formación")),"")</f>
        <v/>
      </c>
      <c r="O46" s="9" t="str">
        <f>IF(OR(I46="Trabajo actualmente como empleado",I46="Trabajo de manera independiente"),_xlfn.LET(_xlpm.turno,MOD(COUNTIF($I$2:I46,I46)-1,5),_xlpm.nivel,VALUE(LEFT(M46,1)),IF(_xlpm.turno=4,"No estoy seguro/a",IF(_xlpm.turno&lt;IF(_xlpm.nivel&lt;=2,1,3),"Sí","No"))),"")</f>
        <v/>
      </c>
      <c r="P46" s="9" t="str">
        <f>_xlfn.LET(_xlpm.perfil,I46,_xlpm.turno,COUNTIF($I$2:I46,_xlpm.perfil)-1,_xlpm.busca,OR(_xlpm.perfil="Actualmente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trabajar"),IF(AND(_xlpm.trabaja,O46="No"),"Todavía no he iniciado una búsqueda activa",CHOOSE(MOD(_xlpm.turno*3,5)+1,"Menos de 1 mes","Entre 1 y 3 meses","Entre 4 y 6 meses","Más de 6 meses","Todavía no he iniciado una búsqueda activa")),"")))</f>
        <v>Menos de 1 mes</v>
      </c>
      <c r="Q46" t="str">
        <f>IF(I46="Tengo un emprendimiento o quiero iniciar uno","",CHOOSE(MOD(INT((COUNTIF($I$2:I46,I46)-1)/7),3)+1,"Sí","No","Tengo una pero necesito actualizarla"))</f>
        <v>Sí</v>
      </c>
      <c r="R46" s="9" t="str">
        <f>IF(I46="Tengo un emprendimiento o quiero iniciar uno","",IF(I46="Busco mi primer empleo","No",IF(MOD(COUNTIF($I$2:I46,I46)-1,2)=0,"Sí","No")))</f>
        <v>No</v>
      </c>
      <c r="S46" t="str">
        <f>IF(I46="Tengo un emprendimiento o quiero iniciar uno","",CHOOSE(MOD(INT((COUNTIF($I$2:I46,I46)-1)/3),10)+1,"Portales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46" t="str">
        <f>IF(I46="Tengo un emprendimiento o quiero iniciar uno","",_xlfn.LET(_xlpm.opcion,MOD(INT((COUNTIF($I$2:I46,I46)-1)/4),6)+1,CHOOSE(IF(AND(_xlpm.opcion=3,Q46="Sí"),1,_xlpm.opcion),"Falta de experiencia","Falta de formación","Dificultades con la hoja de vida","Horarios disponibles","Transporte","Internet")))</f>
        <v>Falta de formación</v>
      </c>
      <c r="U46" s="9" t="str">
        <f>IF(I46="Tengo un emprendimiento o quiero iniciar uno","",IF(MOD(INT((COUNTIF($I$2:I46,I46)-1)/3),2)=0,"Sí","No"))</f>
        <v>No</v>
      </c>
      <c r="V46" s="9" t="str">
        <f>IF(I46="Tengo un emprendimiento o quiero iniciar uno",CHOOSE(MOD(COUNTIF($I$2:I46,I46)-1,3)+1,"Tengo un emprendimiento","Estoy iniciando un emprendimiento","Me interesa emprender"),"")</f>
        <v/>
      </c>
      <c r="W46" t="str">
        <f t="shared" si="5"/>
        <v/>
      </c>
      <c r="X46" s="9" t="str">
        <f>IF(I46="Tengo un emprendimiento o quiero iniciar uno",CHOOSE(MOD(COUNTIF($I$2:I46,I46)-1,5)+1,"Falta de financiación","Falta de conocimientos administrativos","Falta de conocimientos financieros","Falta de tiempo","Falta de herramientas"),"")</f>
        <v/>
      </c>
      <c r="Y46" s="9" t="str">
        <f t="shared" si="6"/>
        <v/>
      </c>
      <c r="Z46" t="str">
        <f>IF(I46="Tengo un emprendimiento o quiero iniciar uno",CHOOSE(INT(MOD((COUNTIF($I$2:I46,I46)-1)*7,39)/13)+1,"Sí","No","No conozco programas de ese tipo"),"")</f>
        <v/>
      </c>
      <c r="AA46" t="str">
        <f t="shared" si="7"/>
        <v>Puedo hacerlo con dificultad</v>
      </c>
      <c r="AB46" t="str">
        <f t="shared" si="7"/>
        <v>Puedo hacerlo con dificultad</v>
      </c>
      <c r="AC46" t="str">
        <f t="shared" si="8"/>
        <v>Puedo hacerlo con dificultad</v>
      </c>
      <c r="AD46" s="9" t="str">
        <f t="shared" si="9"/>
        <v>Puedo hacerlo con ayuda</v>
      </c>
      <c r="AE46" t="str">
        <f t="shared" si="10"/>
        <v>No puedo hacerlo</v>
      </c>
      <c r="AF46" s="9" t="str">
        <f t="shared" si="11"/>
        <v>Crear una hoja de vida;Preparación para entrevista</v>
      </c>
      <c r="AG46" s="9" t="str">
        <f t="shared" si="17"/>
        <v>Falta de experiencia;Falta de información</v>
      </c>
      <c r="AH46" t="str">
        <f t="shared" si="12"/>
        <v>Ferias de empleo</v>
      </c>
      <c r="AI46" s="9" t="str">
        <f t="shared" si="13"/>
        <v>Me es indiferente</v>
      </c>
      <c r="AJ46" s="9" t="str">
        <f t="shared" si="14"/>
        <v>Diurno</v>
      </c>
      <c r="AK46" s="9" t="str">
        <f t="shared" si="15"/>
        <v>Celular</v>
      </c>
    </row>
    <row r="47" spans="1:37">
      <c r="A47" t="str">
        <f t="shared" si="16"/>
        <v>SG046</v>
      </c>
      <c r="B47" t="s">
        <v>418</v>
      </c>
      <c r="C47" s="9" t="s">
        <v>427</v>
      </c>
      <c r="D47" t="str">
        <f t="shared" si="0"/>
        <v>Femenino</v>
      </c>
      <c r="E47" t="str">
        <f t="shared" si="1"/>
        <v>De 18 a 20 años</v>
      </c>
      <c r="F47">
        <f t="shared" si="2"/>
        <v>19</v>
      </c>
      <c r="G47" s="9" t="s">
        <v>428</v>
      </c>
      <c r="H47" s="9" t="str">
        <f t="shared" si="3"/>
        <v>Bachiller</v>
      </c>
      <c r="I47" s="9" t="str">
        <f t="shared" si="4"/>
        <v>Trabajo actualmente como empleado</v>
      </c>
      <c r="J47" s="13" t="str">
        <f>IF(I47="Trabajo actualmente como empleado",IF(MOD((COUNTIF($I$2:I47,"Trabajo actualmente como empleado")-1)*37,150)&lt;100,"Empleado con contrato","Empleado sin contrato formal"),IF(I47="Trabajo de manera independiente","Trabajo independiente",""))</f>
        <v>Empleado sin contrato formal</v>
      </c>
      <c r="K47" s="9" t="str">
        <f>IF(OR(I47="Trabajo actualmente como empleado",I47="Trabajo de manera independiente"),CHOOSE(MOD(COUNTIF($I$2:I47,I47)-1,4)+1,"Menos de 3 meses","De 3 a 6 meses","De 7 a 12 meses","Más de un año"),"")</f>
        <v>Más de un año</v>
      </c>
      <c r="L47" t="str">
        <f>IF(OR(I47="Trabajo actualmente como empleado",I47="Trabajo de manera independiente"),CHOOSE(MOD(COUNTIF($I$2:I47,I47)-1,3)+1,"Sí, completamente","Parcialmente","No"),"")</f>
        <v>Sí, completamente</v>
      </c>
      <c r="M47" t="str">
        <f>IF(OR(I47="Trabajo actualmente como empleado",I47="Trabajo de manera independiente"),CHOOSE(MOD(INT((COUNTIF($I$2:I47,I47)-1)/3),4)+1,"1- Muy satisfecho/a","2- Satisfecho/a","3- Insatisfecho/a","4- Muy insatisfecho/a"),"")</f>
        <v>2- Satisfecho/a</v>
      </c>
      <c r="N47" t="str">
        <f>IF(OR(I47="Trabajo actualmente como empleado",I47="Trabajo de manera independiente"),_xlfn.LET(_xlpm.opcion,MOD(INT((COUNTIF($I$2:I47,I47)-1)/5),6)+1,CHOOSE(IF(AND(_xlpm.opcion=6,L47="Sí, completamente"),5,_xlpm.opcion),"Salario","Estabilidad laboral","Horario","Acceso a prestaciones","Oportunidades de crecimiento","Trabajar en un área relacionada con mi formación")),"")</f>
        <v>Acceso a prestaciones</v>
      </c>
      <c r="O47" s="9" t="str">
        <f>IF(OR(I47="Trabajo actualmente como empleado",I47="Trabajo de manera independiente"),_xlfn.LET(_xlpm.turno,MOD(COUNTIF($I$2:I47,I47)-1,5),_xlpm.nivel,VALUE(LEFT(M47,1)),IF(_xlpm.turno=4,"No estoy seguro/a",IF(_xlpm.turno&lt;IF(_xlpm.nivel&lt;=2,1,3),"Sí","No"))),"")</f>
        <v>Sí</v>
      </c>
      <c r="P47" s="9" t="str">
        <f>_xlfn.LET(_xlpm.perfil,I47,_xlpm.turno,COUNTIF($I$2:I47,_xlpm.perfil)-1,_xlpm.busca,OR(_xlpm.perfil="Actualmente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trabajar"),IF(AND(_xlpm.trabaja,O47="No"),"Todavía no he iniciado una búsqueda activa",CHOOSE(MOD(_xlpm.turno*3,5)+1,"Menos de 1 mes","Entre 1 y 3 meses","Entre 4 y 6 meses","Más de 6 meses","Todavía no he iniciado una búsqueda activa")),"")))</f>
        <v>Menos de 1 mes</v>
      </c>
      <c r="Q47" t="str">
        <f>IF(I47="Tengo un emprendimiento o quiero iniciar uno","",CHOOSE(MOD(INT((COUNTIF($I$2:I47,I47)-1)/7),3)+1,"Sí","No","Tengo una pero necesito actualizarla"))</f>
        <v>Tengo una pero necesito actualizarla</v>
      </c>
      <c r="R47" s="9" t="str">
        <f>IF(I47="Tengo un emprendimiento o quiero iniciar uno","",IF(I47="Busco mi primer empleo","No",IF(MOD(COUNTIF($I$2:I47,I47)-1,2)=0,"Sí","No")))</f>
        <v>No</v>
      </c>
      <c r="S47" t="str">
        <f>IF(I47="Tengo un emprendimiento o quiero iniciar uno","",CHOOSE(MOD(INT((COUNTIF($I$2:I47,I47)-1)/3),10)+1,"Portales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7" t="str">
        <f>IF(I47="Tengo un emprendimiento o quiero iniciar uno","",_xlfn.LET(_xlpm.opcion,MOD(INT((COUNTIF($I$2:I47,I47)-1)/4),6)+1,CHOOSE(IF(AND(_xlpm.opcion=3,Q47="Sí"),1,_xlpm.opcion),"Falta de experiencia","Falta de formación","Dificultades con la hoja de vida","Horarios disponibles","Transporte","Internet")))</f>
        <v>Horarios disponibles</v>
      </c>
      <c r="U47" s="9" t="str">
        <f>IF(I47="Tengo un emprendimiento o quiero iniciar uno","",IF(MOD(INT((COUNTIF($I$2:I47,I47)-1)/3),2)=0,"Sí","No"))</f>
        <v>No</v>
      </c>
      <c r="V47" s="9" t="str">
        <f>IF(I47="Tengo un emprendimiento o quiero iniciar uno",CHOOSE(MOD(COUNTIF($I$2:I47,I47)-1,3)+1,"Tengo un emprendimiento","Estoy iniciando un emprendimiento","Me interesa emprender"),"")</f>
        <v/>
      </c>
      <c r="W47" t="str">
        <f t="shared" si="5"/>
        <v/>
      </c>
      <c r="X47" s="9" t="str">
        <f>IF(I47="Tengo un emprendimiento o quiero iniciar uno",CHOOSE(MOD(COUNTIF($I$2:I47,I47)-1,5)+1,"Falta de financiación","Falta de conocimientos administrativos","Falta de conocimientos financieros","Falta de tiempo","Falta de herramientas"),"")</f>
        <v/>
      </c>
      <c r="Y47" s="9" t="str">
        <f t="shared" si="6"/>
        <v/>
      </c>
      <c r="Z47" t="str">
        <f>IF(I47="Tengo un emprendimiento o quiero iniciar uno",CHOOSE(INT(MOD((COUNTIF($I$2:I47,I47)-1)*7,39)/13)+1,"Sí","No","No conozco programas de ese tipo"),"")</f>
        <v/>
      </c>
      <c r="AA47" t="str">
        <f t="shared" si="7"/>
        <v>Puedo hacerlo sin ayuda</v>
      </c>
      <c r="AB47" t="str">
        <f t="shared" si="7"/>
        <v>Puedo hacerlo sin ayuda</v>
      </c>
      <c r="AC47" t="str">
        <f t="shared" si="8"/>
        <v>Puedo hacerlo sin ayuda</v>
      </c>
      <c r="AD47" s="9" t="str">
        <f t="shared" si="9"/>
        <v>Puedo hacerlo con dificultad</v>
      </c>
      <c r="AE47" t="str">
        <f t="shared" si="10"/>
        <v>No puedo hacerlo</v>
      </c>
      <c r="AF47" s="9" t="str">
        <f t="shared" si="11"/>
        <v>Comunicación;Liderazgo</v>
      </c>
      <c r="AG47" s="9" t="str">
        <f t="shared" si="17"/>
        <v>Costos de transporte;Distancia</v>
      </c>
      <c r="AH47" t="str">
        <f t="shared" si="12"/>
        <v>No conozco ninguno</v>
      </c>
      <c r="AI47" s="9" t="str">
        <f t="shared" si="13"/>
        <v>Presencial</v>
      </c>
      <c r="AJ47" s="9" t="str">
        <f t="shared" si="14"/>
        <v>Mañana entre semana</v>
      </c>
      <c r="AK47" s="9" t="str">
        <f t="shared" si="15"/>
        <v>WhatsApp</v>
      </c>
    </row>
    <row r="48" spans="1:37">
      <c r="A48" t="str">
        <f t="shared" si="16"/>
        <v>SG047</v>
      </c>
      <c r="B48" t="s">
        <v>418</v>
      </c>
      <c r="C48" s="9" t="s">
        <v>427</v>
      </c>
      <c r="D48" t="str">
        <f t="shared" si="0"/>
        <v>Masculino</v>
      </c>
      <c r="E48" t="str">
        <f t="shared" si="1"/>
        <v>De 20 a 22 años</v>
      </c>
      <c r="F48">
        <f t="shared" si="2"/>
        <v>21</v>
      </c>
      <c r="G48" s="9" t="s">
        <v>428</v>
      </c>
      <c r="H48" s="9" t="str">
        <f t="shared" si="3"/>
        <v>Técnico</v>
      </c>
      <c r="I48" s="9" t="str">
        <f t="shared" si="4"/>
        <v>Actualmente no trabajo y estoy buscando empleo</v>
      </c>
      <c r="J48" s="13" t="str">
        <f>IF(I48="Trabajo actualmente como empleado",IF(MOD((COUNTIF($I$2:I48,"Trabajo actualmente como empleado")-1)*37,150)&lt;100,"Empleado con contrato","Empleado sin contrato formal"),IF(I48="Trabajo de manera independiente","Trabajo independiente",""))</f>
        <v/>
      </c>
      <c r="K48" s="9" t="str">
        <f>IF(OR(I48="Trabajo actualmente como empleado",I48="Trabajo de manera independiente"),CHOOSE(MOD(COUNTIF($I$2:I48,I48)-1,4)+1,"Menos de 3 meses","De 3 a 6 meses","De 7 a 12 meses","Más de un año"),"")</f>
        <v/>
      </c>
      <c r="L48" t="str">
        <f>IF(OR(I48="Trabajo actualmente como empleado",I48="Trabajo de manera independiente"),CHOOSE(MOD(COUNTIF($I$2:I48,I48)-1,3)+1,"Sí, completamente","Parcialmente","No"),"")</f>
        <v/>
      </c>
      <c r="M48" t="str">
        <f>IF(OR(I48="Trabajo actualmente como empleado",I48="Trabajo de manera independiente"),CHOOSE(MOD(INT((COUNTIF($I$2:I48,I48)-1)/3),4)+1,"1- Muy satisfecho/a","2- Satisfecho/a","3- Insatisfecho/a","4- Muy insatisfecho/a"),"")</f>
        <v/>
      </c>
      <c r="N48" t="str">
        <f>IF(OR(I48="Trabajo actualmente como empleado",I48="Trabajo de manera independiente"),_xlfn.LET(_xlpm.opcion,MOD(INT((COUNTIF($I$2:I48,I48)-1)/5),6)+1,CHOOSE(IF(AND(_xlpm.opcion=6,L48="Sí, completamente"),5,_xlpm.opcion),"Salario","Estabilidad laboral","Horario","Acceso a prestaciones","Oportunidades de crecimiento","Trabajar en un área relacionada con mi formación")),"")</f>
        <v/>
      </c>
      <c r="O48" s="9" t="str">
        <f>IF(OR(I48="Trabajo actualmente como empleado",I48="Trabajo de manera independiente"),_xlfn.LET(_xlpm.turno,MOD(COUNTIF($I$2:I48,I48)-1,5),_xlpm.nivel,VALUE(LEFT(M48,1)),IF(_xlpm.turno=4,"No estoy seguro/a",IF(_xlpm.turno&lt;IF(_xlpm.nivel&lt;=2,1,3),"Sí","No"))),"")</f>
        <v/>
      </c>
      <c r="P48" s="9" t="str">
        <f>_xlfn.LET(_xlpm.perfil,I48,_xlpm.turno,COUNTIF($I$2:I48,_xlpm.perfil)-1,_xlpm.busca,OR(_xlpm.perfil="Actualmente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trabajar"),IF(AND(_xlpm.trabaja,O48="No"),"Todavía no he iniciado una búsqueda activa",CHOOSE(MOD(_xlpm.turno*3,5)+1,"Menos de 1 mes","Entre 1 y 3 meses","Entre 4 y 6 meses","Más de 6 meses","Todavía no he iniciado una búsqueda activa")),"")))</f>
        <v>Entre 1 y 3 meses</v>
      </c>
      <c r="Q48" t="str">
        <f>IF(I48="Tengo un emprendimiento o quiero iniciar uno","",CHOOSE(MOD(INT((COUNTIF($I$2:I48,I48)-1)/7),3)+1,"Sí","No","Tengo una pero necesito actualizarla"))</f>
        <v>No</v>
      </c>
      <c r="R48" s="9" t="str">
        <f>IF(I48="Tengo un emprendimiento o quiero iniciar uno","",IF(I48="Busco mi primer empleo","No",IF(MOD(COUNTIF($I$2:I48,I48)-1,2)=0,"Sí","No")))</f>
        <v>No</v>
      </c>
      <c r="S48" t="str">
        <f>IF(I48="Tengo un emprendimiento o quiero iniciar uno","",CHOOSE(MOD(INT((COUNTIF($I$2:I48,I48)-1)/3),10)+1,"Portales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8" t="str">
        <f>IF(I48="Tengo un emprendimiento o quiero iniciar uno","",_xlfn.LET(_xlpm.opcion,MOD(INT((COUNTIF($I$2:I48,I48)-1)/4),6)+1,CHOOSE(IF(AND(_xlpm.opcion=3,Q48="Sí"),1,_xlpm.opcion),"Falta de experiencia","Falta de formación","Dificultades con la hoja de vida","Horarios disponibles","Transporte","Internet")))</f>
        <v>Falta de formación</v>
      </c>
      <c r="U48" s="9" t="str">
        <f>IF(I48="Tengo un emprendimiento o quiero iniciar uno","",IF(MOD(INT((COUNTIF($I$2:I48,I48)-1)/3),2)=0,"Sí","No"))</f>
        <v>Sí</v>
      </c>
      <c r="V48" s="9" t="str">
        <f>IF(I48="Tengo un emprendimiento o quiero iniciar uno",CHOOSE(MOD(COUNTIF($I$2:I48,I48)-1,3)+1,"Tengo un emprendimiento","Estoy iniciando un emprendimiento","Me interesa emprender"),"")</f>
        <v/>
      </c>
      <c r="W48" t="str">
        <f t="shared" si="5"/>
        <v/>
      </c>
      <c r="X48" s="9" t="str">
        <f>IF(I48="Tengo un emprendimiento o quiero iniciar uno",CHOOSE(MOD(COUNTIF($I$2:I48,I48)-1,5)+1,"Falta de financiación","Falta de conocimientos administrativos","Falta de conocimientos financieros","Falta de tiempo","Falta de herramientas"),"")</f>
        <v/>
      </c>
      <c r="Y48" s="9" t="str">
        <f t="shared" si="6"/>
        <v/>
      </c>
      <c r="Z48" t="str">
        <f>IF(I48="Tengo un emprendimiento o quiero iniciar uno",CHOOSE(INT(MOD((COUNTIF($I$2:I48,I48)-1)*7,39)/13)+1,"Sí","No","No conozco programas de ese tipo"),"")</f>
        <v/>
      </c>
      <c r="AA48" t="str">
        <f t="shared" si="7"/>
        <v>Puedo hacerlo con ayuda</v>
      </c>
      <c r="AB48" t="str">
        <f t="shared" si="7"/>
        <v>Puedo hacerlo con ayuda</v>
      </c>
      <c r="AC48" t="str">
        <f t="shared" si="8"/>
        <v>Puedo hacerlo con ayuda</v>
      </c>
      <c r="AD48" s="9" t="str">
        <f t="shared" si="9"/>
        <v>Puedo hacerlo sin ayuda</v>
      </c>
      <c r="AE48" t="str">
        <f t="shared" si="10"/>
        <v>Puedo hacerlo con ayuda</v>
      </c>
      <c r="AF48" s="9" t="str">
        <f t="shared" si="11"/>
        <v>Herramientas digitales;Educación financiera</v>
      </c>
      <c r="AG48" s="9" t="str">
        <f t="shared" si="17"/>
        <v>Costos de transporte;Distancia</v>
      </c>
      <c r="AH48" t="str">
        <f t="shared" si="12"/>
        <v>Oficina de orientación laboral</v>
      </c>
      <c r="AI48" s="9" t="str">
        <f t="shared" si="13"/>
        <v>Virtual</v>
      </c>
      <c r="AJ48" s="9" t="str">
        <f t="shared" si="14"/>
        <v>Fines de semana</v>
      </c>
      <c r="AK48" s="9" t="str">
        <f t="shared" si="15"/>
        <v>Redes sociales</v>
      </c>
    </row>
    <row r="49" spans="1:37">
      <c r="A49" t="str">
        <f t="shared" si="16"/>
        <v>SG048</v>
      </c>
      <c r="B49" t="s">
        <v>418</v>
      </c>
      <c r="C49" s="9" t="s">
        <v>427</v>
      </c>
      <c r="D49" t="str">
        <f t="shared" si="0"/>
        <v>Masculino</v>
      </c>
      <c r="E49" t="str">
        <f t="shared" si="1"/>
        <v>De 22 a 24 años</v>
      </c>
      <c r="F49">
        <f t="shared" si="2"/>
        <v>23</v>
      </c>
      <c r="G49" s="9" t="s">
        <v>428</v>
      </c>
      <c r="H49" s="9" t="str">
        <f t="shared" si="3"/>
        <v>Técnico</v>
      </c>
      <c r="I49" s="9" t="str">
        <f t="shared" si="4"/>
        <v>Tengo un emprendimiento o quiero iniciar uno</v>
      </c>
      <c r="J49" s="13" t="str">
        <f>IF(I49="Trabajo actualmente como empleado",IF(MOD((COUNTIF($I$2:I49,"Trabajo actualmente como empleado")-1)*37,150)&lt;100,"Empleado con contrato","Empleado sin contrato formal"),IF(I49="Trabajo de manera independiente","Trabajo independiente",""))</f>
        <v/>
      </c>
      <c r="K49" s="9" t="str">
        <f>IF(OR(I49="Trabajo actualmente como empleado",I49="Trabajo de manera independiente"),CHOOSE(MOD(COUNTIF($I$2:I49,I49)-1,4)+1,"Menos de 3 meses","De 3 a 6 meses","De 7 a 12 meses","Más de un año"),"")</f>
        <v/>
      </c>
      <c r="L49" t="str">
        <f>IF(OR(I49="Trabajo actualmente como empleado",I49="Trabajo de manera independiente"),CHOOSE(MOD(COUNTIF($I$2:I49,I49)-1,3)+1,"Sí, completamente","Parcialmente","No"),"")</f>
        <v/>
      </c>
      <c r="M49" t="str">
        <f>IF(OR(I49="Trabajo actualmente como empleado",I49="Trabajo de manera independiente"),CHOOSE(MOD(INT((COUNTIF($I$2:I49,I49)-1)/3),4)+1,"1- Muy satisfecho/a","2- Satisfecho/a","3- Insatisfecho/a","4- Muy insatisfecho/a"),"")</f>
        <v/>
      </c>
      <c r="N49" t="str">
        <f>IF(OR(I49="Trabajo actualmente como empleado",I49="Trabajo de manera independiente"),_xlfn.LET(_xlpm.opcion,MOD(INT((COUNTIF($I$2:I49,I49)-1)/5),6)+1,CHOOSE(IF(AND(_xlpm.opcion=6,L49="Sí, completamente"),5,_xlpm.opcion),"Salario","Estabilidad laboral","Horario","Acceso a prestaciones","Oportunidades de crecimiento","Trabajar en un área relacionada con mi formación")),"")</f>
        <v/>
      </c>
      <c r="O49" s="9" t="str">
        <f>IF(OR(I49="Trabajo actualmente como empleado",I49="Trabajo de manera independiente"),_xlfn.LET(_xlpm.turno,MOD(COUNTIF($I$2:I49,I49)-1,5),_xlpm.nivel,VALUE(LEFT(M49,1)),IF(_xlpm.turno=4,"No estoy seguro/a",IF(_xlpm.turno&lt;IF(_xlpm.nivel&lt;=2,1,3),"Sí","No"))),"")</f>
        <v/>
      </c>
      <c r="P49" s="9" t="str">
        <f>_xlfn.LET(_xlpm.perfil,I49,_xlpm.turno,COUNTIF($I$2:I49,_xlpm.perfil)-1,_xlpm.busca,OR(_xlpm.perfil="Actualmente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trabajar"),IF(AND(_xlpm.trabaja,O49="No"),"Todavía no he iniciado una búsqueda activa",CHOOSE(MOD(_xlpm.turno*3,5)+1,"Menos de 1 mes","Entre 1 y 3 meses","Entre 4 y 6 meses","Más de 6 meses","Todavía no he iniciado una búsqueda activa")),"")))</f>
        <v/>
      </c>
      <c r="Q49" t="str">
        <f>IF(I49="Tengo un emprendimiento o quiero iniciar uno","",CHOOSE(MOD(INT((COUNTIF($I$2:I49,I49)-1)/7),3)+1,"Sí","No","Tengo una pero necesito actualizarla"))</f>
        <v/>
      </c>
      <c r="R49" s="9" t="str">
        <f>IF(I49="Tengo un emprendimiento o quiero iniciar uno","",IF(I49="Busco mi primer empleo","No",IF(MOD(COUNTIF($I$2:I49,I49)-1,2)=0,"Sí","No")))</f>
        <v/>
      </c>
      <c r="S49" t="str">
        <f>IF(I49="Tengo un emprendimiento o quiero iniciar uno","",CHOOSE(MOD(INT((COUNTIF($I$2:I49,I49)-1)/3),10)+1,"Portales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49" t="str">
        <f>IF(I49="Tengo un emprendimiento o quiero iniciar uno","",_xlfn.LET(_xlpm.opcion,MOD(INT((COUNTIF($I$2:I49,I49)-1)/4),6)+1,CHOOSE(IF(AND(_xlpm.opcion=3,Q49="Sí"),1,_xlpm.opcion),"Falta de experiencia","Falta de formación","Dificultades con la hoja de vida","Horarios disponibles","Transporte","Internet")))</f>
        <v/>
      </c>
      <c r="U49" s="9" t="str">
        <f>IF(I49="Tengo un emprendimiento o quiero iniciar uno","",IF(MOD(INT((COUNTIF($I$2:I49,I49)-1)/3),2)=0,"Sí","No"))</f>
        <v/>
      </c>
      <c r="V49" s="9" t="str">
        <f>IF(I49="Tengo un emprendimiento o quiero iniciar uno",CHOOSE(MOD(COUNTIF($I$2:I49,I49)-1,3)+1,"Tengo un emprendimiento","Estoy iniciando un emprendimiento","Me interesa emprender"),"")</f>
        <v>Tengo un emprendimiento</v>
      </c>
      <c r="W49" t="str">
        <f t="shared" si="5"/>
        <v>Funcionamiento estable</v>
      </c>
      <c r="X49" s="9" t="str">
        <f>IF(I49="Tengo un emprendimiento o quiero iniciar uno",CHOOSE(MOD(COUNTIF($I$2:I49,I49)-1,5)+1,"Falta de financiación","Falta de conocimientos administrativos","Falta de conocimientos financieros","Falta de tiempo","Falta de herramientas"),"")</f>
        <v>Falta de tiempo</v>
      </c>
      <c r="Y49" s="9" t="str">
        <f t="shared" si="6"/>
        <v>Falta de tiempo</v>
      </c>
      <c r="Z49" t="str">
        <f>IF(I49="Tengo un emprendimiento o quiero iniciar uno",CHOOSE(INT(MOD((COUNTIF($I$2:I49,I49)-1)*7,39)/13)+1,"Sí","No","No conozco programas de ese tipo"),"")</f>
        <v>No</v>
      </c>
      <c r="AA49" t="str">
        <f t="shared" si="7"/>
        <v>Puedo hacerlo con dificultad</v>
      </c>
      <c r="AB49" t="str">
        <f t="shared" si="7"/>
        <v>Puedo hacerlo con dificultad</v>
      </c>
      <c r="AC49" t="str">
        <f t="shared" si="8"/>
        <v>Puedo hacerlo con dificultad</v>
      </c>
      <c r="AD49" s="9" t="str">
        <f t="shared" si="9"/>
        <v>No puedo hacerlo</v>
      </c>
      <c r="AE49" t="str">
        <f t="shared" si="10"/>
        <v>Puedo hacerlo con dificultad</v>
      </c>
      <c r="AF49" s="9" t="str">
        <f t="shared" si="11"/>
        <v>Crear una hoja de vida</v>
      </c>
      <c r="AG49" s="9" t="str">
        <f t="shared" si="17"/>
        <v>Costos de transporte;Distancia</v>
      </c>
      <c r="AH49" t="str">
        <f t="shared" si="12"/>
        <v>Programas de emprendimiento</v>
      </c>
      <c r="AI49" s="9" t="str">
        <f t="shared" si="13"/>
        <v>Presencial y virtual</v>
      </c>
      <c r="AJ49" s="9" t="str">
        <f t="shared" si="14"/>
        <v>Diurno</v>
      </c>
      <c r="AK49" s="9" t="str">
        <f t="shared" si="15"/>
        <v>Celular</v>
      </c>
    </row>
    <row r="50" spans="1:37">
      <c r="A50" t="str">
        <f t="shared" si="16"/>
        <v>SG049</v>
      </c>
      <c r="B50" t="s">
        <v>418</v>
      </c>
      <c r="C50" s="9" t="s">
        <v>427</v>
      </c>
      <c r="D50" t="str">
        <f t="shared" si="0"/>
        <v>Femenino</v>
      </c>
      <c r="E50" t="str">
        <f t="shared" si="1"/>
        <v>De 24 a 26 años</v>
      </c>
      <c r="F50">
        <f t="shared" si="2"/>
        <v>25</v>
      </c>
      <c r="G50" s="9" t="s">
        <v>428</v>
      </c>
      <c r="H50" s="9" t="str">
        <f t="shared" si="3"/>
        <v>Tecnólogo</v>
      </c>
      <c r="I50" s="9" t="str">
        <f t="shared" si="4"/>
        <v>Trabajo de manera independiente</v>
      </c>
      <c r="J50" s="13" t="str">
        <f>IF(I50="Trabajo actualmente como empleado",IF(MOD((COUNTIF($I$2:I50,"Trabajo actualmente como empleado")-1)*37,150)&lt;100,"Empleado con contrato","Empleado sin contrato formal"),IF(I50="Trabajo de manera independiente","Trabajo independiente",""))</f>
        <v>Trabajo independiente</v>
      </c>
      <c r="K50" s="9" t="str">
        <f>IF(OR(I50="Trabajo actualmente como empleado",I50="Trabajo de manera independiente"),CHOOSE(MOD(COUNTIF($I$2:I50,I50)-1,4)+1,"Menos de 3 meses","De 3 a 6 meses","De 7 a 12 meses","Más de un año"),"")</f>
        <v>Menos de 3 meses</v>
      </c>
      <c r="L50" t="str">
        <f>IF(OR(I50="Trabajo actualmente como empleado",I50="Trabajo de manera independiente"),CHOOSE(MOD(COUNTIF($I$2:I50,I50)-1,3)+1,"Sí, completamente","Parcialmente","No"),"")</f>
        <v>No</v>
      </c>
      <c r="M50" t="str">
        <f>IF(OR(I50="Trabajo actualmente como empleado",I50="Trabajo de manera independiente"),CHOOSE(MOD(INT((COUNTIF($I$2:I50,I50)-1)/3),4)+1,"1- Muy satisfecho/a","2- Satisfecho/a","3- Insatisfecho/a","4- Muy insatisfecho/a"),"")</f>
        <v>3- Insatisfecho/a</v>
      </c>
      <c r="N50" t="str">
        <f>IF(OR(I50="Trabajo actualmente como empleado",I50="Trabajo de manera independiente"),_xlfn.LET(_xlpm.opcion,MOD(INT((COUNTIF($I$2:I50,I50)-1)/5),6)+1,CHOOSE(IF(AND(_xlpm.opcion=6,L50="Sí, completamente"),5,_xlpm.opcion),"Salario","Estabilidad laboral","Horario","Acceso a prestaciones","Oportunidades de crecimiento","Trabajar en un área relacionada con mi formación")),"")</f>
        <v>Estabilidad laboral</v>
      </c>
      <c r="O50" s="9" t="str">
        <f>IF(OR(I50="Trabajo actualmente como empleado",I50="Trabajo de manera independiente"),_xlfn.LET(_xlpm.turno,MOD(COUNTIF($I$2:I50,I50)-1,5),_xlpm.nivel,VALUE(LEFT(M50,1)),IF(_xlpm.turno=4,"No estoy seguro/a",IF(_xlpm.turno&lt;IF(_xlpm.nivel&lt;=2,1,3),"Sí","No"))),"")</f>
        <v>No</v>
      </c>
      <c r="P50" s="9" t="str">
        <f>_xlfn.LET(_xlpm.perfil,I50,_xlpm.turno,COUNTIF($I$2:I50,_xlpm.perfil)-1,_xlpm.busca,OR(_xlpm.perfil="Actualmente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50" t="str">
        <f>IF(I50="Tengo un emprendimiento o quiero iniciar uno","",CHOOSE(MOD(INT((COUNTIF($I$2:I50,I50)-1)/7),3)+1,"Sí","No","Tengo una pero necesito actualizarla"))</f>
        <v>No</v>
      </c>
      <c r="R50" s="9" t="str">
        <f>IF(I50="Tengo un emprendimiento o quiero iniciar uno","",IF(I50="Busco mi primer empleo","No",IF(MOD(COUNTIF($I$2:I50,I50)-1,2)=0,"Sí","No")))</f>
        <v>Sí</v>
      </c>
      <c r="S50" t="str">
        <f>IF(I50="Tengo un emprendimiento o quiero iniciar uno","",CHOOSE(MOD(INT((COUNTIF($I$2:I50,I50)-1)/3),10)+1,"Portales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50" t="str">
        <f>IF(I50="Tengo un emprendimiento o quiero iniciar uno","",_xlfn.LET(_xlpm.opcion,MOD(INT((COUNTIF($I$2:I50,I50)-1)/4),6)+1,CHOOSE(IF(AND(_xlpm.opcion=3,Q50="Sí"),1,_xlpm.opcion),"Falta de experiencia","Falta de formación","Dificultades con la hoja de vida","Horarios disponibles","Transporte","Internet")))</f>
        <v>Dificultades con la hoja de vida</v>
      </c>
      <c r="U50" s="9" t="str">
        <f>IF(I50="Tengo un emprendimiento o quiero iniciar uno","",IF(MOD(INT((COUNTIF($I$2:I50,I50)-1)/3),2)=0,"Sí","No"))</f>
        <v>Sí</v>
      </c>
      <c r="V50" s="9" t="str">
        <f>IF(I50="Tengo un emprendimiento o quiero iniciar uno",CHOOSE(MOD(COUNTIF($I$2:I50,I50)-1,3)+1,"Tengo un emprendimiento","Estoy iniciando un emprendimiento","Me interesa emprender"),"")</f>
        <v/>
      </c>
      <c r="W50" t="str">
        <f t="shared" si="5"/>
        <v/>
      </c>
      <c r="X50" s="9" t="str">
        <f>IF(I50="Tengo un emprendimiento o quiero iniciar uno",CHOOSE(MOD(COUNTIF($I$2:I50,I50)-1,5)+1,"Falta de financiación","Falta de conocimientos administrativos","Falta de conocimientos financieros","Falta de tiempo","Falta de herramientas"),"")</f>
        <v/>
      </c>
      <c r="Y50" s="9" t="str">
        <f t="shared" si="6"/>
        <v/>
      </c>
      <c r="Z50" t="str">
        <f>IF(I50="Tengo un emprendimiento o quiero iniciar uno",CHOOSE(INT(MOD((COUNTIF($I$2:I50,I50)-1)*7,39)/13)+1,"Sí","No","No conozco programas de ese tipo"),"")</f>
        <v/>
      </c>
      <c r="AA50" t="str">
        <f t="shared" si="7"/>
        <v>No puedo hacerlo</v>
      </c>
      <c r="AB50" t="str">
        <f t="shared" si="7"/>
        <v>No puedo hacerlo</v>
      </c>
      <c r="AC50" t="str">
        <f t="shared" si="8"/>
        <v>Puedo hacerlo sin ayuda</v>
      </c>
      <c r="AD50" s="9" t="str">
        <f t="shared" si="9"/>
        <v>No puedo hacerlo</v>
      </c>
      <c r="AE50" t="str">
        <f t="shared" si="10"/>
        <v>Puedo hacerlo con dificultad</v>
      </c>
      <c r="AF50" s="9" t="str">
        <f t="shared" si="11"/>
        <v>Preparación para entrevista</v>
      </c>
      <c r="AG50" s="9" t="str">
        <f t="shared" si="17"/>
        <v>Falta de información</v>
      </c>
      <c r="AH50" t="str">
        <f t="shared" si="12"/>
        <v>Oficina de orientación laboral</v>
      </c>
      <c r="AI50" s="9" t="str">
        <f t="shared" si="13"/>
        <v>Me es indiferente</v>
      </c>
      <c r="AJ50" s="9" t="str">
        <f t="shared" si="14"/>
        <v>Mañana entre semana</v>
      </c>
      <c r="AK50" s="9" t="str">
        <f t="shared" si="15"/>
        <v>Correo electrónico</v>
      </c>
    </row>
    <row r="51" spans="1:37">
      <c r="A51" t="str">
        <f t="shared" si="16"/>
        <v>SG050</v>
      </c>
      <c r="B51" t="s">
        <v>418</v>
      </c>
      <c r="C51" s="9" t="s">
        <v>427</v>
      </c>
      <c r="D51" t="str">
        <f t="shared" si="0"/>
        <v>Masculino</v>
      </c>
      <c r="E51" t="str">
        <f t="shared" si="1"/>
        <v>De 26 a 28 años</v>
      </c>
      <c r="F51">
        <f t="shared" si="2"/>
        <v>26</v>
      </c>
      <c r="G51" s="9" t="s">
        <v>428</v>
      </c>
      <c r="H51" s="9" t="str">
        <f t="shared" si="3"/>
        <v>Profesional</v>
      </c>
      <c r="I51" s="9" t="str">
        <f t="shared" si="4"/>
        <v>Busco mi primer empleo</v>
      </c>
      <c r="J51" s="13" t="str">
        <f>IF(I51="Trabajo actualmente como empleado",IF(MOD((COUNTIF($I$2:I51,"Trabajo actualmente como empleado")-1)*37,150)&lt;100,"Empleado con contrato","Empleado sin contrato formal"),IF(I51="Trabajo de manera independiente","Trabajo independiente",""))</f>
        <v/>
      </c>
      <c r="K51" s="9" t="str">
        <f>IF(OR(I51="Trabajo actualmente como empleado",I51="Trabajo de manera independiente"),CHOOSE(MOD(COUNTIF($I$2:I51,I51)-1,4)+1,"Menos de 3 meses","De 3 a 6 meses","De 7 a 12 meses","Más de un año"),"")</f>
        <v/>
      </c>
      <c r="L51" t="str">
        <f>IF(OR(I51="Trabajo actualmente como empleado",I51="Trabajo de manera independiente"),CHOOSE(MOD(COUNTIF($I$2:I51,I51)-1,3)+1,"Sí, completamente","Parcialmente","No"),"")</f>
        <v/>
      </c>
      <c r="M51" t="str">
        <f>IF(OR(I51="Trabajo actualmente como empleado",I51="Trabajo de manera independiente"),CHOOSE(MOD(INT((COUNTIF($I$2:I51,I51)-1)/3),4)+1,"1- Muy satisfecho/a","2- Satisfecho/a","3- Insatisfecho/a","4- Muy insatisfecho/a"),"")</f>
        <v/>
      </c>
      <c r="N51" t="str">
        <f>IF(OR(I51="Trabajo actualmente como empleado",I51="Trabajo de manera independiente"),_xlfn.LET(_xlpm.opcion,MOD(INT((COUNTIF($I$2:I51,I51)-1)/5),6)+1,CHOOSE(IF(AND(_xlpm.opcion=6,L51="Sí, completamente"),5,_xlpm.opcion),"Salario","Estabilidad laboral","Horario","Acceso a prestaciones","Oportunidades de crecimiento","Trabajar en un área relacionada con mi formación")),"")</f>
        <v/>
      </c>
      <c r="O51" s="9" t="str">
        <f>IF(OR(I51="Trabajo actualmente como empleado",I51="Trabajo de manera independiente"),_xlfn.LET(_xlpm.turno,MOD(COUNTIF($I$2:I51,I51)-1,5),_xlpm.nivel,VALUE(LEFT(M51,1)),IF(_xlpm.turno=4,"No estoy seguro/a",IF(_xlpm.turno&lt;IF(_xlpm.nivel&lt;=2,1,3),"Sí","No"))),"")</f>
        <v/>
      </c>
      <c r="P51" s="9" t="str">
        <f>_xlfn.LET(_xlpm.perfil,I51,_xlpm.turno,COUNTIF($I$2:I51,_xlpm.perfil)-1,_xlpm.busca,OR(_xlpm.perfil="Actualmente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trabajar"),IF(AND(_xlpm.trabaja,O51="No"),"Todavía no he iniciado una búsqueda activa",CHOOSE(MOD(_xlpm.turno*3,5)+1,"Menos de 1 mes","Entre 1 y 3 meses","Entre 4 y 6 meses","Más de 6 meses","Todavía no he iniciado una búsqueda activa")),"")))</f>
        <v>Entre 4 y 6 meses</v>
      </c>
      <c r="Q51" t="str">
        <f>IF(I51="Tengo un emprendimiento o quiero iniciar uno","",CHOOSE(MOD(INT((COUNTIF($I$2:I51,I51)-1)/7),3)+1,"Sí","No","Tengo una pero necesito actualizarla"))</f>
        <v>Sí</v>
      </c>
      <c r="R51" s="9" t="str">
        <f>IF(I51="Tengo un emprendimiento o quiero iniciar uno","",IF(I51="Busco mi primer empleo","No",IF(MOD(COUNTIF($I$2:I51,I51)-1,2)=0,"Sí","No")))</f>
        <v>No</v>
      </c>
      <c r="S51" t="str">
        <f>IF(I51="Tengo un emprendimiento o quiero iniciar uno","",CHOOSE(MOD(INT((COUNTIF($I$2:I51,I51)-1)/3),10)+1,"Portales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51" t="str">
        <f>IF(I51="Tengo un emprendimiento o quiero iniciar uno","",_xlfn.LET(_xlpm.opcion,MOD(INT((COUNTIF($I$2:I51,I51)-1)/4),6)+1,CHOOSE(IF(AND(_xlpm.opcion=3,Q51="Sí"),1,_xlpm.opcion),"Falta de experiencia","Falta de formación","Dificultades con la hoja de vida","Horarios disponibles","Transporte","Internet")))</f>
        <v>Falta de formación</v>
      </c>
      <c r="U51" s="9" t="str">
        <f>IF(I51="Tengo un emprendimiento o quiero iniciar uno","",IF(MOD(INT((COUNTIF($I$2:I51,I51)-1)/3),2)=0,"Sí","No"))</f>
        <v>Sí</v>
      </c>
      <c r="V51" s="9" t="str">
        <f>IF(I51="Tengo un emprendimiento o quiero iniciar uno",CHOOSE(MOD(COUNTIF($I$2:I51,I51)-1,3)+1,"Tengo un emprendimiento","Estoy iniciando un emprendimiento","Me interesa emprender"),"")</f>
        <v/>
      </c>
      <c r="W51" t="str">
        <f t="shared" si="5"/>
        <v/>
      </c>
      <c r="X51" s="9" t="str">
        <f>IF(I51="Tengo un emprendimiento o quiero iniciar uno",CHOOSE(MOD(COUNTIF($I$2:I51,I51)-1,5)+1,"Falta de financiación","Falta de conocimientos administrativos","Falta de conocimientos financieros","Falta de tiempo","Falta de herramientas"),"")</f>
        <v/>
      </c>
      <c r="Y51" s="9" t="str">
        <f t="shared" si="6"/>
        <v/>
      </c>
      <c r="Z51" t="str">
        <f>IF(I51="Tengo un emprendimiento o quiero iniciar uno",CHOOSE(INT(MOD((COUNTIF($I$2:I51,I51)-1)*7,39)/13)+1,"Sí","No","No conozco programas de ese tipo"),"")</f>
        <v/>
      </c>
      <c r="AA51" t="str">
        <f t="shared" si="7"/>
        <v>Puedo hacerlo con dificultad</v>
      </c>
      <c r="AB51" t="str">
        <f t="shared" si="7"/>
        <v>Puedo hacerlo con dificultad</v>
      </c>
      <c r="AC51" t="str">
        <f t="shared" si="8"/>
        <v>No puedo hacerlo</v>
      </c>
      <c r="AD51" s="9" t="str">
        <f t="shared" si="9"/>
        <v>Puedo hacerlo con ayuda</v>
      </c>
      <c r="AE51" t="str">
        <f t="shared" si="10"/>
        <v>Puedo hacerlo sin ayuda</v>
      </c>
      <c r="AF51" s="9" t="str">
        <f t="shared" si="11"/>
        <v>Comunicación</v>
      </c>
      <c r="AG51" s="9" t="str">
        <f t="shared" si="17"/>
        <v>Falta de información</v>
      </c>
      <c r="AH51" t="str">
        <f t="shared" si="12"/>
        <v>Ferias de empleo</v>
      </c>
      <c r="AI51" s="9" t="str">
        <f t="shared" si="13"/>
        <v>Presencial</v>
      </c>
      <c r="AJ51" s="9" t="str">
        <f t="shared" si="14"/>
        <v>Fines de semana</v>
      </c>
      <c r="AK51" s="9" t="str">
        <f t="shared" si="15"/>
        <v>Redes sociales</v>
      </c>
    </row>
    <row r="52" spans="1:37">
      <c r="A52" t="str">
        <f t="shared" si="16"/>
        <v>SG051</v>
      </c>
      <c r="B52" t="s">
        <v>418</v>
      </c>
      <c r="C52" s="9" t="s">
        <v>427</v>
      </c>
      <c r="D52" t="str">
        <f t="shared" si="0"/>
        <v>Masculino</v>
      </c>
      <c r="E52" t="str">
        <f t="shared" si="1"/>
        <v>De 18 a 20 años</v>
      </c>
      <c r="F52">
        <f t="shared" si="2"/>
        <v>18</v>
      </c>
      <c r="G52" s="9" t="s">
        <v>428</v>
      </c>
      <c r="H52" s="9" t="str">
        <f t="shared" si="3"/>
        <v>Técnico</v>
      </c>
      <c r="I52" s="9" t="str">
        <f t="shared" si="4"/>
        <v>Trabajo actualmente como empleado</v>
      </c>
      <c r="J52" s="13" t="str">
        <f>IF(I52="Trabajo actualmente como empleado",IF(MOD((COUNTIF($I$2:I52,"Trabajo actualmente como empleado")-1)*37,150)&lt;100,"Empleado con contrato","Empleado sin contrato formal"),IF(I52="Trabajo de manera independiente","Trabajo independiente",""))</f>
        <v>Empleado sin contrato formal</v>
      </c>
      <c r="K52" s="9" t="str">
        <f>IF(OR(I52="Trabajo actualmente como empleado",I52="Trabajo de manera independiente"),CHOOSE(MOD(COUNTIF($I$2:I52,I52)-1,4)+1,"Menos de 3 meses","De 3 a 6 meses","De 7 a 12 meses","Más de un año"),"")</f>
        <v>Menos de 3 meses</v>
      </c>
      <c r="L52" t="str">
        <f>IF(OR(I52="Trabajo actualmente como empleado",I52="Trabajo de manera independiente"),CHOOSE(MOD(COUNTIF($I$2:I52,I52)-1,3)+1,"Sí, completamente","Parcialmente","No"),"")</f>
        <v>Parcialmente</v>
      </c>
      <c r="M52" t="str">
        <f>IF(OR(I52="Trabajo actualmente como empleado",I52="Trabajo de manera independiente"),CHOOSE(MOD(INT((COUNTIF($I$2:I52,I52)-1)/3),4)+1,"1- Muy satisfecho/a","2- Satisfecho/a","3- Insatisfecho/a","4- Muy insatisfecho/a"),"")</f>
        <v>2- Satisfecho/a</v>
      </c>
      <c r="N52" t="str">
        <f>IF(OR(I52="Trabajo actualmente como empleado",I52="Trabajo de manera independiente"),_xlfn.LET(_xlpm.opcion,MOD(INT((COUNTIF($I$2:I52,I52)-1)/5),6)+1,CHOOSE(IF(AND(_xlpm.opcion=6,L52="Sí, completamente"),5,_xlpm.opcion),"Salario","Estabilidad laboral","Horario","Acceso a prestaciones","Oportunidades de crecimiento","Trabajar en un área relacionada con mi formación")),"")</f>
        <v>Acceso a prestaciones</v>
      </c>
      <c r="O52" s="9" t="str">
        <f>IF(OR(I52="Trabajo actualmente como empleado",I52="Trabajo de manera independiente"),_xlfn.LET(_xlpm.turno,MOD(COUNTIF($I$2:I52,I52)-1,5),_xlpm.nivel,VALUE(LEFT(M52,1)),IF(_xlpm.turno=4,"No estoy seguro/a",IF(_xlpm.turno&lt;IF(_xlpm.nivel&lt;=2,1,3),"Sí","No"))),"")</f>
        <v>No</v>
      </c>
      <c r="P52" s="9" t="str">
        <f>_xlfn.LET(_xlpm.perfil,I52,_xlpm.turno,COUNTIF($I$2:I52,_xlpm.perfil)-1,_xlpm.busca,OR(_xlpm.perfil="Actualmente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52" t="str">
        <f>IF(I52="Tengo un emprendimiento o quiero iniciar uno","",CHOOSE(MOD(INT((COUNTIF($I$2:I52,I52)-1)/7),3)+1,"Sí","No","Tengo una pero necesito actualizarla"))</f>
        <v>Tengo una pero necesito actualizarla</v>
      </c>
      <c r="R52" s="9" t="str">
        <f>IF(I52="Tengo un emprendimiento o quiero iniciar uno","",IF(I52="Busco mi primer empleo","No",IF(MOD(COUNTIF($I$2:I52,I52)-1,2)=0,"Sí","No")))</f>
        <v>Sí</v>
      </c>
      <c r="S52" t="str">
        <f>IF(I52="Tengo un emprendimiento o quiero iniciar uno","",CHOOSE(MOD(INT((COUNTIF($I$2:I52,I52)-1)/3),10)+1,"Portales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52" t="str">
        <f>IF(I52="Tengo un emprendimiento o quiero iniciar uno","",_xlfn.LET(_xlpm.opcion,MOD(INT((COUNTIF($I$2:I52,I52)-1)/4),6)+1,CHOOSE(IF(AND(_xlpm.opcion=3,Q52="Sí"),1,_xlpm.opcion),"Falta de experiencia","Falta de formación","Dificultades con la hoja de vida","Horarios disponibles","Transporte","Internet")))</f>
        <v>Transporte</v>
      </c>
      <c r="U52" s="9" t="str">
        <f>IF(I52="Tengo un emprendimiento o quiero iniciar uno","",IF(MOD(INT((COUNTIF($I$2:I52,I52)-1)/3),2)=0,"Sí","No"))</f>
        <v>No</v>
      </c>
      <c r="V52" s="9" t="str">
        <f>IF(I52="Tengo un emprendimiento o quiero iniciar uno",CHOOSE(MOD(COUNTIF($I$2:I52,I52)-1,3)+1,"Tengo un emprendimiento","Estoy iniciando un emprendimiento","Me interesa emprender"),"")</f>
        <v/>
      </c>
      <c r="W52" t="str">
        <f t="shared" si="5"/>
        <v/>
      </c>
      <c r="X52" s="9" t="str">
        <f>IF(I52="Tengo un emprendimiento o quiero iniciar uno",CHOOSE(MOD(COUNTIF($I$2:I52,I52)-1,5)+1,"Falta de financiación","Falta de conocimientos administrativos","Falta de conocimientos financieros","Falta de tiempo","Falta de herramientas"),"")</f>
        <v/>
      </c>
      <c r="Y52" s="9" t="str">
        <f t="shared" si="6"/>
        <v/>
      </c>
      <c r="Z52" t="str">
        <f>IF(I52="Tengo un emprendimiento o quiero iniciar uno",CHOOSE(INT(MOD((COUNTIF($I$2:I52,I52)-1)*7,39)/13)+1,"Sí","No","No conozco programas de ese tipo"),"")</f>
        <v/>
      </c>
      <c r="AA52" t="str">
        <f t="shared" si="7"/>
        <v>Puedo hacerlo sin ayuda</v>
      </c>
      <c r="AB52" t="str">
        <f t="shared" si="7"/>
        <v>Puedo hacerlo sin ayuda</v>
      </c>
      <c r="AC52" t="str">
        <f t="shared" si="8"/>
        <v>Puedo hacerlo con dificultad</v>
      </c>
      <c r="AD52" s="9" t="str">
        <f t="shared" si="9"/>
        <v>Puedo hacerlo con dificultad</v>
      </c>
      <c r="AE52" t="str">
        <f t="shared" si="10"/>
        <v>Puedo hacerlo sin ayuda</v>
      </c>
      <c r="AF52" s="9" t="str">
        <f t="shared" si="11"/>
        <v>Liderazgo</v>
      </c>
      <c r="AG52" s="9" t="str">
        <f t="shared" si="17"/>
        <v>Falta de información</v>
      </c>
      <c r="AH52" t="str">
        <f t="shared" si="12"/>
        <v>No conozco ninguno</v>
      </c>
      <c r="AI52" s="9" t="str">
        <f t="shared" si="13"/>
        <v>Virtual</v>
      </c>
      <c r="AJ52" s="9" t="str">
        <f t="shared" si="14"/>
        <v>Diurno</v>
      </c>
      <c r="AK52" s="9" t="str">
        <f t="shared" si="15"/>
        <v>WhatsApp</v>
      </c>
    </row>
    <row r="53" spans="1:37">
      <c r="A53" t="str">
        <f t="shared" si="16"/>
        <v>SG052</v>
      </c>
      <c r="B53" t="s">
        <v>418</v>
      </c>
      <c r="C53" s="9" t="s">
        <v>427</v>
      </c>
      <c r="D53" t="str">
        <f t="shared" si="0"/>
        <v>Femenino</v>
      </c>
      <c r="E53" t="str">
        <f t="shared" si="1"/>
        <v>De 20 a 22 años</v>
      </c>
      <c r="F53">
        <f t="shared" si="2"/>
        <v>20</v>
      </c>
      <c r="G53" s="9" t="s">
        <v>428</v>
      </c>
      <c r="H53" s="9" t="str">
        <f t="shared" si="3"/>
        <v>Tecnólogo</v>
      </c>
      <c r="I53" s="9" t="str">
        <f t="shared" si="4"/>
        <v>Trabajo de manera independiente</v>
      </c>
      <c r="J53" s="13" t="str">
        <f>IF(I53="Trabajo actualmente como empleado",IF(MOD((COUNTIF($I$2:I53,"Trabajo actualmente como empleado")-1)*37,150)&lt;100,"Empleado con contrato","Empleado sin contrato formal"),IF(I53="Trabajo de manera independiente","Trabajo independiente",""))</f>
        <v>Trabajo independiente</v>
      </c>
      <c r="K53" s="9" t="str">
        <f>IF(OR(I53="Trabajo actualmente como empleado",I53="Trabajo de manera independiente"),CHOOSE(MOD(COUNTIF($I$2:I53,I53)-1,4)+1,"Menos de 3 meses","De 3 a 6 meses","De 7 a 12 meses","Más de un año"),"")</f>
        <v>De 3 a 6 meses</v>
      </c>
      <c r="L53" t="str">
        <f>IF(OR(I53="Trabajo actualmente como empleado",I53="Trabajo de manera independiente"),CHOOSE(MOD(COUNTIF($I$2:I53,I53)-1,3)+1,"Sí, completamente","Parcialmente","No"),"")</f>
        <v>Sí, completamente</v>
      </c>
      <c r="M53" t="str">
        <f>IF(OR(I53="Trabajo actualmente como empleado",I53="Trabajo de manera independiente"),CHOOSE(MOD(INT((COUNTIF($I$2:I53,I53)-1)/3),4)+1,"1- Muy satisfecho/a","2- Satisfecho/a","3- Insatisfecho/a","4- Muy insatisfecho/a"),"")</f>
        <v>4- Muy insatisfecho/a</v>
      </c>
      <c r="N53" t="str">
        <f>IF(OR(I53="Trabajo actualmente como empleado",I53="Trabajo de manera independiente"),_xlfn.LET(_xlpm.opcion,MOD(INT((COUNTIF($I$2:I53,I53)-1)/5),6)+1,CHOOSE(IF(AND(_xlpm.opcion=6,L53="Sí, completamente"),5,_xlpm.opcion),"Salario","Estabilidad laboral","Horario","Acceso a prestaciones","Oportunidades de crecimiento","Trabajar en un área relacionada con mi formación")),"")</f>
        <v>Estabilidad laboral</v>
      </c>
      <c r="O53" s="9" t="str">
        <f>IF(OR(I53="Trabajo actualmente como empleado",I53="Trabajo de manera independiente"),_xlfn.LET(_xlpm.turno,MOD(COUNTIF($I$2:I53,I53)-1,5),_xlpm.nivel,VALUE(LEFT(M53,1)),IF(_xlpm.turno=4,"No estoy seguro/a",IF(_xlpm.turno&lt;IF(_xlpm.nivel&lt;=2,1,3),"Sí","No"))),"")</f>
        <v>No estoy seguro/a</v>
      </c>
      <c r="P53" s="9" t="str">
        <f>_xlfn.LET(_xlpm.perfil,I53,_xlpm.turno,COUNTIF($I$2:I53,_xlpm.perfil)-1,_xlpm.busca,OR(_xlpm.perfil="Actualmente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trabajar"),IF(AND(_xlpm.trabaja,O53="No"),"Todavía no he iniciado una búsqueda activa",CHOOSE(MOD(_xlpm.turno*3,5)+1,"Menos de 1 mes","Entre 1 y 3 meses","Entre 4 y 6 meses","Más de 6 meses","Todavía no he iniciado una búsqueda activa")),"")))</f>
        <v>Entre 4 y 6 meses</v>
      </c>
      <c r="Q53" t="str">
        <f>IF(I53="Tengo un emprendimiento o quiero iniciar uno","",CHOOSE(MOD(INT((COUNTIF($I$2:I53,I53)-1)/7),3)+1,"Sí","No","Tengo una pero necesito actualizarla"))</f>
        <v>No</v>
      </c>
      <c r="R53" s="9" t="str">
        <f>IF(I53="Tengo un emprendimiento o quiero iniciar uno","",IF(I53="Busco mi primer empleo","No",IF(MOD(COUNTIF($I$2:I53,I53)-1,2)=0,"Sí","No")))</f>
        <v>No</v>
      </c>
      <c r="S53" t="str">
        <f>IF(I53="Tengo un emprendimiento o quiero iniciar uno","",CHOOSE(MOD(INT((COUNTIF($I$2:I53,I53)-1)/3),10)+1,"Portales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53" t="str">
        <f>IF(I53="Tengo un emprendimiento o quiero iniciar uno","",_xlfn.LET(_xlpm.opcion,MOD(INT((COUNTIF($I$2:I53,I53)-1)/4),6)+1,CHOOSE(IF(AND(_xlpm.opcion=3,Q53="Sí"),1,_xlpm.opcion),"Falta de experiencia","Falta de formación","Dificultades con la hoja de vida","Horarios disponibles","Transporte","Internet")))</f>
        <v>Dificultades con la hoja de vida</v>
      </c>
      <c r="U53" s="9" t="str">
        <f>IF(I53="Tengo un emprendimiento o quiero iniciar uno","",IF(MOD(INT((COUNTIF($I$2:I53,I53)-1)/3),2)=0,"Sí","No"))</f>
        <v>No</v>
      </c>
      <c r="V53" s="9" t="str">
        <f>IF(I53="Tengo un emprendimiento o quiero iniciar uno",CHOOSE(MOD(COUNTIF($I$2:I53,I53)-1,3)+1,"Tengo un emprendimiento","Estoy iniciando un emprendimiento","Me interesa emprender"),"")</f>
        <v/>
      </c>
      <c r="W53" t="str">
        <f t="shared" si="5"/>
        <v/>
      </c>
      <c r="X53" s="9" t="str">
        <f>IF(I53="Tengo un emprendimiento o quiero iniciar uno",CHOOSE(MOD(COUNTIF($I$2:I53,I53)-1,5)+1,"Falta de financiación","Falta de conocimientos administrativos","Falta de conocimientos financieros","Falta de tiempo","Falta de herramientas"),"")</f>
        <v/>
      </c>
      <c r="Y53" s="9" t="str">
        <f t="shared" si="6"/>
        <v/>
      </c>
      <c r="Z53" t="str">
        <f>IF(I53="Tengo un emprendimiento o quiero iniciar uno",CHOOSE(INT(MOD((COUNTIF($I$2:I53,I53)-1)*7,39)/13)+1,"Sí","No","No conozco programas de ese tipo"),"")</f>
        <v/>
      </c>
      <c r="AA53" t="str">
        <f t="shared" si="7"/>
        <v>Puedo hacerlo con ayuda</v>
      </c>
      <c r="AB53" t="str">
        <f t="shared" si="7"/>
        <v>Puedo hacerlo con ayuda</v>
      </c>
      <c r="AC53" t="str">
        <f t="shared" si="8"/>
        <v>Puedo hacerlo sin ayuda</v>
      </c>
      <c r="AD53" s="9" t="str">
        <f t="shared" si="9"/>
        <v>Puedo hacerlo con dificultad</v>
      </c>
      <c r="AE53" t="str">
        <f t="shared" si="10"/>
        <v>No puedo hacerlo</v>
      </c>
      <c r="AF53" s="9" t="str">
        <f t="shared" si="11"/>
        <v>Emprendimiento</v>
      </c>
      <c r="AG53" s="9" t="str">
        <f t="shared" si="17"/>
        <v>Horarios</v>
      </c>
      <c r="AH53" t="str">
        <f t="shared" si="12"/>
        <v>Ferias de empleo</v>
      </c>
      <c r="AI53" s="9" t="str">
        <f t="shared" si="13"/>
        <v>Presencial y virtual</v>
      </c>
      <c r="AJ53" s="9" t="str">
        <f t="shared" si="14"/>
        <v>Mañana entre semana</v>
      </c>
      <c r="AK53" s="9" t="str">
        <f t="shared" si="15"/>
        <v>Correo electrónico</v>
      </c>
    </row>
    <row r="54" spans="1:37">
      <c r="A54" t="str">
        <f t="shared" si="16"/>
        <v>SG053</v>
      </c>
      <c r="B54" t="s">
        <v>418</v>
      </c>
      <c r="C54" s="9" t="s">
        <v>427</v>
      </c>
      <c r="D54" t="str">
        <f t="shared" si="0"/>
        <v>Femenino</v>
      </c>
      <c r="E54" t="str">
        <f t="shared" si="1"/>
        <v>De 22 a 24 años</v>
      </c>
      <c r="F54">
        <f t="shared" si="2"/>
        <v>22</v>
      </c>
      <c r="G54" s="9" t="s">
        <v>428</v>
      </c>
      <c r="H54" s="9" t="str">
        <f t="shared" si="3"/>
        <v>Profesional</v>
      </c>
      <c r="I54" s="9" t="str">
        <f t="shared" si="4"/>
        <v>Busco mi primer empleo</v>
      </c>
      <c r="J54" s="13" t="str">
        <f>IF(I54="Trabajo actualmente como empleado",IF(MOD((COUNTIF($I$2:I54,"Trabajo actualmente como empleado")-1)*37,150)&lt;100,"Empleado con contrato","Empleado sin contrato formal"),IF(I54="Trabajo de manera independiente","Trabajo independiente",""))</f>
        <v/>
      </c>
      <c r="K54" s="9" t="str">
        <f>IF(OR(I54="Trabajo actualmente como empleado",I54="Trabajo de manera independiente"),CHOOSE(MOD(COUNTIF($I$2:I54,I54)-1,4)+1,"Menos de 3 meses","De 3 a 6 meses","De 7 a 12 meses","Más de un año"),"")</f>
        <v/>
      </c>
      <c r="L54" t="str">
        <f>IF(OR(I54="Trabajo actualmente como empleado",I54="Trabajo de manera independiente"),CHOOSE(MOD(COUNTIF($I$2:I54,I54)-1,3)+1,"Sí, completamente","Parcialmente","No"),"")</f>
        <v/>
      </c>
      <c r="M54" t="str">
        <f>IF(OR(I54="Trabajo actualmente como empleado",I54="Trabajo de manera independiente"),CHOOSE(MOD(INT((COUNTIF($I$2:I54,I54)-1)/3),4)+1,"1- Muy satisfecho/a","2- Satisfecho/a","3- Insatisfecho/a","4- Muy insatisfecho/a"),"")</f>
        <v/>
      </c>
      <c r="N54" t="str">
        <f>IF(OR(I54="Trabajo actualmente como empleado",I54="Trabajo de manera independiente"),_xlfn.LET(_xlpm.opcion,MOD(INT((COUNTIF($I$2:I54,I54)-1)/5),6)+1,CHOOSE(IF(AND(_xlpm.opcion=6,L54="Sí, completamente"),5,_xlpm.opcion),"Salario","Estabilidad laboral","Horario","Acceso a prestaciones","Oportunidades de crecimiento","Trabajar en un área relacionada con mi formación")),"")</f>
        <v/>
      </c>
      <c r="O54" s="9" t="str">
        <f>IF(OR(I54="Trabajo actualmente como empleado",I54="Trabajo de manera independiente"),_xlfn.LET(_xlpm.turno,MOD(COUNTIF($I$2:I54,I54)-1,5),_xlpm.nivel,VALUE(LEFT(M54,1)),IF(_xlpm.turno=4,"No estoy seguro/a",IF(_xlpm.turno&lt;IF(_xlpm.nivel&lt;=2,1,3),"Sí","No"))),"")</f>
        <v/>
      </c>
      <c r="P54" s="9" t="str">
        <f>_xlfn.LET(_xlpm.perfil,I54,_xlpm.turno,COUNTIF($I$2:I54,_xlpm.perfil)-1,_xlpm.busca,OR(_xlpm.perfil="Actualmente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trabajar"),IF(AND(_xlpm.trabaja,O54="No"),"Todavía no he iniciado una búsqueda activa",CHOOSE(MOD(_xlpm.turno*3,5)+1,"Menos de 1 mes","Entre 1 y 3 meses","Entre 4 y 6 meses","Más de 6 meses","Todavía no he iniciado una búsqueda activa")),"")))</f>
        <v>Entre 1 y 3 meses</v>
      </c>
      <c r="Q54" t="str">
        <f>IF(I54="Tengo un emprendimiento o quiero iniciar uno","",CHOOSE(MOD(INT((COUNTIF($I$2:I54,I54)-1)/7),3)+1,"Sí","No","Tengo una pero necesito actualizarla"))</f>
        <v>No</v>
      </c>
      <c r="R54" s="9" t="str">
        <f>IF(I54="Tengo un emprendimiento o quiero iniciar uno","",IF(I54="Busco mi primer empleo","No",IF(MOD(COUNTIF($I$2:I54,I54)-1,2)=0,"Sí","No")))</f>
        <v>No</v>
      </c>
      <c r="S54" t="str">
        <f>IF(I54="Tengo un emprendimiento o quiero iniciar uno","",CHOOSE(MOD(INT((COUNTIF($I$2:I54,I54)-1)/3),10)+1,"Portales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54" t="str">
        <f>IF(I54="Tengo un emprendimiento o quiero iniciar uno","",_xlfn.LET(_xlpm.opcion,MOD(INT((COUNTIF($I$2:I54,I54)-1)/4),6)+1,CHOOSE(IF(AND(_xlpm.opcion=3,Q54="Sí"),1,_xlpm.opcion),"Falta de experiencia","Falta de formación","Dificultades con la hoja de vida","Horarios disponibles","Transporte","Internet")))</f>
        <v>Falta de formación</v>
      </c>
      <c r="U54" s="9" t="str">
        <f>IF(I54="Tengo un emprendimiento o quiero iniciar uno","",IF(MOD(INT((COUNTIF($I$2:I54,I54)-1)/3),2)=0,"Sí","No"))</f>
        <v>Sí</v>
      </c>
      <c r="V54" s="9" t="str">
        <f>IF(I54="Tengo un emprendimiento o quiero iniciar uno",CHOOSE(MOD(COUNTIF($I$2:I54,I54)-1,3)+1,"Tengo un emprendimiento","Estoy iniciando un emprendimiento","Me interesa emprender"),"")</f>
        <v/>
      </c>
      <c r="W54" t="str">
        <f t="shared" si="5"/>
        <v/>
      </c>
      <c r="X54" s="9" t="str">
        <f>IF(I54="Tengo un emprendimiento o quiero iniciar uno",CHOOSE(MOD(COUNTIF($I$2:I54,I54)-1,5)+1,"Falta de financiación","Falta de conocimientos administrativos","Falta de conocimientos financieros","Falta de tiempo","Falta de herramientas"),"")</f>
        <v/>
      </c>
      <c r="Y54" s="9" t="str">
        <f t="shared" si="6"/>
        <v/>
      </c>
      <c r="Z54" t="str">
        <f>IF(I54="Tengo un emprendimiento o quiero iniciar uno",CHOOSE(INT(MOD((COUNTIF($I$2:I54,I54)-1)*7,39)/13)+1,"Sí","No","No conozco programas de ese tipo"),"")</f>
        <v/>
      </c>
      <c r="AA54" t="str">
        <f t="shared" si="7"/>
        <v>Puedo hacerlo con dificultad</v>
      </c>
      <c r="AB54" t="str">
        <f t="shared" si="7"/>
        <v>Puedo hacerlo con dificultad</v>
      </c>
      <c r="AC54" t="str">
        <f t="shared" si="8"/>
        <v>No puedo hacerlo</v>
      </c>
      <c r="AD54" s="9" t="str">
        <f t="shared" si="9"/>
        <v>Puedo hacerlo sin ayuda</v>
      </c>
      <c r="AE54" t="str">
        <f t="shared" si="10"/>
        <v>Puedo hacerlo con ayuda</v>
      </c>
      <c r="AF54" s="9" t="str">
        <f t="shared" si="11"/>
        <v>Herramientas digitales</v>
      </c>
      <c r="AG54" s="9" t="str">
        <f t="shared" si="17"/>
        <v>Horarios</v>
      </c>
      <c r="AH54" t="str">
        <f t="shared" si="12"/>
        <v>Programas de emprendimiento</v>
      </c>
      <c r="AI54" s="9" t="str">
        <f t="shared" si="13"/>
        <v>Me es indiferente</v>
      </c>
      <c r="AJ54" s="9" t="str">
        <f t="shared" si="14"/>
        <v>Fines de semana</v>
      </c>
      <c r="AK54" s="9" t="str">
        <f t="shared" si="15"/>
        <v>Celular</v>
      </c>
    </row>
    <row r="55" spans="1:37">
      <c r="A55" t="str">
        <f t="shared" si="16"/>
        <v>SG054</v>
      </c>
      <c r="B55" t="s">
        <v>418</v>
      </c>
      <c r="C55" s="9" t="s">
        <v>427</v>
      </c>
      <c r="D55" t="str">
        <f t="shared" si="0"/>
        <v>Masculino</v>
      </c>
      <c r="E55" t="str">
        <f t="shared" si="1"/>
        <v>De 24 a 26 años</v>
      </c>
      <c r="F55">
        <f t="shared" si="2"/>
        <v>24</v>
      </c>
      <c r="G55" s="9" t="s">
        <v>428</v>
      </c>
      <c r="H55" s="9" t="str">
        <f t="shared" si="3"/>
        <v>Profesional</v>
      </c>
      <c r="I55" s="9" t="str">
        <f t="shared" si="4"/>
        <v>Trabajo actualmente como empleado</v>
      </c>
      <c r="J55" s="13" t="str">
        <f>IF(I55="Trabajo actualmente como empleado",IF(MOD((COUNTIF($I$2:I55,"Trabajo actualmente como empleado")-1)*37,150)&lt;100,"Empleado con contrato","Empleado sin contrato formal"),IF(I55="Trabajo de manera independiente","Trabajo independiente",""))</f>
        <v>Empleado con contrato</v>
      </c>
      <c r="K55" s="9" t="str">
        <f>IF(OR(I55="Trabajo actualmente como empleado",I55="Trabajo de manera independiente"),CHOOSE(MOD(COUNTIF($I$2:I55,I55)-1,4)+1,"Menos de 3 meses","De 3 a 6 meses","De 7 a 12 meses","Más de un año"),"")</f>
        <v>De 3 a 6 meses</v>
      </c>
      <c r="L55" t="str">
        <f>IF(OR(I55="Trabajo actualmente como empleado",I55="Trabajo de manera independiente"),CHOOSE(MOD(COUNTIF($I$2:I55,I55)-1,3)+1,"Sí, completamente","Parcialmente","No"),"")</f>
        <v>No</v>
      </c>
      <c r="M55" t="str">
        <f>IF(OR(I55="Trabajo actualmente como empleado",I55="Trabajo de manera independiente"),CHOOSE(MOD(INT((COUNTIF($I$2:I55,I55)-1)/3),4)+1,"1- Muy satisfecho/a","2- Satisfecho/a","3- Insatisfecho/a","4- Muy insatisfecho/a"),"")</f>
        <v>2- Satisfecho/a</v>
      </c>
      <c r="N55" t="str">
        <f>IF(OR(I55="Trabajo actualmente como empleado",I55="Trabajo de manera independiente"),_xlfn.LET(_xlpm.opcion,MOD(INT((COUNTIF($I$2:I55,I55)-1)/5),6)+1,CHOOSE(IF(AND(_xlpm.opcion=6,L55="Sí, completamente"),5,_xlpm.opcion),"Salario","Estabilidad laboral","Horario","Acceso a prestaciones","Oportunidades de crecimiento","Trabajar en un área relacionada con mi formación")),"")</f>
        <v>Acceso a prestaciones</v>
      </c>
      <c r="O55" s="9" t="str">
        <f>IF(OR(I55="Trabajo actualmente como empleado",I55="Trabajo de manera independiente"),_xlfn.LET(_xlpm.turno,MOD(COUNTIF($I$2:I55,I55)-1,5),_xlpm.nivel,VALUE(LEFT(M55,1)),IF(_xlpm.turno=4,"No estoy seguro/a",IF(_xlpm.turno&lt;IF(_xlpm.nivel&lt;=2,1,3),"Sí","No"))),"")</f>
        <v>No</v>
      </c>
      <c r="P55" s="9" t="str">
        <f>_xlfn.LET(_xlpm.perfil,I55,_xlpm.turno,COUNTIF($I$2:I55,_xlpm.perfil)-1,_xlpm.busca,OR(_xlpm.perfil="Actualmente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55" t="str">
        <f>IF(I55="Tengo un emprendimiento o quiero iniciar uno","",CHOOSE(MOD(INT((COUNTIF($I$2:I55,I55)-1)/7),3)+1,"Sí","No","Tengo una pero necesito actualizarla"))</f>
        <v>Tengo una pero necesito actualizarla</v>
      </c>
      <c r="R55" s="9" t="str">
        <f>IF(I55="Tengo un emprendimiento o quiero iniciar uno","",IF(I55="Busco mi primer empleo","No",IF(MOD(COUNTIF($I$2:I55,I55)-1,2)=0,"Sí","No")))</f>
        <v>No</v>
      </c>
      <c r="S55" t="str">
        <f>IF(I55="Tengo un emprendimiento o quiero iniciar uno","",CHOOSE(MOD(INT((COUNTIF($I$2:I55,I55)-1)/3),10)+1,"Portales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55" t="str">
        <f>IF(I55="Tengo un emprendimiento o quiero iniciar uno","",_xlfn.LET(_xlpm.opcion,MOD(INT((COUNTIF($I$2:I55,I55)-1)/4),6)+1,CHOOSE(IF(AND(_xlpm.opcion=3,Q55="Sí"),1,_xlpm.opcion),"Falta de experiencia","Falta de formación","Dificultades con la hoja de vida","Horarios disponibles","Transporte","Internet")))</f>
        <v>Transporte</v>
      </c>
      <c r="U55" s="9" t="str">
        <f>IF(I55="Tengo un emprendimiento o quiero iniciar uno","",IF(MOD(INT((COUNTIF($I$2:I55,I55)-1)/3),2)=0,"Sí","No"))</f>
        <v>No</v>
      </c>
      <c r="V55" s="9" t="str">
        <f>IF(I55="Tengo un emprendimiento o quiero iniciar uno",CHOOSE(MOD(COUNTIF($I$2:I55,I55)-1,3)+1,"Tengo un emprendimiento","Estoy iniciando un emprendimiento","Me interesa emprender"),"")</f>
        <v/>
      </c>
      <c r="W55" t="str">
        <f t="shared" si="5"/>
        <v/>
      </c>
      <c r="X55" s="9" t="str">
        <f>IF(I55="Tengo un emprendimiento o quiero iniciar uno",CHOOSE(MOD(COUNTIF($I$2:I55,I55)-1,5)+1,"Falta de financiación","Falta de conocimientos administrativos","Falta de conocimientos financieros","Falta de tiempo","Falta de herramientas"),"")</f>
        <v/>
      </c>
      <c r="Y55" s="9" t="str">
        <f t="shared" si="6"/>
        <v/>
      </c>
      <c r="Z55" t="str">
        <f>IF(I55="Tengo un emprendimiento o quiero iniciar uno",CHOOSE(INT(MOD((COUNTIF($I$2:I55,I55)-1)*7,39)/13)+1,"Sí","No","No conozco programas de ese tipo"),"")</f>
        <v/>
      </c>
      <c r="AA55" t="str">
        <f t="shared" si="7"/>
        <v>No puedo hacerlo</v>
      </c>
      <c r="AB55" t="str">
        <f t="shared" si="7"/>
        <v>No puedo hacerlo</v>
      </c>
      <c r="AC55" t="str">
        <f t="shared" si="8"/>
        <v>Puedo hacerlo con dificultad</v>
      </c>
      <c r="AD55" s="9" t="str">
        <f t="shared" si="9"/>
        <v>No puedo hacerlo</v>
      </c>
      <c r="AE55" t="str">
        <f t="shared" si="10"/>
        <v>Puedo hacerlo con ayuda</v>
      </c>
      <c r="AF55" s="9" t="str">
        <f t="shared" si="11"/>
        <v>Educación financiera</v>
      </c>
      <c r="AG55" s="9" t="str">
        <f t="shared" si="17"/>
        <v>Horarios</v>
      </c>
      <c r="AH55" t="str">
        <f t="shared" si="12"/>
        <v>Oficina de orientación laboral</v>
      </c>
      <c r="AI55" s="9" t="str">
        <f t="shared" si="13"/>
        <v>Presencial</v>
      </c>
      <c r="AJ55" s="9" t="str">
        <f t="shared" si="14"/>
        <v>Diurno</v>
      </c>
      <c r="AK55" s="9" t="str">
        <f t="shared" si="15"/>
        <v>Correo electrónico</v>
      </c>
    </row>
    <row r="56" spans="1:37">
      <c r="A56" t="str">
        <f t="shared" si="16"/>
        <v>SG055</v>
      </c>
      <c r="B56" t="s">
        <v>418</v>
      </c>
      <c r="C56" s="9" t="s">
        <v>427</v>
      </c>
      <c r="D56" t="str">
        <f t="shared" si="0"/>
        <v>Masculino</v>
      </c>
      <c r="E56" t="str">
        <f t="shared" si="1"/>
        <v>De 26 a 28 años</v>
      </c>
      <c r="F56">
        <f t="shared" si="2"/>
        <v>27</v>
      </c>
      <c r="G56" s="9" t="s">
        <v>428</v>
      </c>
      <c r="H56" s="9" t="str">
        <f t="shared" si="3"/>
        <v>Posgrado</v>
      </c>
      <c r="I56" s="9" t="str">
        <f t="shared" si="4"/>
        <v>Actualmente no trabajo y estoy buscando empleo</v>
      </c>
      <c r="J56" s="13" t="str">
        <f>IF(I56="Trabajo actualmente como empleado",IF(MOD((COUNTIF($I$2:I56,"Trabajo actualmente como empleado")-1)*37,150)&lt;100,"Empleado con contrato","Empleado sin contrato formal"),IF(I56="Trabajo de manera independiente","Trabajo independiente",""))</f>
        <v/>
      </c>
      <c r="K56" s="9" t="str">
        <f>IF(OR(I56="Trabajo actualmente como empleado",I56="Trabajo de manera independiente"),CHOOSE(MOD(COUNTIF($I$2:I56,I56)-1,4)+1,"Menos de 3 meses","De 3 a 6 meses","De 7 a 12 meses","Más de un año"),"")</f>
        <v/>
      </c>
      <c r="L56" t="str">
        <f>IF(OR(I56="Trabajo actualmente como empleado",I56="Trabajo de manera independiente"),CHOOSE(MOD(COUNTIF($I$2:I56,I56)-1,3)+1,"Sí, completamente","Parcialmente","No"),"")</f>
        <v/>
      </c>
      <c r="M56" t="str">
        <f>IF(OR(I56="Trabajo actualmente como empleado",I56="Trabajo de manera independiente"),CHOOSE(MOD(INT((COUNTIF($I$2:I56,I56)-1)/3),4)+1,"1- Muy satisfecho/a","2- Satisfecho/a","3- Insatisfecho/a","4- Muy insatisfecho/a"),"")</f>
        <v/>
      </c>
      <c r="N56" t="str">
        <f>IF(OR(I56="Trabajo actualmente como empleado",I56="Trabajo de manera independiente"),_xlfn.LET(_xlpm.opcion,MOD(INT((COUNTIF($I$2:I56,I56)-1)/5),6)+1,CHOOSE(IF(AND(_xlpm.opcion=6,L56="Sí, completamente"),5,_xlpm.opcion),"Salario","Estabilidad laboral","Horario","Acceso a prestaciones","Oportunidades de crecimiento","Trabajar en un área relacionada con mi formación")),"")</f>
        <v/>
      </c>
      <c r="O56" s="9" t="str">
        <f>IF(OR(I56="Trabajo actualmente como empleado",I56="Trabajo de manera independiente"),_xlfn.LET(_xlpm.turno,MOD(COUNTIF($I$2:I56,I56)-1,5),_xlpm.nivel,VALUE(LEFT(M56,1)),IF(_xlpm.turno=4,"No estoy seguro/a",IF(_xlpm.turno&lt;IF(_xlpm.nivel&lt;=2,1,3),"Sí","No"))),"")</f>
        <v/>
      </c>
      <c r="P56" s="9" t="str">
        <f>_xlfn.LET(_xlpm.perfil,I56,_xlpm.turno,COUNTIF($I$2:I56,_xlpm.perfil)-1,_xlpm.busca,OR(_xlpm.perfil="Actualmente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trabajar"),IF(AND(_xlpm.trabaja,O56="No"),"Todavía no he iniciado una búsqueda activa",CHOOSE(MOD(_xlpm.turno*3,5)+1,"Menos de 1 mes","Entre 1 y 3 meses","Entre 4 y 6 meses","Más de 6 meses","Todavía no he iniciado una búsqueda activa")),"")))</f>
        <v>Menos de 1 mes</v>
      </c>
      <c r="Q56" t="str">
        <f>IF(I56="Tengo un emprendimiento o quiero iniciar uno","",CHOOSE(MOD(INT((COUNTIF($I$2:I56,I56)-1)/7),3)+1,"Sí","No","Tengo una pero necesito actualizarla"))</f>
        <v>No</v>
      </c>
      <c r="R56" s="9" t="str">
        <f>IF(I56="Tengo un emprendimiento o quiero iniciar uno","",IF(I56="Busco mi primer empleo","No",IF(MOD(COUNTIF($I$2:I56,I56)-1,2)=0,"Sí","No")))</f>
        <v>Sí</v>
      </c>
      <c r="S56" t="str">
        <f>IF(I56="Tengo un emprendimiento o quiero iniciar uno","",CHOOSE(MOD(INT((COUNTIF($I$2:I56,I56)-1)/3),10)+1,"Portales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56" t="str">
        <f>IF(I56="Tengo un emprendimiento o quiero iniciar uno","",_xlfn.LET(_xlpm.opcion,MOD(INT((COUNTIF($I$2:I56,I56)-1)/4),6)+1,CHOOSE(IF(AND(_xlpm.opcion=3,Q56="Sí"),1,_xlpm.opcion),"Falta de experiencia","Falta de formación","Dificultades con la hoja de vida","Horarios disponibles","Transporte","Internet")))</f>
        <v>Dificultades con la hoja de vida</v>
      </c>
      <c r="U56" s="9" t="str">
        <f>IF(I56="Tengo un emprendimiento o quiero iniciar uno","",IF(MOD(INT((COUNTIF($I$2:I56,I56)-1)/3),2)=0,"Sí","No"))</f>
        <v>Sí</v>
      </c>
      <c r="V56" s="9" t="str">
        <f>IF(I56="Tengo un emprendimiento o quiero iniciar uno",CHOOSE(MOD(COUNTIF($I$2:I56,I56)-1,3)+1,"Tengo un emprendimiento","Estoy iniciando un emprendimiento","Me interesa emprender"),"")</f>
        <v/>
      </c>
      <c r="W56" t="str">
        <f t="shared" si="5"/>
        <v/>
      </c>
      <c r="X56" s="9" t="str">
        <f>IF(I56="Tengo un emprendimiento o quiero iniciar uno",CHOOSE(MOD(COUNTIF($I$2:I56,I56)-1,5)+1,"Falta de financiación","Falta de conocimientos administrativos","Falta de conocimientos financieros","Falta de tiempo","Falta de herramientas"),"")</f>
        <v/>
      </c>
      <c r="Y56" s="9" t="str">
        <f t="shared" si="6"/>
        <v/>
      </c>
      <c r="Z56" t="str">
        <f>IF(I56="Tengo un emprendimiento o quiero iniciar uno",CHOOSE(INT(MOD((COUNTIF($I$2:I56,I56)-1)*7,39)/13)+1,"Sí","No","No conozco programas de ese tipo"),"")</f>
        <v/>
      </c>
      <c r="AA56" t="str">
        <f t="shared" si="7"/>
        <v>Puedo hacerlo con dificultad</v>
      </c>
      <c r="AB56" t="str">
        <f t="shared" si="7"/>
        <v>Puedo hacerlo con dificultad</v>
      </c>
      <c r="AC56" t="str">
        <f t="shared" si="8"/>
        <v>Puedo hacerlo sin ayuda</v>
      </c>
      <c r="AD56" s="9" t="str">
        <f t="shared" si="9"/>
        <v>Puedo hacerlo con ayuda</v>
      </c>
      <c r="AE56" t="str">
        <f t="shared" si="10"/>
        <v>Puedo hacerlo con dificultad</v>
      </c>
      <c r="AF56" s="9" t="str">
        <f t="shared" si="11"/>
        <v>Crear una hoja de vida;Preparación para entrevista</v>
      </c>
      <c r="AG56" s="9" t="str">
        <f t="shared" si="17"/>
        <v>Costos de transporte</v>
      </c>
      <c r="AH56" t="str">
        <f t="shared" si="12"/>
        <v>Programas de emprendimiento</v>
      </c>
      <c r="AI56" s="9" t="str">
        <f t="shared" si="13"/>
        <v>Virtual</v>
      </c>
      <c r="AJ56" s="9" t="str">
        <f t="shared" si="14"/>
        <v>Mañana entre semana</v>
      </c>
      <c r="AK56" s="9" t="str">
        <f t="shared" si="15"/>
        <v>Redes sociales</v>
      </c>
    </row>
    <row r="57" spans="1:37">
      <c r="A57" t="str">
        <f t="shared" si="16"/>
        <v>SG056</v>
      </c>
      <c r="B57" t="s">
        <v>418</v>
      </c>
      <c r="C57" s="9" t="s">
        <v>427</v>
      </c>
      <c r="D57" t="str">
        <f t="shared" si="0"/>
        <v>Femenino</v>
      </c>
      <c r="E57" t="str">
        <f t="shared" si="1"/>
        <v>De 18 a 20 años</v>
      </c>
      <c r="F57">
        <f t="shared" si="2"/>
        <v>19</v>
      </c>
      <c r="G57" s="9" t="s">
        <v>428</v>
      </c>
      <c r="H57" s="9" t="str">
        <f t="shared" si="3"/>
        <v>Bachiller</v>
      </c>
      <c r="I57" s="9" t="str">
        <f t="shared" si="4"/>
        <v>Estudio y quiero comenzar a trabajar</v>
      </c>
      <c r="J57" s="13" t="str">
        <f>IF(I57="Trabajo actualmente como empleado",IF(MOD((COUNTIF($I$2:I57,"Trabajo actualmente como empleado")-1)*37,150)&lt;100,"Empleado con contrato","Empleado sin contrato formal"),IF(I57="Trabajo de manera independiente","Trabajo independiente",""))</f>
        <v/>
      </c>
      <c r="K57" s="9" t="str">
        <f>IF(OR(I57="Trabajo actualmente como empleado",I57="Trabajo de manera independiente"),CHOOSE(MOD(COUNTIF($I$2:I57,I57)-1,4)+1,"Menos de 3 meses","De 3 a 6 meses","De 7 a 12 meses","Más de un año"),"")</f>
        <v/>
      </c>
      <c r="L57" t="str">
        <f>IF(OR(I57="Trabajo actualmente como empleado",I57="Trabajo de manera independiente"),CHOOSE(MOD(COUNTIF($I$2:I57,I57)-1,3)+1,"Sí, completamente","Parcialmente","No"),"")</f>
        <v/>
      </c>
      <c r="M57" t="str">
        <f>IF(OR(I57="Trabajo actualmente como empleado",I57="Trabajo de manera independiente"),CHOOSE(MOD(INT((COUNTIF($I$2:I57,I57)-1)/3),4)+1,"1- Muy satisfecho/a","2- Satisfecho/a","3- Insatisfecho/a","4- Muy insatisfecho/a"),"")</f>
        <v/>
      </c>
      <c r="N57" t="str">
        <f>IF(OR(I57="Trabajo actualmente como empleado",I57="Trabajo de manera independiente"),_xlfn.LET(_xlpm.opcion,MOD(INT((COUNTIF($I$2:I57,I57)-1)/5),6)+1,CHOOSE(IF(AND(_xlpm.opcion=6,L57="Sí, completamente"),5,_xlpm.opcion),"Salario","Estabilidad laboral","Horario","Acceso a prestaciones","Oportunidades de crecimiento","Trabajar en un área relacionada con mi formación")),"")</f>
        <v/>
      </c>
      <c r="O57" s="9" t="str">
        <f>IF(OR(I57="Trabajo actualmente como empleado",I57="Trabajo de manera independiente"),_xlfn.LET(_xlpm.turno,MOD(COUNTIF($I$2:I57,I57)-1,5),_xlpm.nivel,VALUE(LEFT(M57,1)),IF(_xlpm.turno=4,"No estoy seguro/a",IF(_xlpm.turno&lt;IF(_xlpm.nivel&lt;=2,1,3),"Sí","No"))),"")</f>
        <v/>
      </c>
      <c r="P57" s="9" t="str">
        <f>_xlfn.LET(_xlpm.perfil,I57,_xlpm.turno,COUNTIF($I$2:I57,_xlpm.perfil)-1,_xlpm.busca,OR(_xlpm.perfil="Actualmente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trabajar"),IF(AND(_xlpm.trabaja,O57="No"),"Todavía no he iniciado una búsqueda activa",CHOOSE(MOD(_xlpm.turno*3,5)+1,"Menos de 1 mes","Entre 1 y 3 meses","Entre 4 y 6 meses","Más de 6 meses","Todavía no he iniciado una búsqueda activa")),"")))</f>
        <v>Más de 6 meses</v>
      </c>
      <c r="Q57" t="str">
        <f>IF(I57="Tengo un emprendimiento o quiero iniciar uno","",CHOOSE(MOD(INT((COUNTIF($I$2:I57,I57)-1)/7),3)+1,"Sí","No","Tengo una pero necesito actualizarla"))</f>
        <v>Sí</v>
      </c>
      <c r="R57" s="9" t="str">
        <f>IF(I57="Tengo un emprendimiento o quiero iniciar uno","",IF(I57="Busco mi primer empleo","No",IF(MOD(COUNTIF($I$2:I57,I57)-1,2)=0,"Sí","No")))</f>
        <v>Sí</v>
      </c>
      <c r="S57" t="str">
        <f>IF(I57="Tengo un emprendimiento o quiero iniciar uno","",CHOOSE(MOD(INT((COUNTIF($I$2:I57,I57)-1)/3),10)+1,"Portales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57" t="str">
        <f>IF(I57="Tengo un emprendimiento o quiero iniciar uno","",_xlfn.LET(_xlpm.opcion,MOD(INT((COUNTIF($I$2:I57,I57)-1)/4),6)+1,CHOOSE(IF(AND(_xlpm.opcion=3,Q57="Sí"),1,_xlpm.opcion),"Falta de experiencia","Falta de formación","Dificultades con la hoja de vida","Horarios disponibles","Transporte","Internet")))</f>
        <v>Falta de formación</v>
      </c>
      <c r="U57" s="9" t="str">
        <f>IF(I57="Tengo un emprendimiento o quiero iniciar uno","",IF(MOD(INT((COUNTIF($I$2:I57,I57)-1)/3),2)=0,"Sí","No"))</f>
        <v>Sí</v>
      </c>
      <c r="V57" s="9" t="str">
        <f>IF(I57="Tengo un emprendimiento o quiero iniciar uno",CHOOSE(MOD(COUNTIF($I$2:I57,I57)-1,3)+1,"Tengo un emprendimiento","Estoy iniciando un emprendimiento","Me interesa emprender"),"")</f>
        <v/>
      </c>
      <c r="W57" t="str">
        <f t="shared" si="5"/>
        <v/>
      </c>
      <c r="X57" s="9" t="str">
        <f>IF(I57="Tengo un emprendimiento o quiero iniciar uno",CHOOSE(MOD(COUNTIF($I$2:I57,I57)-1,5)+1,"Falta de financiación","Falta de conocimientos administrativos","Falta de conocimientos financieros","Falta de tiempo","Falta de herramientas"),"")</f>
        <v/>
      </c>
      <c r="Y57" s="9" t="str">
        <f t="shared" si="6"/>
        <v/>
      </c>
      <c r="Z57" t="str">
        <f>IF(I57="Tengo un emprendimiento o quiero iniciar uno",CHOOSE(INT(MOD((COUNTIF($I$2:I57,I57)-1)*7,39)/13)+1,"Sí","No","No conozco programas de ese tipo"),"")</f>
        <v/>
      </c>
      <c r="AA57" t="str">
        <f t="shared" si="7"/>
        <v>Puedo hacerlo sin ayuda</v>
      </c>
      <c r="AB57" t="str">
        <f t="shared" si="7"/>
        <v>Puedo hacerlo sin ayuda</v>
      </c>
      <c r="AC57" t="str">
        <f t="shared" si="8"/>
        <v>No puedo hacerlo</v>
      </c>
      <c r="AD57" s="9" t="str">
        <f t="shared" si="9"/>
        <v>Puedo hacerlo con ayuda</v>
      </c>
      <c r="AE57" t="str">
        <f t="shared" si="10"/>
        <v>Puedo hacerlo sin ayuda</v>
      </c>
      <c r="AF57" s="9" t="str">
        <f t="shared" si="11"/>
        <v>Comunicación;Liderazgo</v>
      </c>
      <c r="AG57" s="9" t="str">
        <f t="shared" si="17"/>
        <v>Costos de transporte</v>
      </c>
      <c r="AH57" t="str">
        <f t="shared" si="12"/>
        <v>No conozco ninguno</v>
      </c>
      <c r="AI57" s="9" t="str">
        <f t="shared" si="13"/>
        <v>Presencial y virtual</v>
      </c>
      <c r="AJ57" s="9" t="str">
        <f t="shared" si="14"/>
        <v>Fines de semana</v>
      </c>
      <c r="AK57" s="9" t="str">
        <f t="shared" si="15"/>
        <v>WhatsApp</v>
      </c>
    </row>
    <row r="58" spans="1:37">
      <c r="A58" t="str">
        <f t="shared" si="16"/>
        <v>SG057</v>
      </c>
      <c r="B58" t="s">
        <v>418</v>
      </c>
      <c r="C58" s="9" t="s">
        <v>427</v>
      </c>
      <c r="D58" t="str">
        <f t="shared" si="0"/>
        <v>Masculino</v>
      </c>
      <c r="E58" t="str">
        <f t="shared" si="1"/>
        <v>De 20 a 22 años</v>
      </c>
      <c r="F58">
        <f t="shared" si="2"/>
        <v>21</v>
      </c>
      <c r="G58" s="9" t="s">
        <v>428</v>
      </c>
      <c r="H58" s="9" t="str">
        <f t="shared" si="3"/>
        <v>Bachiller</v>
      </c>
      <c r="I58" s="9" t="str">
        <f t="shared" si="4"/>
        <v>Trabajo actualmente como empleado</v>
      </c>
      <c r="J58" s="13" t="str">
        <f>IF(I58="Trabajo actualmente como empleado",IF(MOD((COUNTIF($I$2:I58,"Trabajo actualmente como empleado")-1)*37,150)&lt;100,"Empleado con contrato","Empleado sin contrato formal"),IF(I58="Trabajo de manera independiente","Trabajo independiente",""))</f>
        <v>Empleado con contrato</v>
      </c>
      <c r="K58" s="9" t="str">
        <f>IF(OR(I58="Trabajo actualmente como empleado",I58="Trabajo de manera independiente"),CHOOSE(MOD(COUNTIF($I$2:I58,I58)-1,4)+1,"Menos de 3 meses","De 3 a 6 meses","De 7 a 12 meses","Más de un año"),"")</f>
        <v>De 7 a 12 meses</v>
      </c>
      <c r="L58" t="str">
        <f>IF(OR(I58="Trabajo actualmente como empleado",I58="Trabajo de manera independiente"),CHOOSE(MOD(COUNTIF($I$2:I58,I58)-1,3)+1,"Sí, completamente","Parcialmente","No"),"")</f>
        <v>Sí, completamente</v>
      </c>
      <c r="M58" t="str">
        <f>IF(OR(I58="Trabajo actualmente como empleado",I58="Trabajo de manera independiente"),CHOOSE(MOD(INT((COUNTIF($I$2:I58,I58)-1)/3),4)+1,"1- Muy satisfecho/a","2- Satisfecho/a","3- Insatisfecho/a","4- Muy insatisfecho/a"),"")</f>
        <v>3- Insatisfecho/a</v>
      </c>
      <c r="N58" t="str">
        <f>IF(OR(I58="Trabajo actualmente como empleado",I58="Trabajo de manera independiente"),_xlfn.LET(_xlpm.opcion,MOD(INT((COUNTIF($I$2:I58,I58)-1)/5),6)+1,CHOOSE(IF(AND(_xlpm.opcion=6,L58="Sí, completamente"),5,_xlpm.opcion),"Salario","Estabilidad laboral","Horario","Acceso a prestaciones","Oportunidades de crecimiento","Trabajar en un área relacionada con mi formación")),"")</f>
        <v>Acceso a prestaciones</v>
      </c>
      <c r="O58" s="9" t="str">
        <f>IF(OR(I58="Trabajo actualmente como empleado",I58="Trabajo de manera independiente"),_xlfn.LET(_xlpm.turno,MOD(COUNTIF($I$2:I58,I58)-1,5),_xlpm.nivel,VALUE(LEFT(M58,1)),IF(_xlpm.turno=4,"No estoy seguro/a",IF(_xlpm.turno&lt;IF(_xlpm.nivel&lt;=2,1,3),"Sí","No"))),"")</f>
        <v>No</v>
      </c>
      <c r="P58" s="9" t="str">
        <f>_xlfn.LET(_xlpm.perfil,I58,_xlpm.turno,COUNTIF($I$2:I58,_xlpm.perfil)-1,_xlpm.busca,OR(_xlpm.perfil="Actualmente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58" t="str">
        <f>IF(I58="Tengo un emprendimiento o quiero iniciar uno","",CHOOSE(MOD(INT((COUNTIF($I$2:I58,I58)-1)/7),3)+1,"Sí","No","Tengo una pero necesito actualizarla"))</f>
        <v>Tengo una pero necesito actualizarla</v>
      </c>
      <c r="R58" s="9" t="str">
        <f>IF(I58="Tengo un emprendimiento o quiero iniciar uno","",IF(I58="Busco mi primer empleo","No",IF(MOD(COUNTIF($I$2:I58,I58)-1,2)=0,"Sí","No")))</f>
        <v>Sí</v>
      </c>
      <c r="S58" t="str">
        <f>IF(I58="Tengo un emprendimiento o quiero iniciar uno","",CHOOSE(MOD(INT((COUNTIF($I$2:I58,I58)-1)/3),10)+1,"Portales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58" t="str">
        <f>IF(I58="Tengo un emprendimiento o quiero iniciar uno","",_xlfn.LET(_xlpm.opcion,MOD(INT((COUNTIF($I$2:I58,I58)-1)/4),6)+1,CHOOSE(IF(AND(_xlpm.opcion=3,Q58="Sí"),1,_xlpm.opcion),"Falta de experiencia","Falta de formación","Dificultades con la hoja de vida","Horarios disponibles","Transporte","Internet")))</f>
        <v>Transporte</v>
      </c>
      <c r="U58" s="9" t="str">
        <f>IF(I58="Tengo un emprendimiento o quiero iniciar uno","",IF(MOD(INT((COUNTIF($I$2:I58,I58)-1)/3),2)=0,"Sí","No"))</f>
        <v>Sí</v>
      </c>
      <c r="V58" s="9" t="str">
        <f>IF(I58="Tengo un emprendimiento o quiero iniciar uno",CHOOSE(MOD(COUNTIF($I$2:I58,I58)-1,3)+1,"Tengo un emprendimiento","Estoy iniciando un emprendimiento","Me interesa emprender"),"")</f>
        <v/>
      </c>
      <c r="W58" t="str">
        <f t="shared" si="5"/>
        <v/>
      </c>
      <c r="X58" s="9" t="str">
        <f>IF(I58="Tengo un emprendimiento o quiero iniciar uno",CHOOSE(MOD(COUNTIF($I$2:I58,I58)-1,5)+1,"Falta de financiación","Falta de conocimientos administrativos","Falta de conocimientos financieros","Falta de tiempo","Falta de herramientas"),"")</f>
        <v/>
      </c>
      <c r="Y58" s="9" t="str">
        <f t="shared" si="6"/>
        <v/>
      </c>
      <c r="Z58" t="str">
        <f>IF(I58="Tengo un emprendimiento o quiero iniciar uno",CHOOSE(INT(MOD((COUNTIF($I$2:I58,I58)-1)*7,39)/13)+1,"Sí","No","No conozco programas de ese tipo"),"")</f>
        <v/>
      </c>
      <c r="AA58" t="str">
        <f t="shared" si="7"/>
        <v>Puedo hacerlo con ayuda</v>
      </c>
      <c r="AB58" t="str">
        <f t="shared" si="7"/>
        <v>Puedo hacerlo con ayuda</v>
      </c>
      <c r="AC58" t="str">
        <f t="shared" si="8"/>
        <v>Puedo hacerlo con dificultad</v>
      </c>
      <c r="AD58" s="9" t="str">
        <f t="shared" si="9"/>
        <v>Puedo hacerlo con dificultad</v>
      </c>
      <c r="AE58" t="str">
        <f t="shared" si="10"/>
        <v>Puedo hacerlo sin ayuda</v>
      </c>
      <c r="AF58" s="9" t="str">
        <f t="shared" si="11"/>
        <v>Herramientas digitales;Educación financiera</v>
      </c>
      <c r="AG58" s="9" t="str">
        <f t="shared" si="17"/>
        <v>Costos de transporte</v>
      </c>
      <c r="AH58" t="str">
        <f t="shared" si="12"/>
        <v>Ferias de empleo</v>
      </c>
      <c r="AI58" s="9" t="str">
        <f t="shared" si="13"/>
        <v>Me es indiferente</v>
      </c>
      <c r="AJ58" s="9" t="str">
        <f t="shared" si="14"/>
        <v>Nocturno</v>
      </c>
      <c r="AK58" s="9" t="str">
        <f t="shared" si="15"/>
        <v>Correo electrónico</v>
      </c>
    </row>
    <row r="59" spans="1:37">
      <c r="A59" t="str">
        <f t="shared" si="16"/>
        <v>SG058</v>
      </c>
      <c r="B59" t="s">
        <v>418</v>
      </c>
      <c r="C59" s="9" t="s">
        <v>427</v>
      </c>
      <c r="D59" t="str">
        <f t="shared" si="0"/>
        <v>Masculino</v>
      </c>
      <c r="E59" t="str">
        <f t="shared" si="1"/>
        <v>De 22 a 24 años</v>
      </c>
      <c r="F59">
        <f t="shared" si="2"/>
        <v>23</v>
      </c>
      <c r="G59" s="9" t="s">
        <v>428</v>
      </c>
      <c r="H59" s="9" t="str">
        <f t="shared" si="3"/>
        <v>Bachiller</v>
      </c>
      <c r="I59" s="9" t="str">
        <f t="shared" si="4"/>
        <v>Actualmente no trabajo y estoy buscando empleo</v>
      </c>
      <c r="J59" s="13" t="str">
        <f>IF(I59="Trabajo actualmente como empleado",IF(MOD((COUNTIF($I$2:I59,"Trabajo actualmente como empleado")-1)*37,150)&lt;100,"Empleado con contrato","Empleado sin contrato formal"),IF(I59="Trabajo de manera independiente","Trabajo independiente",""))</f>
        <v/>
      </c>
      <c r="K59" s="9" t="str">
        <f>IF(OR(I59="Trabajo actualmente como empleado",I59="Trabajo de manera independiente"),CHOOSE(MOD(COUNTIF($I$2:I59,I59)-1,4)+1,"Menos de 3 meses","De 3 a 6 meses","De 7 a 12 meses","Más de un año"),"")</f>
        <v/>
      </c>
      <c r="L59" t="str">
        <f>IF(OR(I59="Trabajo actualmente como empleado",I59="Trabajo de manera independiente"),CHOOSE(MOD(COUNTIF($I$2:I59,I59)-1,3)+1,"Sí, completamente","Parcialmente","No"),"")</f>
        <v/>
      </c>
      <c r="M59" t="str">
        <f>IF(OR(I59="Trabajo actualmente como empleado",I59="Trabajo de manera independiente"),CHOOSE(MOD(INT((COUNTIF($I$2:I59,I59)-1)/3),4)+1,"1- Muy satisfecho/a","2- Satisfecho/a","3- Insatisfecho/a","4- Muy insatisfecho/a"),"")</f>
        <v/>
      </c>
      <c r="N59" t="str">
        <f>IF(OR(I59="Trabajo actualmente como empleado",I59="Trabajo de manera independiente"),_xlfn.LET(_xlpm.opcion,MOD(INT((COUNTIF($I$2:I59,I59)-1)/5),6)+1,CHOOSE(IF(AND(_xlpm.opcion=6,L59="Sí, completamente"),5,_xlpm.opcion),"Salario","Estabilidad laboral","Horario","Acceso a prestaciones","Oportunidades de crecimiento","Trabajar en un área relacionada con mi formación")),"")</f>
        <v/>
      </c>
      <c r="O59" s="9" t="str">
        <f>IF(OR(I59="Trabajo actualmente como empleado",I59="Trabajo de manera independiente"),_xlfn.LET(_xlpm.turno,MOD(COUNTIF($I$2:I59,I59)-1,5),_xlpm.nivel,VALUE(LEFT(M59,1)),IF(_xlpm.turno=4,"No estoy seguro/a",IF(_xlpm.turno&lt;IF(_xlpm.nivel&lt;=2,1,3),"Sí","No"))),"")</f>
        <v/>
      </c>
      <c r="P59" s="9" t="str">
        <f>_xlfn.LET(_xlpm.perfil,I59,_xlpm.turno,COUNTIF($I$2:I59,_xlpm.perfil)-1,_xlpm.busca,OR(_xlpm.perfil="Actualmente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trabajar"),IF(AND(_xlpm.trabaja,O59="No"),"Todavía no he iniciado una búsqueda activa",CHOOSE(MOD(_xlpm.turno*3,5)+1,"Menos de 1 mes","Entre 1 y 3 meses","Entre 4 y 6 meses","Más de 6 meses","Todavía no he iniciado una búsqueda activa")),"")))</f>
        <v>Más de 6 meses</v>
      </c>
      <c r="Q59" t="str">
        <f>IF(I59="Tengo un emprendimiento o quiero iniciar uno","",CHOOSE(MOD(INT((COUNTIF($I$2:I59,I59)-1)/7),3)+1,"Sí","No","Tengo una pero necesito actualizarla"))</f>
        <v>No</v>
      </c>
      <c r="R59" s="9" t="str">
        <f>IF(I59="Tengo un emprendimiento o quiero iniciar uno","",IF(I59="Busco mi primer empleo","No",IF(MOD(COUNTIF($I$2:I59,I59)-1,2)=0,"Sí","No")))</f>
        <v>No</v>
      </c>
      <c r="S59" t="str">
        <f>IF(I59="Tengo un emprendimiento o quiero iniciar uno","",CHOOSE(MOD(INT((COUNTIF($I$2:I59,I59)-1)/3),10)+1,"Portales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59" t="str">
        <f>IF(I59="Tengo un emprendimiento o quiero iniciar uno","",_xlfn.LET(_xlpm.opcion,MOD(INT((COUNTIF($I$2:I59,I59)-1)/4),6)+1,CHOOSE(IF(AND(_xlpm.opcion=3,Q59="Sí"),1,_xlpm.opcion),"Falta de experiencia","Falta de formación","Dificultades con la hoja de vida","Horarios disponibles","Transporte","Internet")))</f>
        <v>Dificultades con la hoja de vida</v>
      </c>
      <c r="U59" s="9" t="str">
        <f>IF(I59="Tengo un emprendimiento o quiero iniciar uno","",IF(MOD(INT((COUNTIF($I$2:I59,I59)-1)/3),2)=0,"Sí","No"))</f>
        <v>No</v>
      </c>
      <c r="V59" s="9" t="str">
        <f>IF(I59="Tengo un emprendimiento o quiero iniciar uno",CHOOSE(MOD(COUNTIF($I$2:I59,I59)-1,3)+1,"Tengo un emprendimiento","Estoy iniciando un emprendimiento","Me interesa emprender"),"")</f>
        <v/>
      </c>
      <c r="W59" t="str">
        <f t="shared" si="5"/>
        <v/>
      </c>
      <c r="X59" s="9" t="str">
        <f>IF(I59="Tengo un emprendimiento o quiero iniciar uno",CHOOSE(MOD(COUNTIF($I$2:I59,I59)-1,5)+1,"Falta de financiación","Falta de conocimientos administrativos","Falta de conocimientos financieros","Falta de tiempo","Falta de herramientas"),"")</f>
        <v/>
      </c>
      <c r="Y59" s="9" t="str">
        <f t="shared" si="6"/>
        <v/>
      </c>
      <c r="Z59" t="str">
        <f>IF(I59="Tengo un emprendimiento o quiero iniciar uno",CHOOSE(INT(MOD((COUNTIF($I$2:I59,I59)-1)*7,39)/13)+1,"Sí","No","No conozco programas de ese tipo"),"")</f>
        <v/>
      </c>
      <c r="AA59" t="str">
        <f t="shared" si="7"/>
        <v>Puedo hacerlo con dificultad</v>
      </c>
      <c r="AB59" t="str">
        <f t="shared" si="7"/>
        <v>Puedo hacerlo con dificultad</v>
      </c>
      <c r="AC59" t="str">
        <f t="shared" si="8"/>
        <v>Puedo hacerlo sin ayuda</v>
      </c>
      <c r="AD59" s="9" t="str">
        <f t="shared" si="9"/>
        <v>Puedo hacerlo sin ayuda</v>
      </c>
      <c r="AE59" t="str">
        <f t="shared" si="10"/>
        <v>No puedo hacerlo</v>
      </c>
      <c r="AF59" s="9" t="str">
        <f t="shared" si="11"/>
        <v>Crear una hoja de vida</v>
      </c>
      <c r="AG59" s="9" t="str">
        <f t="shared" si="17"/>
        <v>Horarios;Falta de información</v>
      </c>
      <c r="AH59" t="str">
        <f t="shared" si="12"/>
        <v>No conozco ninguno</v>
      </c>
      <c r="AI59" s="9" t="str">
        <f t="shared" si="13"/>
        <v>Virtual</v>
      </c>
      <c r="AJ59" s="9" t="str">
        <f t="shared" si="14"/>
        <v>Mañana entre semana</v>
      </c>
      <c r="AK59" s="9" t="str">
        <f t="shared" si="15"/>
        <v>Celular</v>
      </c>
    </row>
    <row r="60" spans="1:37">
      <c r="A60" t="str">
        <f t="shared" si="16"/>
        <v>SG059</v>
      </c>
      <c r="B60" t="s">
        <v>418</v>
      </c>
      <c r="C60" s="9" t="s">
        <v>427</v>
      </c>
      <c r="D60" t="str">
        <f t="shared" si="0"/>
        <v>Femenino</v>
      </c>
      <c r="E60" t="str">
        <f t="shared" si="1"/>
        <v>De 24 a 26 años</v>
      </c>
      <c r="F60">
        <f t="shared" si="2"/>
        <v>25</v>
      </c>
      <c r="G60" s="9" t="s">
        <v>428</v>
      </c>
      <c r="H60" s="9" t="str">
        <f t="shared" si="3"/>
        <v>Técnico</v>
      </c>
      <c r="I60" s="9" t="str">
        <f t="shared" si="4"/>
        <v>Tengo un emprendimiento o quiero iniciar uno</v>
      </c>
      <c r="J60" s="13" t="str">
        <f>IF(I60="Trabajo actualmente como empleado",IF(MOD((COUNTIF($I$2:I60,"Trabajo actualmente como empleado")-1)*37,150)&lt;100,"Empleado con contrato","Empleado sin contrato formal"),IF(I60="Trabajo de manera independiente","Trabajo independiente",""))</f>
        <v/>
      </c>
      <c r="K60" s="9" t="str">
        <f>IF(OR(I60="Trabajo actualmente como empleado",I60="Trabajo de manera independiente"),CHOOSE(MOD(COUNTIF($I$2:I60,I60)-1,4)+1,"Menos de 3 meses","De 3 a 6 meses","De 7 a 12 meses","Más de un año"),"")</f>
        <v/>
      </c>
      <c r="L60" t="str">
        <f>IF(OR(I60="Trabajo actualmente como empleado",I60="Trabajo de manera independiente"),CHOOSE(MOD(COUNTIF($I$2:I60,I60)-1,3)+1,"Sí, completamente","Parcialmente","No"),"")</f>
        <v/>
      </c>
      <c r="M60" t="str">
        <f>IF(OR(I60="Trabajo actualmente como empleado",I60="Trabajo de manera independiente"),CHOOSE(MOD(INT((COUNTIF($I$2:I60,I60)-1)/3),4)+1,"1- Muy satisfecho/a","2- Satisfecho/a","3- Insatisfecho/a","4- Muy insatisfecho/a"),"")</f>
        <v/>
      </c>
      <c r="N60" t="str">
        <f>IF(OR(I60="Trabajo actualmente como empleado",I60="Trabajo de manera independiente"),_xlfn.LET(_xlpm.opcion,MOD(INT((COUNTIF($I$2:I60,I60)-1)/5),6)+1,CHOOSE(IF(AND(_xlpm.opcion=6,L60="Sí, completamente"),5,_xlpm.opcion),"Salario","Estabilidad laboral","Horario","Acceso a prestaciones","Oportunidades de crecimiento","Trabajar en un área relacionada con mi formación")),"")</f>
        <v/>
      </c>
      <c r="O60" s="9" t="str">
        <f>IF(OR(I60="Trabajo actualmente como empleado",I60="Trabajo de manera independiente"),_xlfn.LET(_xlpm.turno,MOD(COUNTIF($I$2:I60,I60)-1,5),_xlpm.nivel,VALUE(LEFT(M60,1)),IF(_xlpm.turno=4,"No estoy seguro/a",IF(_xlpm.turno&lt;IF(_xlpm.nivel&lt;=2,1,3),"Sí","No"))),"")</f>
        <v/>
      </c>
      <c r="P60" s="9" t="str">
        <f>_xlfn.LET(_xlpm.perfil,I60,_xlpm.turno,COUNTIF($I$2:I60,_xlpm.perfil)-1,_xlpm.busca,OR(_xlpm.perfil="Actualmente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trabajar"),IF(AND(_xlpm.trabaja,O60="No"),"Todavía no he iniciado una búsqueda activa",CHOOSE(MOD(_xlpm.turno*3,5)+1,"Menos de 1 mes","Entre 1 y 3 meses","Entre 4 y 6 meses","Más de 6 meses","Todavía no he iniciado una búsqueda activa")),"")))</f>
        <v/>
      </c>
      <c r="Q60" t="str">
        <f>IF(I60="Tengo un emprendimiento o quiero iniciar uno","",CHOOSE(MOD(INT((COUNTIF($I$2:I60,I60)-1)/7),3)+1,"Sí","No","Tengo una pero necesito actualizarla"))</f>
        <v/>
      </c>
      <c r="R60" s="9" t="str">
        <f>IF(I60="Tengo un emprendimiento o quiero iniciar uno","",IF(I60="Busco mi primer empleo","No",IF(MOD(COUNTIF($I$2:I60,I60)-1,2)=0,"Sí","No")))</f>
        <v/>
      </c>
      <c r="S60" t="str">
        <f>IF(I60="Tengo un emprendimiento o quiero iniciar uno","",CHOOSE(MOD(INT((COUNTIF($I$2:I60,I60)-1)/3),10)+1,"Portales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60" t="str">
        <f>IF(I60="Tengo un emprendimiento o quiero iniciar uno","",_xlfn.LET(_xlpm.opcion,MOD(INT((COUNTIF($I$2:I60,I60)-1)/4),6)+1,CHOOSE(IF(AND(_xlpm.opcion=3,Q60="Sí"),1,_xlpm.opcion),"Falta de experiencia","Falta de formación","Dificultades con la hoja de vida","Horarios disponibles","Transporte","Internet")))</f>
        <v/>
      </c>
      <c r="U60" s="9" t="str">
        <f>IF(I60="Tengo un emprendimiento o quiero iniciar uno","",IF(MOD(INT((COUNTIF($I$2:I60,I60)-1)/3),2)=0,"Sí","No"))</f>
        <v/>
      </c>
      <c r="V60" s="9" t="str">
        <f>IF(I60="Tengo un emprendimiento o quiero iniciar uno",CHOOSE(MOD(COUNTIF($I$2:I60,I60)-1,3)+1,"Tengo un emprendimiento","Estoy iniciando un emprendimiento","Me interesa emprender"),"")</f>
        <v>Estoy iniciando un emprendimiento</v>
      </c>
      <c r="W60" t="str">
        <f t="shared" si="5"/>
        <v>Inicio</v>
      </c>
      <c r="X60" s="9" t="str">
        <f>IF(I60="Tengo un emprendimiento o quiero iniciar uno",CHOOSE(MOD(COUNTIF($I$2:I60,I60)-1,5)+1,"Falta de financiación","Falta de conocimientos administrativos","Falta de conocimientos financieros","Falta de tiempo","Falta de herramientas"),"")</f>
        <v>Falta de herramientas</v>
      </c>
      <c r="Y60" s="9" t="str">
        <f t="shared" si="6"/>
        <v>Falta de herramientas</v>
      </c>
      <c r="Z60" t="str">
        <f>IF(I60="Tengo un emprendimiento o quiero iniciar uno",CHOOSE(INT(MOD((COUNTIF($I$2:I60,I60)-1)*7,39)/13)+1,"Sí","No","No conozco programas de ese tipo"),"")</f>
        <v>No conozco programas de ese tipo</v>
      </c>
      <c r="AA60" t="str">
        <f t="shared" si="7"/>
        <v>No puedo hacerlo</v>
      </c>
      <c r="AB60" t="str">
        <f t="shared" si="7"/>
        <v>No puedo hacerlo</v>
      </c>
      <c r="AC60" t="str">
        <f t="shared" si="8"/>
        <v>No puedo hacerlo</v>
      </c>
      <c r="AD60" s="9" t="str">
        <f t="shared" si="9"/>
        <v>No puedo hacerlo</v>
      </c>
      <c r="AE60" t="str">
        <f t="shared" si="10"/>
        <v>No puedo hacerlo</v>
      </c>
      <c r="AF60" s="9" t="str">
        <f t="shared" si="11"/>
        <v>Preparación para entrevista</v>
      </c>
      <c r="AG60" s="9" t="str">
        <f t="shared" si="17"/>
        <v>Horarios;Falta de información</v>
      </c>
      <c r="AH60" t="str">
        <f t="shared" si="12"/>
        <v>Oficina de orientación laboral</v>
      </c>
      <c r="AI60" s="9" t="str">
        <f t="shared" si="13"/>
        <v>Presencial y virtual</v>
      </c>
      <c r="AJ60" s="9" t="str">
        <f t="shared" si="14"/>
        <v>Fines de semana</v>
      </c>
      <c r="AK60" s="9" t="str">
        <f t="shared" si="15"/>
        <v>WhatsApp</v>
      </c>
    </row>
    <row r="61" spans="1:37">
      <c r="A61" t="str">
        <f t="shared" si="16"/>
        <v>SG060</v>
      </c>
      <c r="B61" t="s">
        <v>418</v>
      </c>
      <c r="C61" s="9" t="s">
        <v>427</v>
      </c>
      <c r="D61" t="str">
        <f t="shared" si="0"/>
        <v>Femenino</v>
      </c>
      <c r="E61" t="str">
        <f t="shared" si="1"/>
        <v>De 26 a 28 años</v>
      </c>
      <c r="F61">
        <f t="shared" si="2"/>
        <v>28</v>
      </c>
      <c r="G61" s="9" t="s">
        <v>428</v>
      </c>
      <c r="H61" s="9" t="str">
        <f t="shared" si="3"/>
        <v>Tecnólogo</v>
      </c>
      <c r="I61" s="9" t="str">
        <f t="shared" si="4"/>
        <v>Trabajo actualmente como empleado</v>
      </c>
      <c r="J61" s="13" t="str">
        <f>IF(I61="Trabajo actualmente como empleado",IF(MOD((COUNTIF($I$2:I61,"Trabajo actualmente como empleado")-1)*37,150)&lt;100,"Empleado con contrato","Empleado sin contrato formal"),IF(I61="Trabajo de manera independiente","Trabajo independiente",""))</f>
        <v>Empleado sin contrato formal</v>
      </c>
      <c r="K61" s="9" t="str">
        <f>IF(OR(I61="Trabajo actualmente como empleado",I61="Trabajo de manera independiente"),CHOOSE(MOD(COUNTIF($I$2:I61,I61)-1,4)+1,"Menos de 3 meses","De 3 a 6 meses","De 7 a 12 meses","Más de un año"),"")</f>
        <v>Más de un año</v>
      </c>
      <c r="L61" t="str">
        <f>IF(OR(I61="Trabajo actualmente como empleado",I61="Trabajo de manera independiente"),CHOOSE(MOD(COUNTIF($I$2:I61,I61)-1,3)+1,"Sí, completamente","Parcialmente","No"),"")</f>
        <v>Parcialmente</v>
      </c>
      <c r="M61" t="str">
        <f>IF(OR(I61="Trabajo actualmente como empleado",I61="Trabajo de manera independiente"),CHOOSE(MOD(INT((COUNTIF($I$2:I61,I61)-1)/3),4)+1,"1- Muy satisfecho/a","2- Satisfecho/a","3- Insatisfecho/a","4- Muy insatisfecho/a"),"")</f>
        <v>3- Insatisfecho/a</v>
      </c>
      <c r="N61" t="str">
        <f>IF(OR(I61="Trabajo actualmente como empleado",I61="Trabajo de manera independiente"),_xlfn.LET(_xlpm.opcion,MOD(INT((COUNTIF($I$2:I61,I61)-1)/5),6)+1,CHOOSE(IF(AND(_xlpm.opcion=6,L61="Sí, completamente"),5,_xlpm.opcion),"Salario","Estabilidad laboral","Horario","Acceso a prestaciones","Oportunidades de crecimiento","Trabajar en un área relacionada con mi formación")),"")</f>
        <v>Acceso a prestaciones</v>
      </c>
      <c r="O61" s="9" t="str">
        <f>IF(OR(I61="Trabajo actualmente como empleado",I61="Trabajo de manera independiente"),_xlfn.LET(_xlpm.turno,MOD(COUNTIF($I$2:I61,I61)-1,5),_xlpm.nivel,VALUE(LEFT(M61,1)),IF(_xlpm.turno=4,"No estoy seguro/a",IF(_xlpm.turno&lt;IF(_xlpm.nivel&lt;=2,1,3),"Sí","No"))),"")</f>
        <v>No estoy seguro/a</v>
      </c>
      <c r="P61" s="9" t="str">
        <f>_xlfn.LET(_xlpm.perfil,I61,_xlpm.turno,COUNTIF($I$2:I61,_xlpm.perfil)-1,_xlpm.busca,OR(_xlpm.perfil="Actualmente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trabajar"),IF(AND(_xlpm.trabaja,O61="No"),"Todavía no he iniciado una búsqueda activa",CHOOSE(MOD(_xlpm.turno*3,5)+1,"Menos de 1 mes","Entre 1 y 3 meses","Entre 4 y 6 meses","Más de 6 meses","Todavía no he iniciado una búsqueda activa")),"")))</f>
        <v>Entre 4 y 6 meses</v>
      </c>
      <c r="Q61" t="str">
        <f>IF(I61="Tengo un emprendimiento o quiero iniciar uno","",CHOOSE(MOD(INT((COUNTIF($I$2:I61,I61)-1)/7),3)+1,"Sí","No","Tengo una pero necesito actualizarla"))</f>
        <v>Tengo una pero necesito actualizarla</v>
      </c>
      <c r="R61" s="9" t="str">
        <f>IF(I61="Tengo un emprendimiento o quiero iniciar uno","",IF(I61="Busco mi primer empleo","No",IF(MOD(COUNTIF($I$2:I61,I61)-1,2)=0,"Sí","No")))</f>
        <v>No</v>
      </c>
      <c r="S61" t="str">
        <f>IF(I61="Tengo un emprendimiento o quiero iniciar uno","",CHOOSE(MOD(INT((COUNTIF($I$2:I61,I61)-1)/3),10)+1,"Portales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61" t="str">
        <f>IF(I61="Tengo un emprendimiento o quiero iniciar uno","",_xlfn.LET(_xlpm.opcion,MOD(INT((COUNTIF($I$2:I61,I61)-1)/4),6)+1,CHOOSE(IF(AND(_xlpm.opcion=3,Q61="Sí"),1,_xlpm.opcion),"Falta de experiencia","Falta de formación","Dificultades con la hoja de vida","Horarios disponibles","Transporte","Internet")))</f>
        <v>Transporte</v>
      </c>
      <c r="U61" s="9" t="str">
        <f>IF(I61="Tengo un emprendimiento o quiero iniciar uno","",IF(MOD(INT((COUNTIF($I$2:I61,I61)-1)/3),2)=0,"Sí","No"))</f>
        <v>Sí</v>
      </c>
      <c r="V61" s="9" t="str">
        <f>IF(I61="Tengo un emprendimiento o quiero iniciar uno",CHOOSE(MOD(COUNTIF($I$2:I61,I61)-1,3)+1,"Tengo un emprendimiento","Estoy iniciando un emprendimiento","Me interesa emprender"),"")</f>
        <v/>
      </c>
      <c r="W61" t="str">
        <f t="shared" si="5"/>
        <v/>
      </c>
      <c r="X61" s="9" t="str">
        <f>IF(I61="Tengo un emprendimiento o quiero iniciar uno",CHOOSE(MOD(COUNTIF($I$2:I61,I61)-1,5)+1,"Falta de financiación","Falta de conocimientos administrativos","Falta de conocimientos financieros","Falta de tiempo","Falta de herramientas"),"")</f>
        <v/>
      </c>
      <c r="Y61" s="9" t="str">
        <f t="shared" si="6"/>
        <v/>
      </c>
      <c r="Z61" t="str">
        <f>IF(I61="Tengo un emprendimiento o quiero iniciar uno",CHOOSE(INT(MOD((COUNTIF($I$2:I61,I61)-1)*7,39)/13)+1,"Sí","No","No conozco programas de ese tipo"),"")</f>
        <v/>
      </c>
      <c r="AA61" t="str">
        <f t="shared" si="7"/>
        <v>Puedo hacerlo con dificultad</v>
      </c>
      <c r="AB61" t="str">
        <f t="shared" si="7"/>
        <v>Puedo hacerlo con dificultad</v>
      </c>
      <c r="AC61" t="str">
        <f t="shared" si="8"/>
        <v>Puedo hacerlo con dificultad</v>
      </c>
      <c r="AD61" s="9" t="str">
        <f t="shared" si="9"/>
        <v>No puedo hacerlo</v>
      </c>
      <c r="AE61" t="str">
        <f t="shared" si="10"/>
        <v>Puedo hacerlo con ayuda</v>
      </c>
      <c r="AF61" s="9" t="str">
        <f t="shared" si="11"/>
        <v>Comunicación</v>
      </c>
      <c r="AG61" s="9" t="str">
        <f t="shared" si="17"/>
        <v>Horarios;Falta de información</v>
      </c>
      <c r="AH61" t="str">
        <f t="shared" si="12"/>
        <v>Programas de emprendimiento</v>
      </c>
      <c r="AI61" s="9" t="str">
        <f t="shared" si="13"/>
        <v>Me es indiferente</v>
      </c>
      <c r="AJ61" s="9" t="str">
        <f t="shared" si="14"/>
        <v>Nocturno</v>
      </c>
      <c r="AK61" s="9" t="str">
        <f t="shared" si="15"/>
        <v>Redes sociales</v>
      </c>
    </row>
    <row r="62" spans="1:37">
      <c r="A62" t="str">
        <f t="shared" si="16"/>
        <v>SG061</v>
      </c>
      <c r="B62" t="s">
        <v>418</v>
      </c>
      <c r="C62" s="9" t="s">
        <v>427</v>
      </c>
      <c r="D62" t="str">
        <f t="shared" si="0"/>
        <v>Masculino</v>
      </c>
      <c r="E62" t="str">
        <f t="shared" si="1"/>
        <v>De 18 a 20 años</v>
      </c>
      <c r="F62">
        <f t="shared" si="2"/>
        <v>18</v>
      </c>
      <c r="G62" s="9" t="s">
        <v>428</v>
      </c>
      <c r="H62" s="9" t="str">
        <f t="shared" si="3"/>
        <v>Técnico</v>
      </c>
      <c r="I62" s="9" t="str">
        <f t="shared" si="4"/>
        <v>Busco mi primer empleo</v>
      </c>
      <c r="J62" s="13" t="str">
        <f>IF(I62="Trabajo actualmente como empleado",IF(MOD((COUNTIF($I$2:I62,"Trabajo actualmente como empleado")-1)*37,150)&lt;100,"Empleado con contrato","Empleado sin contrato formal"),IF(I62="Trabajo de manera independiente","Trabajo independiente",""))</f>
        <v/>
      </c>
      <c r="K62" s="9" t="str">
        <f>IF(OR(I62="Trabajo actualmente como empleado",I62="Trabajo de manera independiente"),CHOOSE(MOD(COUNTIF($I$2:I62,I62)-1,4)+1,"Menos de 3 meses","De 3 a 6 meses","De 7 a 12 meses","Más de un año"),"")</f>
        <v/>
      </c>
      <c r="L62" t="str">
        <f>IF(OR(I62="Trabajo actualmente como empleado",I62="Trabajo de manera independiente"),CHOOSE(MOD(COUNTIF($I$2:I62,I62)-1,3)+1,"Sí, completamente","Parcialmente","No"),"")</f>
        <v/>
      </c>
      <c r="M62" t="str">
        <f>IF(OR(I62="Trabajo actualmente como empleado",I62="Trabajo de manera independiente"),CHOOSE(MOD(INT((COUNTIF($I$2:I62,I62)-1)/3),4)+1,"1- Muy satisfecho/a","2- Satisfecho/a","3- Insatisfecho/a","4- Muy insatisfecho/a"),"")</f>
        <v/>
      </c>
      <c r="N62" t="str">
        <f>IF(OR(I62="Trabajo actualmente como empleado",I62="Trabajo de manera independiente"),_xlfn.LET(_xlpm.opcion,MOD(INT((COUNTIF($I$2:I62,I62)-1)/5),6)+1,CHOOSE(IF(AND(_xlpm.opcion=6,L62="Sí, completamente"),5,_xlpm.opcion),"Salario","Estabilidad laboral","Horario","Acceso a prestaciones","Oportunidades de crecimiento","Trabajar en un área relacionada con mi formación")),"")</f>
        <v/>
      </c>
      <c r="O62" s="9" t="str">
        <f>IF(OR(I62="Trabajo actualmente como empleado",I62="Trabajo de manera independiente"),_xlfn.LET(_xlpm.turno,MOD(COUNTIF($I$2:I62,I62)-1,5),_xlpm.nivel,VALUE(LEFT(M62,1)),IF(_xlpm.turno=4,"No estoy seguro/a",IF(_xlpm.turno&lt;IF(_xlpm.nivel&lt;=2,1,3),"Sí","No"))),"")</f>
        <v/>
      </c>
      <c r="P62" s="9" t="str">
        <f>_xlfn.LET(_xlpm.perfil,I62,_xlpm.turno,COUNTIF($I$2:I62,_xlpm.perfil)-1,_xlpm.busca,OR(_xlpm.perfil="Actualmente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trabajar"),IF(AND(_xlpm.trabaja,O62="No"),"Todavía no he iniciado una búsqueda activa",CHOOSE(MOD(_xlpm.turno*3,5)+1,"Menos de 1 mes","Entre 1 y 3 meses","Entre 4 y 6 meses","Más de 6 meses","Todavía no he iniciado una búsqueda activa")),"")))</f>
        <v>Menos de 1 mes</v>
      </c>
      <c r="Q62" t="str">
        <f>IF(I62="Tengo un emprendimiento o quiero iniciar uno","",CHOOSE(MOD(INT((COUNTIF($I$2:I62,I62)-1)/7),3)+1,"Sí","No","Tengo una pero necesito actualizarla"))</f>
        <v>No</v>
      </c>
      <c r="R62" s="9" t="str">
        <f>IF(I62="Tengo un emprendimiento o quiero iniciar uno","",IF(I62="Busco mi primer empleo","No",IF(MOD(COUNTIF($I$2:I62,I62)-1,2)=0,"Sí","No")))</f>
        <v>No</v>
      </c>
      <c r="S62" t="str">
        <f>IF(I62="Tengo un emprendimiento o quiero iniciar uno","",CHOOSE(MOD(INT((COUNTIF($I$2:I62,I62)-1)/3),10)+1,"Portales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62" t="str">
        <f>IF(I62="Tengo un emprendimiento o quiero iniciar uno","",_xlfn.LET(_xlpm.opcion,MOD(INT((COUNTIF($I$2:I62,I62)-1)/4),6)+1,CHOOSE(IF(AND(_xlpm.opcion=3,Q62="Sí"),1,_xlpm.opcion),"Falta de experiencia","Falta de formación","Dificultades con la hoja de vida","Horarios disponibles","Transporte","Internet")))</f>
        <v>Dificultades con la hoja de vida</v>
      </c>
      <c r="U62" s="9" t="str">
        <f>IF(I62="Tengo un emprendimiento o quiero iniciar uno","",IF(MOD(INT((COUNTIF($I$2:I62,I62)-1)/3),2)=0,"Sí","No"))</f>
        <v>Sí</v>
      </c>
      <c r="V62" s="9" t="str">
        <f>IF(I62="Tengo un emprendimiento o quiero iniciar uno",CHOOSE(MOD(COUNTIF($I$2:I62,I62)-1,3)+1,"Tengo un emprendimiento","Estoy iniciando un emprendimiento","Me interesa emprender"),"")</f>
        <v/>
      </c>
      <c r="W62" t="str">
        <f t="shared" si="5"/>
        <v/>
      </c>
      <c r="X62" s="9" t="str">
        <f>IF(I62="Tengo un emprendimiento o quiero iniciar uno",CHOOSE(MOD(COUNTIF($I$2:I62,I62)-1,5)+1,"Falta de financiación","Falta de conocimientos administrativos","Falta de conocimientos financieros","Falta de tiempo","Falta de herramientas"),"")</f>
        <v/>
      </c>
      <c r="Y62" s="9" t="str">
        <f t="shared" si="6"/>
        <v/>
      </c>
      <c r="Z62" t="str">
        <f>IF(I62="Tengo un emprendimiento o quiero iniciar uno",CHOOSE(INT(MOD((COUNTIF($I$2:I62,I62)-1)*7,39)/13)+1,"Sí","No","No conozco programas de ese tipo"),"")</f>
        <v/>
      </c>
      <c r="AA62" t="str">
        <f t="shared" si="7"/>
        <v>Puedo hacerlo sin ayuda</v>
      </c>
      <c r="AB62" t="str">
        <f t="shared" si="7"/>
        <v>Puedo hacerlo sin ayuda</v>
      </c>
      <c r="AC62" t="str">
        <f t="shared" si="8"/>
        <v>Puedo hacerlo sin ayuda</v>
      </c>
      <c r="AD62" s="9" t="str">
        <f t="shared" si="9"/>
        <v>Puedo hacerlo con ayuda</v>
      </c>
      <c r="AE62" t="str">
        <f t="shared" si="10"/>
        <v>Puedo hacerlo con dificultad</v>
      </c>
      <c r="AF62" s="9" t="str">
        <f t="shared" si="11"/>
        <v>Liderazgo</v>
      </c>
      <c r="AG62" s="9" t="str">
        <f t="shared" si="17"/>
        <v>Ninguna</v>
      </c>
      <c r="AH62" t="str">
        <f t="shared" si="12"/>
        <v>Oficina de orientación laboral</v>
      </c>
      <c r="AI62" s="9" t="str">
        <f t="shared" si="13"/>
        <v>Presencial</v>
      </c>
      <c r="AJ62" s="9" t="str">
        <f t="shared" si="14"/>
        <v>Mañana entre semana</v>
      </c>
      <c r="AK62" s="9" t="str">
        <f t="shared" si="15"/>
        <v>Celular</v>
      </c>
    </row>
    <row r="63" spans="1:37">
      <c r="A63" t="str">
        <f t="shared" si="16"/>
        <v>SG062</v>
      </c>
      <c r="B63" t="s">
        <v>418</v>
      </c>
      <c r="C63" s="9" t="s">
        <v>427</v>
      </c>
      <c r="D63" t="str">
        <f t="shared" si="0"/>
        <v>Masculino</v>
      </c>
      <c r="E63" t="str">
        <f t="shared" si="1"/>
        <v>De 20 a 22 años</v>
      </c>
      <c r="F63">
        <f t="shared" si="2"/>
        <v>20</v>
      </c>
      <c r="G63" s="9" t="s">
        <v>428</v>
      </c>
      <c r="H63" s="9" t="str">
        <f t="shared" si="3"/>
        <v>Técnico</v>
      </c>
      <c r="I63" s="9" t="str">
        <f t="shared" si="4"/>
        <v>Trabajo actualmente como empleado</v>
      </c>
      <c r="J63" s="13" t="str">
        <f>IF(I63="Trabajo actualmente como empleado",IF(MOD((COUNTIF($I$2:I63,"Trabajo actualmente como empleado")-1)*37,150)&lt;100,"Empleado con contrato","Empleado sin contrato formal"),IF(I63="Trabajo de manera independiente","Trabajo independiente",""))</f>
        <v>Empleado sin contrato formal</v>
      </c>
      <c r="K63" s="9" t="str">
        <f>IF(OR(I63="Trabajo actualmente como empleado",I63="Trabajo de manera independiente"),CHOOSE(MOD(COUNTIF($I$2:I63,I63)-1,4)+1,"Menos de 3 meses","De 3 a 6 meses","De 7 a 12 meses","Más de un año"),"")</f>
        <v>Menos de 3 meses</v>
      </c>
      <c r="L63" t="str">
        <f>IF(OR(I63="Trabajo actualmente como empleado",I63="Trabajo de manera independiente"),CHOOSE(MOD(COUNTIF($I$2:I63,I63)-1,3)+1,"Sí, completamente","Parcialmente","No"),"")</f>
        <v>No</v>
      </c>
      <c r="M63" t="str">
        <f>IF(OR(I63="Trabajo actualmente como empleado",I63="Trabajo de manera independiente"),CHOOSE(MOD(INT((COUNTIF($I$2:I63,I63)-1)/3),4)+1,"1- Muy satisfecho/a","2- Satisfecho/a","3- Insatisfecho/a","4- Muy insatisfecho/a"),"")</f>
        <v>3- Insatisfecho/a</v>
      </c>
      <c r="N63" t="str">
        <f>IF(OR(I63="Trabajo actualmente como empleado",I63="Trabajo de manera independiente"),_xlfn.LET(_xlpm.opcion,MOD(INT((COUNTIF($I$2:I63,I63)-1)/5),6)+1,CHOOSE(IF(AND(_xlpm.opcion=6,L63="Sí, completamente"),5,_xlpm.opcion),"Salario","Estabilidad laboral","Horario","Acceso a prestaciones","Oportunidades de crecimiento","Trabajar en un área relacionada con mi formación")),"")</f>
        <v>Oportunidades de crecimiento</v>
      </c>
      <c r="O63" s="9" t="str">
        <f>IF(OR(I63="Trabajo actualmente como empleado",I63="Trabajo de manera independiente"),_xlfn.LET(_xlpm.turno,MOD(COUNTIF($I$2:I63,I63)-1,5),_xlpm.nivel,VALUE(LEFT(M63,1)),IF(_xlpm.turno=4,"No estoy seguro/a",IF(_xlpm.turno&lt;IF(_xlpm.nivel&lt;=2,1,3),"Sí","No"))),"")</f>
        <v>Sí</v>
      </c>
      <c r="P63" s="9" t="str">
        <f>_xlfn.LET(_xlpm.perfil,I63,_xlpm.turno,COUNTIF($I$2:I63,_xlpm.perfil)-1,_xlpm.busca,OR(_xlpm.perfil="Actualmente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trabajar"),IF(AND(_xlpm.trabaja,O63="No"),"Todavía no he iniciado una búsqueda activa",CHOOSE(MOD(_xlpm.turno*3,5)+1,"Menos de 1 mes","Entre 1 y 3 meses","Entre 4 y 6 meses","Más de 6 meses","Todavía no he iniciado una búsqueda activa")),"")))</f>
        <v>Menos de 1 mes</v>
      </c>
      <c r="Q63" t="str">
        <f>IF(I63="Tengo un emprendimiento o quiero iniciar uno","",CHOOSE(MOD(INT((COUNTIF($I$2:I63,I63)-1)/7),3)+1,"Sí","No","Tengo una pero necesito actualizarla"))</f>
        <v>Tengo una pero necesito actualizarla</v>
      </c>
      <c r="R63" s="9" t="str">
        <f>IF(I63="Tengo un emprendimiento o quiero iniciar uno","",IF(I63="Busco mi primer empleo","No",IF(MOD(COUNTIF($I$2:I63,I63)-1,2)=0,"Sí","No")))</f>
        <v>Sí</v>
      </c>
      <c r="S63" t="str">
        <f>IF(I63="Tengo un emprendimiento o quiero iniciar uno","",CHOOSE(MOD(INT((COUNTIF($I$2:I63,I63)-1)/3),10)+1,"Portales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63" t="str">
        <f>IF(I63="Tengo un emprendimiento o quiero iniciar uno","",_xlfn.LET(_xlpm.opcion,MOD(INT((COUNTIF($I$2:I63,I63)-1)/4),6)+1,CHOOSE(IF(AND(_xlpm.opcion=3,Q63="Sí"),1,_xlpm.opcion),"Falta de experiencia","Falta de formación","Dificultades con la hoja de vida","Horarios disponibles","Transporte","Internet")))</f>
        <v>Internet</v>
      </c>
      <c r="U63" s="9" t="str">
        <f>IF(I63="Tengo un emprendimiento o quiero iniciar uno","",IF(MOD(INT((COUNTIF($I$2:I63,I63)-1)/3),2)=0,"Sí","No"))</f>
        <v>Sí</v>
      </c>
      <c r="V63" s="9" t="str">
        <f>IF(I63="Tengo un emprendimiento o quiero iniciar uno",CHOOSE(MOD(COUNTIF($I$2:I63,I63)-1,3)+1,"Tengo un emprendimiento","Estoy iniciando un emprendimiento","Me interesa emprender"),"")</f>
        <v/>
      </c>
      <c r="W63" t="str">
        <f t="shared" si="5"/>
        <v/>
      </c>
      <c r="X63" s="9" t="str">
        <f>IF(I63="Tengo un emprendimiento o quiero iniciar uno",CHOOSE(MOD(COUNTIF($I$2:I63,I63)-1,5)+1,"Falta de financiación","Falta de conocimientos administrativos","Falta de conocimientos financieros","Falta de tiempo","Falta de herramientas"),"")</f>
        <v/>
      </c>
      <c r="Y63" s="9" t="str">
        <f t="shared" si="6"/>
        <v/>
      </c>
      <c r="Z63" t="str">
        <f>IF(I63="Tengo un emprendimiento o quiero iniciar uno",CHOOSE(INT(MOD((COUNTIF($I$2:I63,I63)-1)*7,39)/13)+1,"Sí","No","No conozco programas de ese tipo"),"")</f>
        <v/>
      </c>
      <c r="AA63" t="str">
        <f t="shared" si="7"/>
        <v>Puedo hacerlo con ayuda</v>
      </c>
      <c r="AB63" t="str">
        <f t="shared" si="7"/>
        <v>Puedo hacerlo con ayuda</v>
      </c>
      <c r="AC63" t="str">
        <f t="shared" si="8"/>
        <v>No puedo hacerlo</v>
      </c>
      <c r="AD63" s="9" t="str">
        <f t="shared" si="9"/>
        <v>Puedo hacerlo con dificultad</v>
      </c>
      <c r="AE63" t="str">
        <f t="shared" si="10"/>
        <v>Puedo hacerlo con dificultad</v>
      </c>
      <c r="AF63" s="9" t="str">
        <f t="shared" si="11"/>
        <v>Emprendimiento</v>
      </c>
      <c r="AG63" s="9" t="str">
        <f t="shared" si="17"/>
        <v>Ninguna</v>
      </c>
      <c r="AH63" t="str">
        <f t="shared" si="12"/>
        <v>Ferias de empleo</v>
      </c>
      <c r="AI63" s="9" t="str">
        <f t="shared" si="13"/>
        <v>Virtual</v>
      </c>
      <c r="AJ63" s="9" t="str">
        <f t="shared" si="14"/>
        <v>Fines de semana</v>
      </c>
      <c r="AK63" s="9" t="str">
        <f t="shared" si="15"/>
        <v>Correo electrónico</v>
      </c>
    </row>
    <row r="64" spans="1:37">
      <c r="A64" t="str">
        <f t="shared" si="16"/>
        <v>SG063</v>
      </c>
      <c r="B64" t="s">
        <v>418</v>
      </c>
      <c r="C64" s="9" t="s">
        <v>427</v>
      </c>
      <c r="D64" t="str">
        <f t="shared" si="0"/>
        <v>Femenino</v>
      </c>
      <c r="E64" t="str">
        <f t="shared" si="1"/>
        <v>De 22 a 24 años</v>
      </c>
      <c r="F64">
        <f t="shared" si="2"/>
        <v>22</v>
      </c>
      <c r="G64" s="9" t="s">
        <v>428</v>
      </c>
      <c r="H64" s="9" t="str">
        <f t="shared" si="3"/>
        <v>Tecnólogo</v>
      </c>
      <c r="I64" s="9" t="str">
        <f t="shared" si="4"/>
        <v>Trabajo de manera independiente</v>
      </c>
      <c r="J64" s="13" t="str">
        <f>IF(I64="Trabajo actualmente como empleado",IF(MOD((COUNTIF($I$2:I64,"Trabajo actualmente como empleado")-1)*37,150)&lt;100,"Empleado con contrato","Empleado sin contrato formal"),IF(I64="Trabajo de manera independiente","Trabajo independiente",""))</f>
        <v>Trabajo independiente</v>
      </c>
      <c r="K64" s="9" t="str">
        <f>IF(OR(I64="Trabajo actualmente como empleado",I64="Trabajo de manera independiente"),CHOOSE(MOD(COUNTIF($I$2:I64,I64)-1,4)+1,"Menos de 3 meses","De 3 a 6 meses","De 7 a 12 meses","Más de un año"),"")</f>
        <v>De 7 a 12 meses</v>
      </c>
      <c r="L64" t="str">
        <f>IF(OR(I64="Trabajo actualmente como empleado",I64="Trabajo de manera independiente"),CHOOSE(MOD(COUNTIF($I$2:I64,I64)-1,3)+1,"Sí, completamente","Parcialmente","No"),"")</f>
        <v>Parcialmente</v>
      </c>
      <c r="M64" t="str">
        <f>IF(OR(I64="Trabajo actualmente como empleado",I64="Trabajo de manera independiente"),CHOOSE(MOD(INT((COUNTIF($I$2:I64,I64)-1)/3),4)+1,"1- Muy satisfecho/a","2- Satisfecho/a","3- Insatisfecho/a","4- Muy insatisfecho/a"),"")</f>
        <v>4- Muy insatisfecho/a</v>
      </c>
      <c r="N64" t="str">
        <f>IF(OR(I64="Trabajo actualmente como empleado",I64="Trabajo de manera independiente"),_xlfn.LET(_xlpm.opcion,MOD(INT((COUNTIF($I$2:I64,I64)-1)/5),6)+1,CHOOSE(IF(AND(_xlpm.opcion=6,L64="Sí, completamente"),5,_xlpm.opcion),"Salario","Estabilidad laboral","Horario","Acceso a prestaciones","Oportunidades de crecimiento","Trabajar en un área relacionada con mi formación")),"")</f>
        <v>Horario</v>
      </c>
      <c r="O64" s="9" t="str">
        <f>IF(OR(I64="Trabajo actualmente como empleado",I64="Trabajo de manera independiente"),_xlfn.LET(_xlpm.turno,MOD(COUNTIF($I$2:I64,I64)-1,5),_xlpm.nivel,VALUE(LEFT(M64,1)),IF(_xlpm.turno=4,"No estoy seguro/a",IF(_xlpm.turno&lt;IF(_xlpm.nivel&lt;=2,1,3),"Sí","No"))),"")</f>
        <v>Sí</v>
      </c>
      <c r="P64" s="9" t="str">
        <f>_xlfn.LET(_xlpm.perfil,I64,_xlpm.turno,COUNTIF($I$2:I64,_xlpm.perfil)-1,_xlpm.busca,OR(_xlpm.perfil="Actualmente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trabajar"),IF(AND(_xlpm.trabaja,O64="No"),"Todavía no he iniciado una búsqueda activa",CHOOSE(MOD(_xlpm.turno*3,5)+1,"Menos de 1 mes","Entre 1 y 3 meses","Entre 4 y 6 meses","Más de 6 meses","Todavía no he iniciado una búsqueda activa")),"")))</f>
        <v>Menos de 1 mes</v>
      </c>
      <c r="Q64" t="str">
        <f>IF(I64="Tengo un emprendimiento o quiero iniciar uno","",CHOOSE(MOD(INT((COUNTIF($I$2:I64,I64)-1)/7),3)+1,"Sí","No","Tengo una pero necesito actualizarla"))</f>
        <v>No</v>
      </c>
      <c r="R64" s="9" t="str">
        <f>IF(I64="Tengo un emprendimiento o quiero iniciar uno","",IF(I64="Busco mi primer empleo","No",IF(MOD(COUNTIF($I$2:I64,I64)-1,2)=0,"Sí","No")))</f>
        <v>Sí</v>
      </c>
      <c r="S64" t="str">
        <f>IF(I64="Tengo un emprendimiento o quiero iniciar uno","",CHOOSE(MOD(INT((COUNTIF($I$2:I64,I64)-1)/3),10)+1,"Portales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64" t="str">
        <f>IF(I64="Tengo un emprendimiento o quiero iniciar uno","",_xlfn.LET(_xlpm.opcion,MOD(INT((COUNTIF($I$2:I64,I64)-1)/4),6)+1,CHOOSE(IF(AND(_xlpm.opcion=3,Q64="Sí"),1,_xlpm.opcion),"Falta de experiencia","Falta de formación","Dificultades con la hoja de vida","Horarios disponibles","Transporte","Internet")))</f>
        <v>Dificultades con la hoja de vida</v>
      </c>
      <c r="U64" s="9" t="str">
        <f>IF(I64="Tengo un emprendimiento o quiero iniciar uno","",IF(MOD(INT((COUNTIF($I$2:I64,I64)-1)/3),2)=0,"Sí","No"))</f>
        <v>No</v>
      </c>
      <c r="V64" s="9" t="str">
        <f>IF(I64="Tengo un emprendimiento o quiero iniciar uno",CHOOSE(MOD(COUNTIF($I$2:I64,I64)-1,3)+1,"Tengo un emprendimiento","Estoy iniciando un emprendimiento","Me interesa emprender"),"")</f>
        <v/>
      </c>
      <c r="W64" t="str">
        <f t="shared" si="5"/>
        <v/>
      </c>
      <c r="X64" s="9" t="str">
        <f>IF(I64="Tengo un emprendimiento o quiero iniciar uno",CHOOSE(MOD(COUNTIF($I$2:I64,I64)-1,5)+1,"Falta de financiación","Falta de conocimientos administrativos","Falta de conocimientos financieros","Falta de tiempo","Falta de herramientas"),"")</f>
        <v/>
      </c>
      <c r="Y64" s="9" t="str">
        <f t="shared" si="6"/>
        <v/>
      </c>
      <c r="Z64" t="str">
        <f>IF(I64="Tengo un emprendimiento o quiero iniciar uno",CHOOSE(INT(MOD((COUNTIF($I$2:I64,I64)-1)*7,39)/13)+1,"Sí","No","No conozco programas de ese tipo"),"")</f>
        <v/>
      </c>
      <c r="AA64" t="str">
        <f t="shared" si="7"/>
        <v>Puedo hacerlo con dificultad</v>
      </c>
      <c r="AB64" t="str">
        <f t="shared" si="7"/>
        <v>Puedo hacerlo con dificultad</v>
      </c>
      <c r="AC64" t="str">
        <f t="shared" si="8"/>
        <v>Puedo hacerlo con ayuda</v>
      </c>
      <c r="AD64" s="9" t="str">
        <f t="shared" si="9"/>
        <v>Puedo hacerlo sin ayuda</v>
      </c>
      <c r="AE64" t="str">
        <f t="shared" si="10"/>
        <v>Puedo hacerlo sin ayuda</v>
      </c>
      <c r="AF64" s="9" t="str">
        <f t="shared" si="11"/>
        <v>Herramientas digitales</v>
      </c>
      <c r="AG64" s="9" t="str">
        <f t="shared" si="17"/>
        <v>Ninguna</v>
      </c>
      <c r="AH64" t="str">
        <f t="shared" si="12"/>
        <v>No conozco ninguno</v>
      </c>
      <c r="AI64" s="9" t="str">
        <f t="shared" si="13"/>
        <v>Presencial y virtual</v>
      </c>
      <c r="AJ64" s="9" t="str">
        <f t="shared" si="14"/>
        <v>Nocturno</v>
      </c>
      <c r="AK64" s="9" t="str">
        <f t="shared" si="15"/>
        <v>Redes sociales</v>
      </c>
    </row>
    <row r="65" spans="1:37">
      <c r="A65" t="str">
        <f t="shared" si="16"/>
        <v>SG064</v>
      </c>
      <c r="B65" t="s">
        <v>418</v>
      </c>
      <c r="C65" s="9" t="s">
        <v>427</v>
      </c>
      <c r="D65" t="str">
        <f t="shared" si="0"/>
        <v>Masculino</v>
      </c>
      <c r="E65" t="str">
        <f t="shared" si="1"/>
        <v>De 24 a 26 años</v>
      </c>
      <c r="F65">
        <f t="shared" si="2"/>
        <v>24</v>
      </c>
      <c r="G65" s="9" t="s">
        <v>428</v>
      </c>
      <c r="H65" s="9" t="str">
        <f t="shared" si="3"/>
        <v>Profesional</v>
      </c>
      <c r="I65" s="9" t="str">
        <f t="shared" si="4"/>
        <v>Busco mi primer empleo</v>
      </c>
      <c r="J65" s="13" t="str">
        <f>IF(I65="Trabajo actualmente como empleado",IF(MOD((COUNTIF($I$2:I65,"Trabajo actualmente como empleado")-1)*37,150)&lt;100,"Empleado con contrato","Empleado sin contrato formal"),IF(I65="Trabajo de manera independiente","Trabajo independiente",""))</f>
        <v/>
      </c>
      <c r="K65" s="9" t="str">
        <f>IF(OR(I65="Trabajo actualmente como empleado",I65="Trabajo de manera independiente"),CHOOSE(MOD(COUNTIF($I$2:I65,I65)-1,4)+1,"Menos de 3 meses","De 3 a 6 meses","De 7 a 12 meses","Más de un año"),"")</f>
        <v/>
      </c>
      <c r="L65" t="str">
        <f>IF(OR(I65="Trabajo actualmente como empleado",I65="Trabajo de manera independiente"),CHOOSE(MOD(COUNTIF($I$2:I65,I65)-1,3)+1,"Sí, completamente","Parcialmente","No"),"")</f>
        <v/>
      </c>
      <c r="M65" t="str">
        <f>IF(OR(I65="Trabajo actualmente como empleado",I65="Trabajo de manera independiente"),CHOOSE(MOD(INT((COUNTIF($I$2:I65,I65)-1)/3),4)+1,"1- Muy satisfecho/a","2- Satisfecho/a","3- Insatisfecho/a","4- Muy insatisfecho/a"),"")</f>
        <v/>
      </c>
      <c r="N65" t="str">
        <f>IF(OR(I65="Trabajo actualmente como empleado",I65="Trabajo de manera independiente"),_xlfn.LET(_xlpm.opcion,MOD(INT((COUNTIF($I$2:I65,I65)-1)/5),6)+1,CHOOSE(IF(AND(_xlpm.opcion=6,L65="Sí, completamente"),5,_xlpm.opcion),"Salario","Estabilidad laboral","Horario","Acceso a prestaciones","Oportunidades de crecimiento","Trabajar en un área relacionada con mi formación")),"")</f>
        <v/>
      </c>
      <c r="O65" s="9" t="str">
        <f>IF(OR(I65="Trabajo actualmente como empleado",I65="Trabajo de manera independiente"),_xlfn.LET(_xlpm.turno,MOD(COUNTIF($I$2:I65,I65)-1,5),_xlpm.nivel,VALUE(LEFT(M65,1)),IF(_xlpm.turno=4,"No estoy seguro/a",IF(_xlpm.turno&lt;IF(_xlpm.nivel&lt;=2,1,3),"Sí","No"))),"")</f>
        <v/>
      </c>
      <c r="P65" s="9" t="str">
        <f>_xlfn.LET(_xlpm.perfil,I65,_xlpm.turno,COUNTIF($I$2:I65,_xlpm.perfil)-1,_xlpm.busca,OR(_xlpm.perfil="Actualmente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trabajar"),IF(AND(_xlpm.trabaja,O65="No"),"Todavía no he iniciado una búsqueda activa",CHOOSE(MOD(_xlpm.turno*3,5)+1,"Menos de 1 mes","Entre 1 y 3 meses","Entre 4 y 6 meses","Más de 6 meses","Todavía no he iniciado una búsqueda activa")),"")))</f>
        <v>Más de 6 meses</v>
      </c>
      <c r="Q65" t="str">
        <f>IF(I65="Tengo un emprendimiento o quiero iniciar uno","",CHOOSE(MOD(INT((COUNTIF($I$2:I65,I65)-1)/7),3)+1,"Sí","No","Tengo una pero necesito actualizarla"))</f>
        <v>No</v>
      </c>
      <c r="R65" s="9" t="str">
        <f>IF(I65="Tengo un emprendimiento o quiero iniciar uno","",IF(I65="Busco mi primer empleo","No",IF(MOD(COUNTIF($I$2:I65,I65)-1,2)=0,"Sí","No")))</f>
        <v>No</v>
      </c>
      <c r="S65" t="str">
        <f>IF(I65="Tengo un emprendimiento o quiero iniciar uno","",CHOOSE(MOD(INT((COUNTIF($I$2:I65,I65)-1)/3),10)+1,"Portales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65" t="str">
        <f>IF(I65="Tengo un emprendimiento o quiero iniciar uno","",_xlfn.LET(_xlpm.opcion,MOD(INT((COUNTIF($I$2:I65,I65)-1)/4),6)+1,CHOOSE(IF(AND(_xlpm.opcion=3,Q65="Sí"),1,_xlpm.opcion),"Falta de experiencia","Falta de formación","Dificultades con la hoja de vida","Horarios disponibles","Transporte","Internet")))</f>
        <v>Dificultades con la hoja de vida</v>
      </c>
      <c r="U65" s="9" t="str">
        <f>IF(I65="Tengo un emprendimiento o quiero iniciar uno","",IF(MOD(INT((COUNTIF($I$2:I65,I65)-1)/3),2)=0,"Sí","No"))</f>
        <v>No</v>
      </c>
      <c r="V65" s="9" t="str">
        <f>IF(I65="Tengo un emprendimiento o quiero iniciar uno",CHOOSE(MOD(COUNTIF($I$2:I65,I65)-1,3)+1,"Tengo un emprendimiento","Estoy iniciando un emprendimiento","Me interesa emprender"),"")</f>
        <v/>
      </c>
      <c r="W65" t="str">
        <f t="shared" si="5"/>
        <v/>
      </c>
      <c r="X65" s="9" t="str">
        <f>IF(I65="Tengo un emprendimiento o quiero iniciar uno",CHOOSE(MOD(COUNTIF($I$2:I65,I65)-1,5)+1,"Falta de financiación","Falta de conocimientos administrativos","Falta de conocimientos financieros","Falta de tiempo","Falta de herramientas"),"")</f>
        <v/>
      </c>
      <c r="Y65" s="9" t="str">
        <f t="shared" si="6"/>
        <v/>
      </c>
      <c r="Z65" t="str">
        <f>IF(I65="Tengo un emprendimiento o quiero iniciar uno",CHOOSE(INT(MOD((COUNTIF($I$2:I65,I65)-1)*7,39)/13)+1,"Sí","No","No conozco programas de ese tipo"),"")</f>
        <v/>
      </c>
      <c r="AA65" t="str">
        <f t="shared" si="7"/>
        <v>No puedo hacerlo</v>
      </c>
      <c r="AB65" t="str">
        <f t="shared" si="7"/>
        <v>No puedo hacerlo</v>
      </c>
      <c r="AC65" t="str">
        <f t="shared" si="8"/>
        <v>Puedo hacerlo sin ayuda</v>
      </c>
      <c r="AD65" s="9" t="str">
        <f t="shared" si="9"/>
        <v>Puedo hacerlo sin ayuda</v>
      </c>
      <c r="AE65" t="str">
        <f t="shared" si="10"/>
        <v>Puedo hacerlo sin ayuda</v>
      </c>
      <c r="AF65" s="9" t="str">
        <f t="shared" si="11"/>
        <v>Educación financiera</v>
      </c>
      <c r="AG65" s="9" t="str">
        <f t="shared" si="17"/>
        <v>Falta de experiencia</v>
      </c>
      <c r="AH65" t="str">
        <f t="shared" si="12"/>
        <v>Ferias de empleo</v>
      </c>
      <c r="AI65" s="9" t="str">
        <f t="shared" si="13"/>
        <v>Me es indiferente</v>
      </c>
      <c r="AJ65" s="9" t="str">
        <f t="shared" si="14"/>
        <v>Mañana entre semana</v>
      </c>
      <c r="AK65" s="9" t="str">
        <f t="shared" si="15"/>
        <v>WhatsApp</v>
      </c>
    </row>
    <row r="66" spans="1:37">
      <c r="A66" t="str">
        <f t="shared" si="16"/>
        <v>SG065</v>
      </c>
      <c r="B66" t="s">
        <v>418</v>
      </c>
      <c r="C66" s="9" t="s">
        <v>427</v>
      </c>
      <c r="D66" t="str">
        <f t="shared" ref="D66:D129" si="18">IF(MOD((ROW()-2)*137,479)&lt;230,"Masculino",IF(MOD((ROW()-2)*137,479)&lt;460,"Femenino",IF(MOD((ROW()-2)*137,479)&lt;470,"Otro","No quiero responder")))</f>
        <v>Masculino</v>
      </c>
      <c r="E66" t="str">
        <f t="shared" ref="E66:E129" si="19">CHOOSE(MOD(ROW()-2,5)+1,"De 18 a 20 años","De 20 a 22 años","De 22 a 24 años","De 24 a 26 años","De 26 a 28 años")</f>
        <v>De 26 a 28 años</v>
      </c>
      <c r="F66">
        <f t="shared" ref="F66:F129" si="20">CHOOSE(MOD(ROW()-2,5)+1,18,20,22,24,26)+MOD(INT((ROW()-2)/5),IF(MOD(ROW()-2,5)=4,3,2))</f>
        <v>26</v>
      </c>
      <c r="G66" s="9" t="s">
        <v>428</v>
      </c>
      <c r="H66" s="9" t="str">
        <f t="shared" ref="H66:H129" si="21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Profesional</v>
      </c>
      <c r="I66" s="9" t="str">
        <f t="shared" ref="I66:I129" si="22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Trabajo actualmente como empleado</v>
      </c>
      <c r="J66" s="13" t="str">
        <f>IF(I66="Trabajo actualmente como empleado",IF(MOD((COUNTIF($I$2:I66,"Trabajo actualmente como empleado")-1)*37,150)&lt;100,"Empleado con contrato","Empleado sin contrato formal"),IF(I66="Trabajo de manera independiente","Trabajo independiente",""))</f>
        <v>Empleado con contrato</v>
      </c>
      <c r="K66" s="9" t="str">
        <f>IF(OR(I66="Trabajo actualmente como empleado",I66="Trabajo de manera independiente"),CHOOSE(MOD(COUNTIF($I$2:I66,I66)-1,4)+1,"Menos de 3 meses","De 3 a 6 meses","De 7 a 12 meses","Más de un año"),"")</f>
        <v>De 3 a 6 meses</v>
      </c>
      <c r="L66" t="str">
        <f>IF(OR(I66="Trabajo actualmente como empleado",I66="Trabajo de manera independiente"),CHOOSE(MOD(COUNTIF($I$2:I66,I66)-1,3)+1,"Sí, completamente","Parcialmente","No"),"")</f>
        <v>Sí, completamente</v>
      </c>
      <c r="M66" t="str">
        <f>IF(OR(I66="Trabajo actualmente como empleado",I66="Trabajo de manera independiente"),CHOOSE(MOD(INT((COUNTIF($I$2:I66,I66)-1)/3),4)+1,"1- Muy satisfecho/a","2- Satisfecho/a","3- Insatisfecho/a","4- Muy insatisfecho/a"),"")</f>
        <v>4- Muy insatisfecho/a</v>
      </c>
      <c r="N66" t="str">
        <f>IF(OR(I66="Trabajo actualmente como empleado",I66="Trabajo de manera independiente"),_xlfn.LET(_xlpm.opcion,MOD(INT((COUNTIF($I$2:I66,I66)-1)/5),6)+1,CHOOSE(IF(AND(_xlpm.opcion=6,L66="Sí, completamente"),5,_xlpm.opcion),"Salario","Estabilidad laboral","Horario","Acceso a prestaciones","Oportunidades de crecimiento","Trabajar en un área relacionada con mi formación")),"")</f>
        <v>Oportunidades de crecimiento</v>
      </c>
      <c r="O66" s="9" t="str">
        <f>IF(OR(I66="Trabajo actualmente como empleado",I66="Trabajo de manera independiente"),_xlfn.LET(_xlpm.turno,MOD(COUNTIF($I$2:I66,I66)-1,5),_xlpm.nivel,VALUE(LEFT(M66,1)),IF(_xlpm.turno=4,"No estoy seguro/a",IF(_xlpm.turno&lt;IF(_xlpm.nivel&lt;=2,1,3),"Sí","No"))),"")</f>
        <v>Sí</v>
      </c>
      <c r="P66" s="9" t="str">
        <f>_xlfn.LET(_xlpm.perfil,I66,_xlpm.turno,COUNTIF($I$2:I66,_xlpm.perfil)-1,_xlpm.busca,OR(_xlpm.perfil="Actualmente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trabajar"),IF(AND(_xlpm.trabaja,O66="No"),"Todavía no he iniciado una búsqueda activa",CHOOSE(MOD(_xlpm.turno*3,5)+1,"Menos de 1 mes","Entre 1 y 3 meses","Entre 4 y 6 meses","Más de 6 meses","Todavía no he iniciado una búsqueda activa")),"")))</f>
        <v>Más de 6 meses</v>
      </c>
      <c r="Q66" t="str">
        <f>IF(I66="Tengo un emprendimiento o quiero iniciar uno","",CHOOSE(MOD(INT((COUNTIF($I$2:I66,I66)-1)/7),3)+1,"Sí","No","Tengo una pero necesito actualizarla"))</f>
        <v>Sí</v>
      </c>
      <c r="R66" s="9" t="str">
        <f>IF(I66="Tengo un emprendimiento o quiero iniciar uno","",IF(I66="Busco mi primer empleo","No",IF(MOD(COUNTIF($I$2:I66,I66)-1,2)=0,"Sí","No")))</f>
        <v>No</v>
      </c>
      <c r="S66" t="str">
        <f>IF(I66="Tengo un emprendimiento o quiero iniciar uno","",CHOOSE(MOD(INT((COUNTIF($I$2:I66,I66)-1)/3),10)+1,"Portales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66" t="str">
        <f>IF(I66="Tengo un emprendimiento o quiero iniciar uno","",_xlfn.LET(_xlpm.opcion,MOD(INT((COUNTIF($I$2:I66,I66)-1)/4),6)+1,CHOOSE(IF(AND(_xlpm.opcion=3,Q66="Sí"),1,_xlpm.opcion),"Falta de experiencia","Falta de formación","Dificultades con la hoja de vida","Horarios disponibles","Transporte","Internet")))</f>
        <v>Internet</v>
      </c>
      <c r="U66" s="9" t="str">
        <f>IF(I66="Tengo un emprendimiento o quiero iniciar uno","",IF(MOD(INT((COUNTIF($I$2:I66,I66)-1)/3),2)=0,"Sí","No"))</f>
        <v>No</v>
      </c>
      <c r="V66" s="9" t="str">
        <f>IF(I66="Tengo un emprendimiento o quiero iniciar uno",CHOOSE(MOD(COUNTIF($I$2:I66,I66)-1,3)+1,"Tengo un emprendimiento","Estoy iniciando un emprendimiento","Me interesa emprender"),"")</f>
        <v/>
      </c>
      <c r="W66" t="str">
        <f t="shared" ref="W66:W129" si="23">IF(V66="Tengo un emprendimiento","Funcionamiento estable",IF(V66="Estoy iniciando un emprendimiento","Inicio",""))</f>
        <v/>
      </c>
      <c r="X66" s="9" t="str">
        <f>IF(I66="Tengo un emprendimiento o quiero iniciar uno",CHOOSE(MOD(COUNTIF($I$2:I66,I66)-1,5)+1,"Falta de financiación","Falta de conocimientos administrativos","Falta de conocimientos financieros","Falta de tiempo","Falta de herramientas"),"")</f>
        <v/>
      </c>
      <c r="Y66" s="9" t="str">
        <f t="shared" ref="Y66:Y129" si="24">IF(I66="Tengo un emprendimiento o quiero iniciar uno",X66,"")</f>
        <v/>
      </c>
      <c r="Z66" t="str">
        <f>IF(I66="Tengo un emprendimiento o quiero iniciar uno",CHOOSE(INT(MOD((COUNTIF($I$2:I66,I66)-1)*7,39)/13)+1,"Sí","No","No conozco programas de ese tipo"),"")</f>
        <v/>
      </c>
      <c r="AA66" t="str">
        <f t="shared" ref="AA66:AB129" si="25">CHOOSE(INT(MOD((ROW()-2)*191,479)/120)+1,"No puedo hacerlo","Puedo hacerlo con ayuda","Puedo hacerlo con dificultad","Puedo hacerlo sin ayuda")</f>
        <v>Puedo hacerlo con dificultad</v>
      </c>
      <c r="AB66" t="str">
        <f t="shared" si="25"/>
        <v>Puedo hacerlo con dificultad</v>
      </c>
      <c r="AC66" t="str">
        <f t="shared" ref="AC66:AC129" si="26">CHOOSE(INT(MOD((ROW()-2)*157+83,479)/120)+1,"No puedo hacerlo","Puedo hacerlo con ayuda","Puedo hacerlo con dificultad","Puedo hacerlo sin ayuda")</f>
        <v>No puedo hacerlo</v>
      </c>
      <c r="AD66" s="9" t="str">
        <f t="shared" ref="AD66:AD129" si="27">CHOOSE(INT(MOD((ROW()-2)*89+131,479)/120)+1,"No puedo hacerlo","Puedo hacerlo con ayuda","Puedo hacerlo con dificultad","Puedo hacerlo sin ayuda")</f>
        <v>No puedo hacerlo</v>
      </c>
      <c r="AE66" t="str">
        <f t="shared" ref="AE66:AE129" si="28">CHOOSE(INT(MOD((ROW()-2)*73+179,479)/120)+1,"No puedo hacerlo","Puedo hacerlo con ayuda","Puedo hacerlo con dificultad","Puedo hacerlo sin ayuda")</f>
        <v>No puedo hacerlo</v>
      </c>
      <c r="AF66" s="9" t="str">
        <f t="shared" ref="AF66:AF129" si="29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Crear una hoja de vida;Preparación para entrevista</v>
      </c>
      <c r="AG66" s="9" t="str">
        <f t="shared" ref="AG66:AG129" si="30">CHOOSE(MOD(INT((ROW()-2)/3)*7,9)+1,"Costos de transporte","Distancia","Horarios","Falta de experiencia","Falta de información","Ninguna","Costos de transporte;Distancia","Horarios;Falta de información","Falta de experiencia;Falta de información")</f>
        <v>Falta de experiencia</v>
      </c>
      <c r="AH66" t="str">
        <f t="shared" ref="AH66:AH129" si="31">CHOOSE(INT(MOD((ROW()-2)*199+59,479)/120)+1,"Oficina de orientación laboral","Ferias de empleo","Programas de emprendimiento","No conozco ninguno")</f>
        <v>Programas de emprendimiento</v>
      </c>
      <c r="AI66" s="9" t="str">
        <f t="shared" ref="AI66:AI129" si="32">CHOOSE(INT(MOD((ROW()-2)*127+71,479)/120)+1,"Presencial","Virtual","Presencial y virtual","Me es indiferente")</f>
        <v>Presencial</v>
      </c>
      <c r="AJ66" s="9" t="str">
        <f t="shared" ref="AJ66:AJ129" si="33">CHOOSE(INT(MOD((ROW()-2)*163+97,479)/120)+1,"Diurno","Nocturno","Mañana entre semana","Fines de semana")</f>
        <v>Fines de semana</v>
      </c>
      <c r="AK66" s="9" t="str">
        <f t="shared" ref="AK66:AK129" si="34">CHOOSE(INT(MOD((ROW()-2)*181+109,479)/120)+1,"WhatsApp","Correo electrónico","Redes sociales","Celular")</f>
        <v>Correo electrónico</v>
      </c>
    </row>
    <row r="67" spans="1:37">
      <c r="A67" t="str">
        <f t="shared" ref="A67:A130" si="35">"SG"&amp;TEXT(ROW()-1,"000")</f>
        <v>SG066</v>
      </c>
      <c r="B67" t="s">
        <v>418</v>
      </c>
      <c r="C67" s="9" t="s">
        <v>427</v>
      </c>
      <c r="D67" t="str">
        <f t="shared" si="18"/>
        <v>Femenino</v>
      </c>
      <c r="E67" t="str">
        <f t="shared" si="19"/>
        <v>De 18 a 20 años</v>
      </c>
      <c r="F67">
        <f t="shared" si="20"/>
        <v>19</v>
      </c>
      <c r="G67" s="9" t="s">
        <v>428</v>
      </c>
      <c r="H67" s="9" t="str">
        <f t="shared" si="21"/>
        <v>Bachiller</v>
      </c>
      <c r="I67" s="9" t="str">
        <f t="shared" si="22"/>
        <v>Trabajo de manera independiente</v>
      </c>
      <c r="J67" s="13" t="str">
        <f>IF(I67="Trabajo actualmente como empleado",IF(MOD((COUNTIF($I$2:I67,"Trabajo actualmente como empleado")-1)*37,150)&lt;100,"Empleado con contrato","Empleado sin contrato formal"),IF(I67="Trabajo de manera independiente","Trabajo independiente",""))</f>
        <v>Trabajo independiente</v>
      </c>
      <c r="K67" s="9" t="str">
        <f>IF(OR(I67="Trabajo actualmente como empleado",I67="Trabajo de manera independiente"),CHOOSE(MOD(COUNTIF($I$2:I67,I67)-1,4)+1,"Menos de 3 meses","De 3 a 6 meses","De 7 a 12 meses","Más de un año"),"")</f>
        <v>Más de un año</v>
      </c>
      <c r="L67" t="str">
        <f>IF(OR(I67="Trabajo actualmente como empleado",I67="Trabajo de manera independiente"),CHOOSE(MOD(COUNTIF($I$2:I67,I67)-1,3)+1,"Sí, completamente","Parcialmente","No"),"")</f>
        <v>No</v>
      </c>
      <c r="M67" t="str">
        <f>IF(OR(I67="Trabajo actualmente como empleado",I67="Trabajo de manera independiente"),CHOOSE(MOD(INT((COUNTIF($I$2:I67,I67)-1)/3),4)+1,"1- Muy satisfecho/a","2- Satisfecho/a","3- Insatisfecho/a","4- Muy insatisfecho/a"),"")</f>
        <v>4- Muy insatisfecho/a</v>
      </c>
      <c r="N67" t="str">
        <f>IF(OR(I67="Trabajo actualmente como empleado",I67="Trabajo de manera independiente"),_xlfn.LET(_xlpm.opcion,MOD(INT((COUNTIF($I$2:I67,I67)-1)/5),6)+1,CHOOSE(IF(AND(_xlpm.opcion=6,L67="Sí, completamente"),5,_xlpm.opcion),"Salario","Estabilidad laboral","Horario","Acceso a prestaciones","Oportunidades de crecimiento","Trabajar en un área relacionada con mi formación")),"")</f>
        <v>Horario</v>
      </c>
      <c r="O67" s="9" t="str">
        <f>IF(OR(I67="Trabajo actualmente como empleado",I67="Trabajo de manera independiente"),_xlfn.LET(_xlpm.turno,MOD(COUNTIF($I$2:I67,I67)-1,5),_xlpm.nivel,VALUE(LEFT(M67,1)),IF(_xlpm.turno=4,"No estoy seguro/a",IF(_xlpm.turno&lt;IF(_xlpm.nivel&lt;=2,1,3),"Sí","No"))),"")</f>
        <v>Sí</v>
      </c>
      <c r="P67" s="9" t="str">
        <f>_xlfn.LET(_xlpm.perfil,I67,_xlpm.turno,COUNTIF($I$2:I67,_xlpm.perfil)-1,_xlpm.busca,OR(_xlpm.perfil="Actualmente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trabajar"),IF(AND(_xlpm.trabaja,O67="No"),"Todavía no he iniciado una búsqueda activa",CHOOSE(MOD(_xlpm.turno*3,5)+1,"Menos de 1 mes","Entre 1 y 3 meses","Entre 4 y 6 meses","Más de 6 meses","Todavía no he iniciado una búsqueda activa")),"")))</f>
        <v>Más de 6 meses</v>
      </c>
      <c r="Q67" t="str">
        <f>IF(I67="Tengo un emprendimiento o quiero iniciar uno","",CHOOSE(MOD(INT((COUNTIF($I$2:I67,I67)-1)/7),3)+1,"Sí","No","Tengo una pero necesito actualizarla"))</f>
        <v>No</v>
      </c>
      <c r="R67" s="9" t="str">
        <f>IF(I67="Tengo un emprendimiento o quiero iniciar uno","",IF(I67="Busco mi primer empleo","No",IF(MOD(COUNTIF($I$2:I67,I67)-1,2)=0,"Sí","No")))</f>
        <v>No</v>
      </c>
      <c r="S67" t="str">
        <f>IF(I67="Tengo un emprendimiento o quiero iniciar uno","",CHOOSE(MOD(INT((COUNTIF($I$2:I67,I67)-1)/3),10)+1,"Portales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67" t="str">
        <f>IF(I67="Tengo un emprendimiento o quiero iniciar uno","",_xlfn.LET(_xlpm.opcion,MOD(INT((COUNTIF($I$2:I67,I67)-1)/4),6)+1,CHOOSE(IF(AND(_xlpm.opcion=3,Q67="Sí"),1,_xlpm.opcion),"Falta de experiencia","Falta de formación","Dificultades con la hoja de vida","Horarios disponibles","Transporte","Internet")))</f>
        <v>Dificultades con la hoja de vida</v>
      </c>
      <c r="U67" s="9" t="str">
        <f>IF(I67="Tengo un emprendimiento o quiero iniciar uno","",IF(MOD(INT((COUNTIF($I$2:I67,I67)-1)/3),2)=0,"Sí","No"))</f>
        <v>No</v>
      </c>
      <c r="V67" s="9" t="str">
        <f>IF(I67="Tengo un emprendimiento o quiero iniciar uno",CHOOSE(MOD(COUNTIF($I$2:I67,I67)-1,3)+1,"Tengo un emprendimiento","Estoy iniciando un emprendimiento","Me interesa emprender"),"")</f>
        <v/>
      </c>
      <c r="W67" t="str">
        <f t="shared" si="23"/>
        <v/>
      </c>
      <c r="X67" s="9" t="str">
        <f>IF(I67="Tengo un emprendimiento o quiero iniciar uno",CHOOSE(MOD(COUNTIF($I$2:I67,I67)-1,5)+1,"Falta de financiación","Falta de conocimientos administrativos","Falta de conocimientos financieros","Falta de tiempo","Falta de herramientas"),"")</f>
        <v/>
      </c>
      <c r="Y67" s="9" t="str">
        <f t="shared" si="24"/>
        <v/>
      </c>
      <c r="Z67" t="str">
        <f>IF(I67="Tengo un emprendimiento o quiero iniciar uno",CHOOSE(INT(MOD((COUNTIF($I$2:I67,I67)-1)*7,39)/13)+1,"Sí","No","No conozco programas de ese tipo"),"")</f>
        <v/>
      </c>
      <c r="AA67" t="str">
        <f t="shared" si="25"/>
        <v>Puedo hacerlo sin ayuda</v>
      </c>
      <c r="AB67" t="str">
        <f t="shared" si="25"/>
        <v>Puedo hacerlo sin ayuda</v>
      </c>
      <c r="AC67" t="str">
        <f t="shared" si="26"/>
        <v>Puedo hacerlo con ayuda</v>
      </c>
      <c r="AD67" s="9" t="str">
        <f t="shared" si="27"/>
        <v>Puedo hacerlo con ayuda</v>
      </c>
      <c r="AE67" t="str">
        <f t="shared" si="28"/>
        <v>Puedo hacerlo con ayuda</v>
      </c>
      <c r="AF67" s="9" t="str">
        <f t="shared" si="29"/>
        <v>Comunicación;Liderazgo</v>
      </c>
      <c r="AG67" s="9" t="str">
        <f t="shared" si="30"/>
        <v>Falta de experiencia</v>
      </c>
      <c r="AH67" t="str">
        <f t="shared" si="31"/>
        <v>Oficina de orientación laboral</v>
      </c>
      <c r="AI67" s="9" t="str">
        <f t="shared" si="32"/>
        <v>Virtual</v>
      </c>
      <c r="AJ67" s="9" t="str">
        <f t="shared" si="33"/>
        <v>Nocturno</v>
      </c>
      <c r="AK67" s="9" t="str">
        <f t="shared" si="34"/>
        <v>Celular</v>
      </c>
    </row>
    <row r="68" spans="1:37">
      <c r="A68" t="str">
        <f t="shared" si="35"/>
        <v>SG067</v>
      </c>
      <c r="B68" t="s">
        <v>418</v>
      </c>
      <c r="C68" s="9" t="s">
        <v>427</v>
      </c>
      <c r="D68" t="str">
        <f t="shared" si="18"/>
        <v>Femenino</v>
      </c>
      <c r="E68" t="str">
        <f t="shared" si="19"/>
        <v>De 20 a 22 años</v>
      </c>
      <c r="F68">
        <f t="shared" si="20"/>
        <v>21</v>
      </c>
      <c r="G68" s="9" t="s">
        <v>428</v>
      </c>
      <c r="H68" s="9" t="str">
        <f t="shared" si="21"/>
        <v>Bachiller</v>
      </c>
      <c r="I68" s="9" t="str">
        <f t="shared" si="22"/>
        <v>Estudio y quiero comenzar a trabajar</v>
      </c>
      <c r="J68" s="13" t="str">
        <f>IF(I68="Trabajo actualmente como empleado",IF(MOD((COUNTIF($I$2:I68,"Trabajo actualmente como empleado")-1)*37,150)&lt;100,"Empleado con contrato","Empleado sin contrato formal"),IF(I68="Trabajo de manera independiente","Trabajo independiente",""))</f>
        <v/>
      </c>
      <c r="K68" s="9" t="str">
        <f>IF(OR(I68="Trabajo actualmente como empleado",I68="Trabajo de manera independiente"),CHOOSE(MOD(COUNTIF($I$2:I68,I68)-1,4)+1,"Menos de 3 meses","De 3 a 6 meses","De 7 a 12 meses","Más de un año"),"")</f>
        <v/>
      </c>
      <c r="L68" t="str">
        <f>IF(OR(I68="Trabajo actualmente como empleado",I68="Trabajo de manera independiente"),CHOOSE(MOD(COUNTIF($I$2:I68,I68)-1,3)+1,"Sí, completamente","Parcialmente","No"),"")</f>
        <v/>
      </c>
      <c r="M68" t="str">
        <f>IF(OR(I68="Trabajo actualmente como empleado",I68="Trabajo de manera independiente"),CHOOSE(MOD(INT((COUNTIF($I$2:I68,I68)-1)/3),4)+1,"1- Muy satisfecho/a","2- Satisfecho/a","3- Insatisfecho/a","4- Muy insatisfecho/a"),"")</f>
        <v/>
      </c>
      <c r="N68" t="str">
        <f>IF(OR(I68="Trabajo actualmente como empleado",I68="Trabajo de manera independiente"),_xlfn.LET(_xlpm.opcion,MOD(INT((COUNTIF($I$2:I68,I68)-1)/5),6)+1,CHOOSE(IF(AND(_xlpm.opcion=6,L68="Sí, completamente"),5,_xlpm.opcion),"Salario","Estabilidad laboral","Horario","Acceso a prestaciones","Oportunidades de crecimiento","Trabajar en un área relacionada con mi formación")),"")</f>
        <v/>
      </c>
      <c r="O68" s="9" t="str">
        <f>IF(OR(I68="Trabajo actualmente como empleado",I68="Trabajo de manera independiente"),_xlfn.LET(_xlpm.turno,MOD(COUNTIF($I$2:I68,I68)-1,5),_xlpm.nivel,VALUE(LEFT(M68,1)),IF(_xlpm.turno=4,"No estoy seguro/a",IF(_xlpm.turno&lt;IF(_xlpm.nivel&lt;=2,1,3),"Sí","No"))),"")</f>
        <v/>
      </c>
      <c r="P68" s="9" t="str">
        <f>_xlfn.LET(_xlpm.perfil,I68,_xlpm.turno,COUNTIF($I$2:I68,_xlpm.perfil)-1,_xlpm.busca,OR(_xlpm.perfil="Actualmente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trabajar"),IF(AND(_xlpm.trabaja,O68="No"),"Todavía no he iniciado una búsqueda activa",CHOOSE(MOD(_xlpm.turno*3,5)+1,"Menos de 1 mes","Entre 1 y 3 meses","Entre 4 y 6 meses","Más de 6 meses","Todavía no he iniciado una búsqueda activa")),"")))</f>
        <v>Entre 1 y 3 meses</v>
      </c>
      <c r="Q68" t="str">
        <f>IF(I68="Tengo un emprendimiento o quiero iniciar uno","",CHOOSE(MOD(INT((COUNTIF($I$2:I68,I68)-1)/7),3)+1,"Sí","No","Tengo una pero necesito actualizarla"))</f>
        <v>No</v>
      </c>
      <c r="R68" s="9" t="str">
        <f>IF(I68="Tengo un emprendimiento o quiero iniciar uno","",IF(I68="Busco mi primer empleo","No",IF(MOD(COUNTIF($I$2:I68,I68)-1,2)=0,"Sí","No")))</f>
        <v>No</v>
      </c>
      <c r="S68" t="str">
        <f>IF(I68="Tengo un emprendimiento o quiero iniciar uno","",CHOOSE(MOD(INT((COUNTIF($I$2:I68,I68)-1)/3),10)+1,"Portales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68" t="str">
        <f>IF(I68="Tengo un emprendimiento o quiero iniciar uno","",_xlfn.LET(_xlpm.opcion,MOD(INT((COUNTIF($I$2:I68,I68)-1)/4),6)+1,CHOOSE(IF(AND(_xlpm.opcion=3,Q68="Sí"),1,_xlpm.opcion),"Falta de experiencia","Falta de formación","Dificultades con la hoja de vida","Horarios disponibles","Transporte","Internet")))</f>
        <v>Falta de formación</v>
      </c>
      <c r="U68" s="9" t="str">
        <f>IF(I68="Tengo un emprendimiento o quiero iniciar uno","",IF(MOD(INT((COUNTIF($I$2:I68,I68)-1)/3),2)=0,"Sí","No"))</f>
        <v>Sí</v>
      </c>
      <c r="V68" s="9" t="str">
        <f>IF(I68="Tengo un emprendimiento o quiero iniciar uno",CHOOSE(MOD(COUNTIF($I$2:I68,I68)-1,3)+1,"Tengo un emprendimiento","Estoy iniciando un emprendimiento","Me interesa emprender"),"")</f>
        <v/>
      </c>
      <c r="W68" t="str">
        <f t="shared" si="23"/>
        <v/>
      </c>
      <c r="X68" s="9" t="str">
        <f>IF(I68="Tengo un emprendimiento o quiero iniciar uno",CHOOSE(MOD(COUNTIF($I$2:I68,I68)-1,5)+1,"Falta de financiación","Falta de conocimientos administrativos","Falta de conocimientos financieros","Falta de tiempo","Falta de herramientas"),"")</f>
        <v/>
      </c>
      <c r="Y68" s="9" t="str">
        <f t="shared" si="24"/>
        <v/>
      </c>
      <c r="Z68" t="str">
        <f>IF(I68="Tengo un emprendimiento o quiero iniciar uno",CHOOSE(INT(MOD((COUNTIF($I$2:I68,I68)-1)*7,39)/13)+1,"Sí","No","No conozco programas de ese tipo"),"")</f>
        <v/>
      </c>
      <c r="AA68" t="str">
        <f t="shared" si="25"/>
        <v>Puedo hacerlo con ayuda</v>
      </c>
      <c r="AB68" t="str">
        <f t="shared" si="25"/>
        <v>Puedo hacerlo con ayuda</v>
      </c>
      <c r="AC68" t="str">
        <f t="shared" si="26"/>
        <v>Puedo hacerlo sin ayuda</v>
      </c>
      <c r="AD68" s="9" t="str">
        <f t="shared" si="27"/>
        <v>Puedo hacerlo con dificultad</v>
      </c>
      <c r="AE68" t="str">
        <f t="shared" si="28"/>
        <v>Puedo hacerlo con ayuda</v>
      </c>
      <c r="AF68" s="9" t="str">
        <f t="shared" si="29"/>
        <v>Herramientas digitales;Educación financiera</v>
      </c>
      <c r="AG68" s="9" t="str">
        <f t="shared" si="30"/>
        <v>Distancia</v>
      </c>
      <c r="AH68" t="str">
        <f t="shared" si="31"/>
        <v>Programas de emprendimiento</v>
      </c>
      <c r="AI68" s="9" t="str">
        <f t="shared" si="32"/>
        <v>Presencial y virtual</v>
      </c>
      <c r="AJ68" s="9" t="str">
        <f t="shared" si="33"/>
        <v>Mañana entre semana</v>
      </c>
      <c r="AK68" s="9" t="str">
        <f t="shared" si="34"/>
        <v>WhatsApp</v>
      </c>
    </row>
    <row r="69" spans="1:37">
      <c r="A69" t="str">
        <f t="shared" si="35"/>
        <v>SG068</v>
      </c>
      <c r="B69" t="s">
        <v>418</v>
      </c>
      <c r="C69" s="9" t="s">
        <v>427</v>
      </c>
      <c r="D69" t="str">
        <f t="shared" si="18"/>
        <v>Masculino</v>
      </c>
      <c r="E69" t="str">
        <f t="shared" si="19"/>
        <v>De 22 a 24 años</v>
      </c>
      <c r="F69">
        <f t="shared" si="20"/>
        <v>23</v>
      </c>
      <c r="G69" s="9" t="s">
        <v>428</v>
      </c>
      <c r="H69" s="9" t="str">
        <f t="shared" si="21"/>
        <v>Bachiller</v>
      </c>
      <c r="I69" s="9" t="str">
        <f t="shared" si="22"/>
        <v>Trabajo actualmente como empleado</v>
      </c>
      <c r="J69" s="13" t="str">
        <f>IF(I69="Trabajo actualmente como empleado",IF(MOD((COUNTIF($I$2:I69,"Trabajo actualmente como empleado")-1)*37,150)&lt;100,"Empleado con contrato","Empleado sin contrato formal"),IF(I69="Trabajo de manera independiente","Trabajo independiente",""))</f>
        <v>Empleado con contrato</v>
      </c>
      <c r="K69" s="9" t="str">
        <f>IF(OR(I69="Trabajo actualmente como empleado",I69="Trabajo de manera independiente"),CHOOSE(MOD(COUNTIF($I$2:I69,I69)-1,4)+1,"Menos de 3 meses","De 3 a 6 meses","De 7 a 12 meses","Más de un año"),"")</f>
        <v>De 7 a 12 meses</v>
      </c>
      <c r="L69" t="str">
        <f>IF(OR(I69="Trabajo actualmente como empleado",I69="Trabajo de manera independiente"),CHOOSE(MOD(COUNTIF($I$2:I69,I69)-1,3)+1,"Sí, completamente","Parcialmente","No"),"")</f>
        <v>Parcialmente</v>
      </c>
      <c r="M69" t="str">
        <f>IF(OR(I69="Trabajo actualmente como empleado",I69="Trabajo de manera independiente"),CHOOSE(MOD(INT((COUNTIF($I$2:I69,I69)-1)/3),4)+1,"1- Muy satisfecho/a","2- Satisfecho/a","3- Insatisfecho/a","4- Muy insatisfecho/a"),"")</f>
        <v>4- Muy insatisfecho/a</v>
      </c>
      <c r="N69" t="str">
        <f>IF(OR(I69="Trabajo actualmente como empleado",I69="Trabajo de manera independiente"),_xlfn.LET(_xlpm.opcion,MOD(INT((COUNTIF($I$2:I69,I69)-1)/5),6)+1,CHOOSE(IF(AND(_xlpm.opcion=6,L69="Sí, completamente"),5,_xlpm.opcion),"Salario","Estabilidad laboral","Horario","Acceso a prestaciones","Oportunidades de crecimiento","Trabajar en un área relacionada con mi formación")),"")</f>
        <v>Oportunidades de crecimiento</v>
      </c>
      <c r="O69" s="9" t="str">
        <f>IF(OR(I69="Trabajo actualmente como empleado",I69="Trabajo de manera independiente"),_xlfn.LET(_xlpm.turno,MOD(COUNTIF($I$2:I69,I69)-1,5),_xlpm.nivel,VALUE(LEFT(M69,1)),IF(_xlpm.turno=4,"No estoy seguro/a",IF(_xlpm.turno&lt;IF(_xlpm.nivel&lt;=2,1,3),"Sí","No"))),"")</f>
        <v>Sí</v>
      </c>
      <c r="P69" s="9" t="str">
        <f>_xlfn.LET(_xlpm.perfil,I69,_xlpm.turno,COUNTIF($I$2:I69,_xlpm.perfil)-1,_xlpm.busca,OR(_xlpm.perfil="Actualmente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trabajar"),IF(AND(_xlpm.trabaja,O69="No"),"Todavía no he iniciado una búsqueda activa",CHOOSE(MOD(_xlpm.turno*3,5)+1,"Menos de 1 mes","Entre 1 y 3 meses","Entre 4 y 6 meses","Más de 6 meses","Todavía no he iniciado una búsqueda activa")),"")))</f>
        <v>Entre 1 y 3 meses</v>
      </c>
      <c r="Q69" t="str">
        <f>IF(I69="Tengo un emprendimiento o quiero iniciar uno","",CHOOSE(MOD(INT((COUNTIF($I$2:I69,I69)-1)/7),3)+1,"Sí","No","Tengo una pero necesito actualizarla"))</f>
        <v>Sí</v>
      </c>
      <c r="R69" s="9" t="str">
        <f>IF(I69="Tengo un emprendimiento o quiero iniciar uno","",IF(I69="Busco mi primer empleo","No",IF(MOD(COUNTIF($I$2:I69,I69)-1,2)=0,"Sí","No")))</f>
        <v>Sí</v>
      </c>
      <c r="S69" t="str">
        <f>IF(I69="Tengo un emprendimiento o quiero iniciar uno","",CHOOSE(MOD(INT((COUNTIF($I$2:I69,I69)-1)/3),10)+1,"Portales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69" t="str">
        <f>IF(I69="Tengo un emprendimiento o quiero iniciar uno","",_xlfn.LET(_xlpm.opcion,MOD(INT((COUNTIF($I$2:I69,I69)-1)/4),6)+1,CHOOSE(IF(AND(_xlpm.opcion=3,Q69="Sí"),1,_xlpm.opcion),"Falta de experiencia","Falta de formación","Dificultades con la hoja de vida","Horarios disponibles","Transporte","Internet")))</f>
        <v>Internet</v>
      </c>
      <c r="U69" s="9" t="str">
        <f>IF(I69="Tengo un emprendimiento o quiero iniciar uno","",IF(MOD(INT((COUNTIF($I$2:I69,I69)-1)/3),2)=0,"Sí","No"))</f>
        <v>No</v>
      </c>
      <c r="V69" s="9" t="str">
        <f>IF(I69="Tengo un emprendimiento o quiero iniciar uno",CHOOSE(MOD(COUNTIF($I$2:I69,I69)-1,3)+1,"Tengo un emprendimiento","Estoy iniciando un emprendimiento","Me interesa emprender"),"")</f>
        <v/>
      </c>
      <c r="W69" t="str">
        <f t="shared" si="23"/>
        <v/>
      </c>
      <c r="X69" s="9" t="str">
        <f>IF(I69="Tengo un emprendimiento o quiero iniciar uno",CHOOSE(MOD(COUNTIF($I$2:I69,I69)-1,5)+1,"Falta de financiación","Falta de conocimientos administrativos","Falta de conocimientos financieros","Falta de tiempo","Falta de herramientas"),"")</f>
        <v/>
      </c>
      <c r="Y69" s="9" t="str">
        <f t="shared" si="24"/>
        <v/>
      </c>
      <c r="Z69" t="str">
        <f>IF(I69="Tengo un emprendimiento o quiero iniciar uno",CHOOSE(INT(MOD((COUNTIF($I$2:I69,I69)-1)*7,39)/13)+1,"Sí","No","No conozco programas de ese tipo"),"")</f>
        <v/>
      </c>
      <c r="AA69" t="str">
        <f t="shared" si="25"/>
        <v>Puedo hacerlo con dificultad</v>
      </c>
      <c r="AB69" t="str">
        <f t="shared" si="25"/>
        <v>Puedo hacerlo con dificultad</v>
      </c>
      <c r="AC69" t="str">
        <f t="shared" si="26"/>
        <v>No puedo hacerlo</v>
      </c>
      <c r="AD69" s="9" t="str">
        <f t="shared" si="27"/>
        <v>Puedo hacerlo con dificultad</v>
      </c>
      <c r="AE69" t="str">
        <f t="shared" si="28"/>
        <v>Puedo hacerlo con dificultad</v>
      </c>
      <c r="AF69" s="9" t="str">
        <f t="shared" si="29"/>
        <v>Crear una hoja de vida</v>
      </c>
      <c r="AG69" s="9" t="str">
        <f t="shared" si="30"/>
        <v>Distancia</v>
      </c>
      <c r="AH69" t="str">
        <f t="shared" si="31"/>
        <v>No conozco ninguno</v>
      </c>
      <c r="AI69" s="9" t="str">
        <f t="shared" si="32"/>
        <v>Me es indiferente</v>
      </c>
      <c r="AJ69" s="9" t="str">
        <f t="shared" si="33"/>
        <v>Diurno</v>
      </c>
      <c r="AK69" s="9" t="str">
        <f t="shared" si="34"/>
        <v>Redes sociales</v>
      </c>
    </row>
    <row r="70" spans="1:37">
      <c r="A70" t="str">
        <f t="shared" si="35"/>
        <v>SG069</v>
      </c>
      <c r="B70" t="s">
        <v>418</v>
      </c>
      <c r="C70" s="9" t="s">
        <v>427</v>
      </c>
      <c r="D70" t="str">
        <f t="shared" si="18"/>
        <v>Masculino</v>
      </c>
      <c r="E70" t="str">
        <f t="shared" si="19"/>
        <v>De 24 a 26 años</v>
      </c>
      <c r="F70">
        <f t="shared" si="20"/>
        <v>25</v>
      </c>
      <c r="G70" s="9" t="s">
        <v>428</v>
      </c>
      <c r="H70" s="9" t="str">
        <f t="shared" si="21"/>
        <v>Bachiller</v>
      </c>
      <c r="I70" s="9" t="str">
        <f t="shared" si="22"/>
        <v>Actualmente no trabajo y estoy buscando empleo</v>
      </c>
      <c r="J70" s="13" t="str">
        <f>IF(I70="Trabajo actualmente como empleado",IF(MOD((COUNTIF($I$2:I70,"Trabajo actualmente como empleado")-1)*37,150)&lt;100,"Empleado con contrato","Empleado sin contrato formal"),IF(I70="Trabajo de manera independiente","Trabajo independiente",""))</f>
        <v/>
      </c>
      <c r="K70" s="9" t="str">
        <f>IF(OR(I70="Trabajo actualmente como empleado",I70="Trabajo de manera independiente"),CHOOSE(MOD(COUNTIF($I$2:I70,I70)-1,4)+1,"Menos de 3 meses","De 3 a 6 meses","De 7 a 12 meses","Más de un año"),"")</f>
        <v/>
      </c>
      <c r="L70" t="str">
        <f>IF(OR(I70="Trabajo actualmente como empleado",I70="Trabajo de manera independiente"),CHOOSE(MOD(COUNTIF($I$2:I70,I70)-1,3)+1,"Sí, completamente","Parcialmente","No"),"")</f>
        <v/>
      </c>
      <c r="M70" t="str">
        <f>IF(OR(I70="Trabajo actualmente como empleado",I70="Trabajo de manera independiente"),CHOOSE(MOD(INT((COUNTIF($I$2:I70,I70)-1)/3),4)+1,"1- Muy satisfecho/a","2- Satisfecho/a","3- Insatisfecho/a","4- Muy insatisfecho/a"),"")</f>
        <v/>
      </c>
      <c r="N70" t="str">
        <f>IF(OR(I70="Trabajo actualmente como empleado",I70="Trabajo de manera independiente"),_xlfn.LET(_xlpm.opcion,MOD(INT((COUNTIF($I$2:I70,I70)-1)/5),6)+1,CHOOSE(IF(AND(_xlpm.opcion=6,L70="Sí, completamente"),5,_xlpm.opcion),"Salario","Estabilidad laboral","Horario","Acceso a prestaciones","Oportunidades de crecimiento","Trabajar en un área relacionada con mi formación")),"")</f>
        <v/>
      </c>
      <c r="O70" s="9" t="str">
        <f>IF(OR(I70="Trabajo actualmente como empleado",I70="Trabajo de manera independiente"),_xlfn.LET(_xlpm.turno,MOD(COUNTIF($I$2:I70,I70)-1,5),_xlpm.nivel,VALUE(LEFT(M70,1)),IF(_xlpm.turno=4,"No estoy seguro/a",IF(_xlpm.turno&lt;IF(_xlpm.nivel&lt;=2,1,3),"Sí","No"))),"")</f>
        <v/>
      </c>
      <c r="P70" s="9" t="str">
        <f>_xlfn.LET(_xlpm.perfil,I70,_xlpm.turno,COUNTIF($I$2:I70,_xlpm.perfil)-1,_xlpm.busca,OR(_xlpm.perfil="Actualmente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trabajar"),IF(AND(_xlpm.trabaja,O70="No"),"Todavía no he iniciado una búsqueda activa",CHOOSE(MOD(_xlpm.turno*3,5)+1,"Menos de 1 mes","Entre 1 y 3 meses","Entre 4 y 6 meses","Más de 6 meses","Todavía no he iniciado una búsqueda activa")),"")))</f>
        <v>Entre 4 y 6 meses</v>
      </c>
      <c r="Q70" t="str">
        <f>IF(I70="Tengo un emprendimiento o quiero iniciar uno","",CHOOSE(MOD(INT((COUNTIF($I$2:I70,I70)-1)/7),3)+1,"Sí","No","Tengo una pero necesito actualizarla"))</f>
        <v>No</v>
      </c>
      <c r="R70" s="9" t="str">
        <f>IF(I70="Tengo un emprendimiento o quiero iniciar uno","",IF(I70="Busco mi primer empleo","No",IF(MOD(COUNTIF($I$2:I70,I70)-1,2)=0,"Sí","No")))</f>
        <v>Sí</v>
      </c>
      <c r="S70" t="str">
        <f>IF(I70="Tengo un emprendimiento o quiero iniciar uno","",CHOOSE(MOD(INT((COUNTIF($I$2:I70,I70)-1)/3),10)+1,"Portales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70" t="str">
        <f>IF(I70="Tengo un emprendimiento o quiero iniciar uno","",_xlfn.LET(_xlpm.opcion,MOD(INT((COUNTIF($I$2:I70,I70)-1)/4),6)+1,CHOOSE(IF(AND(_xlpm.opcion=3,Q70="Sí"),1,_xlpm.opcion),"Falta de experiencia","Falta de formación","Dificultades con la hoja de vida","Horarios disponibles","Transporte","Internet")))</f>
        <v>Dificultades con la hoja de vida</v>
      </c>
      <c r="U70" s="9" t="str">
        <f>IF(I70="Tengo un emprendimiento o quiero iniciar uno","",IF(MOD(INT((COUNTIF($I$2:I70,I70)-1)/3),2)=0,"Sí","No"))</f>
        <v>No</v>
      </c>
      <c r="V70" s="9" t="str">
        <f>IF(I70="Tengo un emprendimiento o quiero iniciar uno",CHOOSE(MOD(COUNTIF($I$2:I70,I70)-1,3)+1,"Tengo un emprendimiento","Estoy iniciando un emprendimiento","Me interesa emprender"),"")</f>
        <v/>
      </c>
      <c r="W70" t="str">
        <f t="shared" si="23"/>
        <v/>
      </c>
      <c r="X70" s="9" t="str">
        <f>IF(I70="Tengo un emprendimiento o quiero iniciar uno",CHOOSE(MOD(COUNTIF($I$2:I70,I70)-1,5)+1,"Falta de financiación","Falta de conocimientos administrativos","Falta de conocimientos financieros","Falta de tiempo","Falta de herramientas"),"")</f>
        <v/>
      </c>
      <c r="Y70" s="9" t="str">
        <f t="shared" si="24"/>
        <v/>
      </c>
      <c r="Z70" t="str">
        <f>IF(I70="Tengo un emprendimiento o quiero iniciar uno",CHOOSE(INT(MOD((COUNTIF($I$2:I70,I70)-1)*7,39)/13)+1,"Sí","No","No conozco programas de ese tipo"),"")</f>
        <v/>
      </c>
      <c r="AA70" t="str">
        <f t="shared" si="25"/>
        <v>No puedo hacerlo</v>
      </c>
      <c r="AB70" t="str">
        <f t="shared" si="25"/>
        <v>No puedo hacerlo</v>
      </c>
      <c r="AC70" t="str">
        <f t="shared" si="26"/>
        <v>Puedo hacerlo con ayuda</v>
      </c>
      <c r="AD70" s="9" t="str">
        <f t="shared" si="27"/>
        <v>Puedo hacerlo sin ayuda</v>
      </c>
      <c r="AE70" t="str">
        <f t="shared" si="28"/>
        <v>Puedo hacerlo con dificultad</v>
      </c>
      <c r="AF70" s="9" t="str">
        <f t="shared" si="29"/>
        <v>Preparación para entrevista</v>
      </c>
      <c r="AG70" s="9" t="str">
        <f t="shared" si="30"/>
        <v>Distancia</v>
      </c>
      <c r="AH70" t="str">
        <f t="shared" si="31"/>
        <v>Ferias de empleo</v>
      </c>
      <c r="AI70" s="9" t="str">
        <f t="shared" si="32"/>
        <v>Presencial</v>
      </c>
      <c r="AJ70" s="9" t="str">
        <f t="shared" si="33"/>
        <v>Nocturno</v>
      </c>
      <c r="AK70" s="9" t="str">
        <f t="shared" si="34"/>
        <v>Celular</v>
      </c>
    </row>
    <row r="71" spans="1:37">
      <c r="A71" t="str">
        <f t="shared" si="35"/>
        <v>SG070</v>
      </c>
      <c r="B71" t="s">
        <v>418</v>
      </c>
      <c r="C71" s="9" t="s">
        <v>427</v>
      </c>
      <c r="D71" t="str">
        <f t="shared" si="18"/>
        <v>Femenino</v>
      </c>
      <c r="E71" t="str">
        <f t="shared" si="19"/>
        <v>De 26 a 28 años</v>
      </c>
      <c r="F71">
        <f t="shared" si="20"/>
        <v>27</v>
      </c>
      <c r="G71" s="9" t="s">
        <v>428</v>
      </c>
      <c r="H71" s="9" t="str">
        <f t="shared" si="21"/>
        <v>Bachiller</v>
      </c>
      <c r="I71" s="9" t="str">
        <f t="shared" si="22"/>
        <v>Tengo un emprendimiento o quiero iniciar uno</v>
      </c>
      <c r="J71" s="13" t="str">
        <f>IF(I71="Trabajo actualmente como empleado",IF(MOD((COUNTIF($I$2:I71,"Trabajo actualmente como empleado")-1)*37,150)&lt;100,"Empleado con contrato","Empleado sin contrato formal"),IF(I71="Trabajo de manera independiente","Trabajo independiente",""))</f>
        <v/>
      </c>
      <c r="K71" s="9" t="str">
        <f>IF(OR(I71="Trabajo actualmente como empleado",I71="Trabajo de manera independiente"),CHOOSE(MOD(COUNTIF($I$2:I71,I71)-1,4)+1,"Menos de 3 meses","De 3 a 6 meses","De 7 a 12 meses","Más de un año"),"")</f>
        <v/>
      </c>
      <c r="L71" t="str">
        <f>IF(OR(I71="Trabajo actualmente como empleado",I71="Trabajo de manera independiente"),CHOOSE(MOD(COUNTIF($I$2:I71,I71)-1,3)+1,"Sí, completamente","Parcialmente","No"),"")</f>
        <v/>
      </c>
      <c r="M71" t="str">
        <f>IF(OR(I71="Trabajo actualmente como empleado",I71="Trabajo de manera independiente"),CHOOSE(MOD(INT((COUNTIF($I$2:I71,I71)-1)/3),4)+1,"1- Muy satisfecho/a","2- Satisfecho/a","3- Insatisfecho/a","4- Muy insatisfecho/a"),"")</f>
        <v/>
      </c>
      <c r="N71" t="str">
        <f>IF(OR(I71="Trabajo actualmente como empleado",I71="Trabajo de manera independiente"),_xlfn.LET(_xlpm.opcion,MOD(INT((COUNTIF($I$2:I71,I71)-1)/5),6)+1,CHOOSE(IF(AND(_xlpm.opcion=6,L71="Sí, completamente"),5,_xlpm.opcion),"Salario","Estabilidad laboral","Horario","Acceso a prestaciones","Oportunidades de crecimiento","Trabajar en un área relacionada con mi formación")),"")</f>
        <v/>
      </c>
      <c r="O71" s="9" t="str">
        <f>IF(OR(I71="Trabajo actualmente como empleado",I71="Trabajo de manera independiente"),_xlfn.LET(_xlpm.turno,MOD(COUNTIF($I$2:I71,I71)-1,5),_xlpm.nivel,VALUE(LEFT(M71,1)),IF(_xlpm.turno=4,"No estoy seguro/a",IF(_xlpm.turno&lt;IF(_xlpm.nivel&lt;=2,1,3),"Sí","No"))),"")</f>
        <v/>
      </c>
      <c r="P71" s="9" t="str">
        <f>_xlfn.LET(_xlpm.perfil,I71,_xlpm.turno,COUNTIF($I$2:I71,_xlpm.perfil)-1,_xlpm.busca,OR(_xlpm.perfil="Actualmente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trabajar"),IF(AND(_xlpm.trabaja,O71="No"),"Todavía no he iniciado una búsqueda activa",CHOOSE(MOD(_xlpm.turno*3,5)+1,"Menos de 1 mes","Entre 1 y 3 meses","Entre 4 y 6 meses","Más de 6 meses","Todavía no he iniciado una búsqueda activa")),"")))</f>
        <v/>
      </c>
      <c r="Q71" t="str">
        <f>IF(I71="Tengo un emprendimiento o quiero iniciar uno","",CHOOSE(MOD(INT((COUNTIF($I$2:I71,I71)-1)/7),3)+1,"Sí","No","Tengo una pero necesito actualizarla"))</f>
        <v/>
      </c>
      <c r="R71" s="9" t="str">
        <f>IF(I71="Tengo un emprendimiento o quiero iniciar uno","",IF(I71="Busco mi primer empleo","No",IF(MOD(COUNTIF($I$2:I71,I71)-1,2)=0,"Sí","No")))</f>
        <v/>
      </c>
      <c r="S71" t="str">
        <f>IF(I71="Tengo un emprendimiento o quiero iniciar uno","",CHOOSE(MOD(INT((COUNTIF($I$2:I71,I71)-1)/3),10)+1,"Portales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71" t="str">
        <f>IF(I71="Tengo un emprendimiento o quiero iniciar uno","",_xlfn.LET(_xlpm.opcion,MOD(INT((COUNTIF($I$2:I71,I71)-1)/4),6)+1,CHOOSE(IF(AND(_xlpm.opcion=3,Q71="Sí"),1,_xlpm.opcion),"Falta de experiencia","Falta de formación","Dificultades con la hoja de vida","Horarios disponibles","Transporte","Internet")))</f>
        <v/>
      </c>
      <c r="U71" s="9" t="str">
        <f>IF(I71="Tengo un emprendimiento o quiero iniciar uno","",IF(MOD(INT((COUNTIF($I$2:I71,I71)-1)/3),2)=0,"Sí","No"))</f>
        <v/>
      </c>
      <c r="V71" s="9" t="str">
        <f>IF(I71="Tengo un emprendimiento o quiero iniciar uno",CHOOSE(MOD(COUNTIF($I$2:I71,I71)-1,3)+1,"Tengo un emprendimiento","Estoy iniciando un emprendimiento","Me interesa emprender"),"")</f>
        <v>Me interesa emprender</v>
      </c>
      <c r="W71" t="str">
        <f t="shared" si="23"/>
        <v/>
      </c>
      <c r="X71" s="9" t="str">
        <f>IF(I71="Tengo un emprendimiento o quiero iniciar uno",CHOOSE(MOD(COUNTIF($I$2:I71,I71)-1,5)+1,"Falta de financiación","Falta de conocimientos administrativos","Falta de conocimientos financieros","Falta de tiempo","Falta de herramientas"),"")</f>
        <v>Falta de financiación</v>
      </c>
      <c r="Y71" s="9" t="str">
        <f t="shared" si="24"/>
        <v>Falta de financiación</v>
      </c>
      <c r="Z71" t="str">
        <f>IF(I71="Tengo un emprendimiento o quiero iniciar uno",CHOOSE(INT(MOD((COUNTIF($I$2:I71,I71)-1)*7,39)/13)+1,"Sí","No","No conozco programas de ese tipo"),"")</f>
        <v>No conozco programas de ese tipo</v>
      </c>
      <c r="AA71" t="str">
        <f t="shared" si="25"/>
        <v>Puedo hacerlo con dificultad</v>
      </c>
      <c r="AB71" t="str">
        <f t="shared" si="25"/>
        <v>Puedo hacerlo con dificultad</v>
      </c>
      <c r="AC71" t="str">
        <f t="shared" si="26"/>
        <v>Puedo hacerlo sin ayuda</v>
      </c>
      <c r="AD71" s="9" t="str">
        <f t="shared" si="27"/>
        <v>No puedo hacerlo</v>
      </c>
      <c r="AE71" t="str">
        <f t="shared" si="28"/>
        <v>Puedo hacerlo sin ayuda</v>
      </c>
      <c r="AF71" s="9" t="str">
        <f t="shared" si="29"/>
        <v>Comunicación</v>
      </c>
      <c r="AG71" s="9" t="str">
        <f t="shared" si="30"/>
        <v>Falta de experiencia;Falta de información</v>
      </c>
      <c r="AH71" t="str">
        <f t="shared" si="31"/>
        <v>No conozco ninguno</v>
      </c>
      <c r="AI71" s="9" t="str">
        <f t="shared" si="32"/>
        <v>Virtual</v>
      </c>
      <c r="AJ71" s="9" t="str">
        <f t="shared" si="33"/>
        <v>Mañana entre semana</v>
      </c>
      <c r="AK71" s="9" t="str">
        <f t="shared" si="34"/>
        <v>Correo electrónico</v>
      </c>
    </row>
    <row r="72" spans="1:37">
      <c r="A72" t="str">
        <f t="shared" si="35"/>
        <v>SG071</v>
      </c>
      <c r="B72" t="s">
        <v>418</v>
      </c>
      <c r="C72" s="9" t="s">
        <v>427</v>
      </c>
      <c r="D72" t="str">
        <f t="shared" si="18"/>
        <v>Masculino</v>
      </c>
      <c r="E72" t="str">
        <f t="shared" si="19"/>
        <v>De 18 a 20 años</v>
      </c>
      <c r="F72">
        <f t="shared" si="20"/>
        <v>18</v>
      </c>
      <c r="G72" s="9" t="s">
        <v>428</v>
      </c>
      <c r="H72" s="9" t="str">
        <f t="shared" si="21"/>
        <v>Bachiller</v>
      </c>
      <c r="I72" s="9" t="str">
        <f t="shared" si="22"/>
        <v>Trabajo actualmente como empleado</v>
      </c>
      <c r="J72" s="13" t="str">
        <f>IF(I72="Trabajo actualmente como empleado",IF(MOD((COUNTIF($I$2:I72,"Trabajo actualmente como empleado")-1)*37,150)&lt;100,"Empleado con contrato","Empleado sin contrato formal"),IF(I72="Trabajo de manera independiente","Trabajo independiente",""))</f>
        <v>Empleado sin contrato formal</v>
      </c>
      <c r="K72" s="9" t="str">
        <f>IF(OR(I72="Trabajo actualmente como empleado",I72="Trabajo de manera independiente"),CHOOSE(MOD(COUNTIF($I$2:I72,I72)-1,4)+1,"Menos de 3 meses","De 3 a 6 meses","De 7 a 12 meses","Más de un año"),"")</f>
        <v>Más de un año</v>
      </c>
      <c r="L72" t="str">
        <f>IF(OR(I72="Trabajo actualmente como empleado",I72="Trabajo de manera independiente"),CHOOSE(MOD(COUNTIF($I$2:I72,I72)-1,3)+1,"Sí, completamente","Parcialmente","No"),"")</f>
        <v>No</v>
      </c>
      <c r="M72" t="str">
        <f>IF(OR(I72="Trabajo actualmente como empleado",I72="Trabajo de manera independiente"),CHOOSE(MOD(INT((COUNTIF($I$2:I72,I72)-1)/3),4)+1,"1- Muy satisfecho/a","2- Satisfecho/a","3- Insatisfecho/a","4- Muy insatisfecho/a"),"")</f>
        <v>4- Muy insatisfecho/a</v>
      </c>
      <c r="N72" t="str">
        <f>IF(OR(I72="Trabajo actualmente como empleado",I72="Trabajo de manera independiente"),_xlfn.LET(_xlpm.opcion,MOD(INT((COUNTIF($I$2:I72,I72)-1)/5),6)+1,CHOOSE(IF(AND(_xlpm.opcion=6,L72="Sí, completamente"),5,_xlpm.opcion),"Salario","Estabilidad laboral","Horario","Acceso a prestaciones","Oportunidades de crecimiento","Trabajar en un área relacionada con mi formación")),"")</f>
        <v>Oportunidades de crecimiento</v>
      </c>
      <c r="O72" s="9" t="str">
        <f>IF(OR(I72="Trabajo actualmente como empleado",I72="Trabajo de manera independiente"),_xlfn.LET(_xlpm.turno,MOD(COUNTIF($I$2:I72,I72)-1,5),_xlpm.nivel,VALUE(LEFT(M72,1)),IF(_xlpm.turno=4,"No estoy seguro/a",IF(_xlpm.turno&lt;IF(_xlpm.nivel&lt;=2,1,3),"Sí","No"))),"")</f>
        <v>No</v>
      </c>
      <c r="P72" s="9" t="str">
        <f>_xlfn.LET(_xlpm.perfil,I72,_xlpm.turno,COUNTIF($I$2:I72,_xlpm.perfil)-1,_xlpm.busca,OR(_xlpm.perfil="Actualmente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72" t="str">
        <f>IF(I72="Tengo un emprendimiento o quiero iniciar uno","",CHOOSE(MOD(INT((COUNTIF($I$2:I72,I72)-1)/7),3)+1,"Sí","No","Tengo una pero necesito actualizarla"))</f>
        <v>Sí</v>
      </c>
      <c r="R72" s="9" t="str">
        <f>IF(I72="Tengo un emprendimiento o quiero iniciar uno","",IF(I72="Busco mi primer empleo","No",IF(MOD(COUNTIF($I$2:I72,I72)-1,2)=0,"Sí","No")))</f>
        <v>No</v>
      </c>
      <c r="S72" t="str">
        <f>IF(I72="Tengo un emprendimiento o quiero iniciar uno","",CHOOSE(MOD(INT((COUNTIF($I$2:I72,I72)-1)/3),10)+1,"Portales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72" t="str">
        <f>IF(I72="Tengo un emprendimiento o quiero iniciar uno","",_xlfn.LET(_xlpm.opcion,MOD(INT((COUNTIF($I$2:I72,I72)-1)/4),6)+1,CHOOSE(IF(AND(_xlpm.opcion=3,Q72="Sí"),1,_xlpm.opcion),"Falta de experiencia","Falta de formación","Dificultades con la hoja de vida","Horarios disponibles","Transporte","Internet")))</f>
        <v>Internet</v>
      </c>
      <c r="U72" s="9" t="str">
        <f>IF(I72="Tengo un emprendimiento o quiero iniciar uno","",IF(MOD(INT((COUNTIF($I$2:I72,I72)-1)/3),2)=0,"Sí","No"))</f>
        <v>No</v>
      </c>
      <c r="V72" s="9" t="str">
        <f>IF(I72="Tengo un emprendimiento o quiero iniciar uno",CHOOSE(MOD(COUNTIF($I$2:I72,I72)-1,3)+1,"Tengo un emprendimiento","Estoy iniciando un emprendimiento","Me interesa emprender"),"")</f>
        <v/>
      </c>
      <c r="W72" t="str">
        <f t="shared" si="23"/>
        <v/>
      </c>
      <c r="X72" s="9" t="str">
        <f>IF(I72="Tengo un emprendimiento o quiero iniciar uno",CHOOSE(MOD(COUNTIF($I$2:I72,I72)-1,5)+1,"Falta de financiación","Falta de conocimientos administrativos","Falta de conocimientos financieros","Falta de tiempo","Falta de herramientas"),"")</f>
        <v/>
      </c>
      <c r="Y72" s="9" t="str">
        <f t="shared" si="24"/>
        <v/>
      </c>
      <c r="Z72" t="str">
        <f>IF(I72="Tengo un emprendimiento o quiero iniciar uno",CHOOSE(INT(MOD((COUNTIF($I$2:I72,I72)-1)*7,39)/13)+1,"Sí","No","No conozco programas de ese tipo"),"")</f>
        <v/>
      </c>
      <c r="AA72" t="str">
        <f t="shared" si="25"/>
        <v>Puedo hacerlo sin ayuda</v>
      </c>
      <c r="AB72" t="str">
        <f t="shared" si="25"/>
        <v>Puedo hacerlo sin ayuda</v>
      </c>
      <c r="AC72" t="str">
        <f t="shared" si="26"/>
        <v>No puedo hacerlo</v>
      </c>
      <c r="AD72" s="9" t="str">
        <f t="shared" si="27"/>
        <v>Puedo hacerlo con ayuda</v>
      </c>
      <c r="AE72" t="str">
        <f t="shared" si="28"/>
        <v>No puedo hacerlo</v>
      </c>
      <c r="AF72" s="9" t="str">
        <f t="shared" si="29"/>
        <v>Liderazgo</v>
      </c>
      <c r="AG72" s="9" t="str">
        <f t="shared" si="30"/>
        <v>Falta de experiencia;Falta de información</v>
      </c>
      <c r="AH72" t="str">
        <f t="shared" si="31"/>
        <v>Oficina de orientación laboral</v>
      </c>
      <c r="AI72" s="9" t="str">
        <f t="shared" si="32"/>
        <v>Presencial y virtual</v>
      </c>
      <c r="AJ72" s="9" t="str">
        <f t="shared" si="33"/>
        <v>Diurno</v>
      </c>
      <c r="AK72" s="9" t="str">
        <f t="shared" si="34"/>
        <v>Redes sociales</v>
      </c>
    </row>
    <row r="73" spans="1:37">
      <c r="A73" t="str">
        <f t="shared" si="35"/>
        <v>SG072</v>
      </c>
      <c r="B73" t="s">
        <v>418</v>
      </c>
      <c r="C73" s="9" t="s">
        <v>427</v>
      </c>
      <c r="D73" t="str">
        <f t="shared" si="18"/>
        <v>Masculino</v>
      </c>
      <c r="E73" t="str">
        <f t="shared" si="19"/>
        <v>De 20 a 22 años</v>
      </c>
      <c r="F73">
        <f t="shared" si="20"/>
        <v>20</v>
      </c>
      <c r="G73" s="9" t="s">
        <v>428</v>
      </c>
      <c r="H73" s="9" t="str">
        <f t="shared" si="21"/>
        <v>Técnico</v>
      </c>
      <c r="I73" s="9" t="str">
        <f t="shared" si="22"/>
        <v>Actualmente no trabajo y estoy buscando empleo</v>
      </c>
      <c r="J73" s="13" t="str">
        <f>IF(I73="Trabajo actualmente como empleado",IF(MOD((COUNTIF($I$2:I73,"Trabajo actualmente como empleado")-1)*37,150)&lt;100,"Empleado con contrato","Empleado sin contrato formal"),IF(I73="Trabajo de manera independiente","Trabajo independiente",""))</f>
        <v/>
      </c>
      <c r="K73" s="9" t="str">
        <f>IF(OR(I73="Trabajo actualmente como empleado",I73="Trabajo de manera independiente"),CHOOSE(MOD(COUNTIF($I$2:I73,I73)-1,4)+1,"Menos de 3 meses","De 3 a 6 meses","De 7 a 12 meses","Más de un año"),"")</f>
        <v/>
      </c>
      <c r="L73" t="str">
        <f>IF(OR(I73="Trabajo actualmente como empleado",I73="Trabajo de manera independiente"),CHOOSE(MOD(COUNTIF($I$2:I73,I73)-1,3)+1,"Sí, completamente","Parcialmente","No"),"")</f>
        <v/>
      </c>
      <c r="M73" t="str">
        <f>IF(OR(I73="Trabajo actualmente como empleado",I73="Trabajo de manera independiente"),CHOOSE(MOD(INT((COUNTIF($I$2:I73,I73)-1)/3),4)+1,"1- Muy satisfecho/a","2- Satisfecho/a","3- Insatisfecho/a","4- Muy insatisfecho/a"),"")</f>
        <v/>
      </c>
      <c r="N73" t="str">
        <f>IF(OR(I73="Trabajo actualmente como empleado",I73="Trabajo de manera independiente"),_xlfn.LET(_xlpm.opcion,MOD(INT((COUNTIF($I$2:I73,I73)-1)/5),6)+1,CHOOSE(IF(AND(_xlpm.opcion=6,L73="Sí, completamente"),5,_xlpm.opcion),"Salario","Estabilidad laboral","Horario","Acceso a prestaciones","Oportunidades de crecimiento","Trabajar en un área relacionada con mi formación")),"")</f>
        <v/>
      </c>
      <c r="O73" s="9" t="str">
        <f>IF(OR(I73="Trabajo actualmente como empleado",I73="Trabajo de manera independiente"),_xlfn.LET(_xlpm.turno,MOD(COUNTIF($I$2:I73,I73)-1,5),_xlpm.nivel,VALUE(LEFT(M73,1)),IF(_xlpm.turno=4,"No estoy seguro/a",IF(_xlpm.turno&lt;IF(_xlpm.nivel&lt;=2,1,3),"Sí","No"))),"")</f>
        <v/>
      </c>
      <c r="P73" s="9" t="str">
        <f>_xlfn.LET(_xlpm.perfil,I73,_xlpm.turno,COUNTIF($I$2:I73,_xlpm.perfil)-1,_xlpm.busca,OR(_xlpm.perfil="Actualmente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trabajar"),IF(AND(_xlpm.trabaja,O73="No"),"Todavía no he iniciado una búsqueda activa",CHOOSE(MOD(_xlpm.turno*3,5)+1,"Menos de 1 mes","Entre 1 y 3 meses","Entre 4 y 6 meses","Más de 6 meses","Todavía no he iniciado una búsqueda activa")),"")))</f>
        <v>Entre 1 y 3 meses</v>
      </c>
      <c r="Q73" t="str">
        <f>IF(I73="Tengo un emprendimiento o quiero iniciar uno","",CHOOSE(MOD(INT((COUNTIF($I$2:I73,I73)-1)/7),3)+1,"Sí","No","Tengo una pero necesito actualizarla"))</f>
        <v>No</v>
      </c>
      <c r="R73" s="9" t="str">
        <f>IF(I73="Tengo un emprendimiento o quiero iniciar uno","",IF(I73="Busco mi primer empleo","No",IF(MOD(COUNTIF($I$2:I73,I73)-1,2)=0,"Sí","No")))</f>
        <v>No</v>
      </c>
      <c r="S73" t="str">
        <f>IF(I73="Tengo un emprendimiento o quiero iniciar uno","",CHOOSE(MOD(INT((COUNTIF($I$2:I73,I73)-1)/3),10)+1,"Portales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73" t="str">
        <f>IF(I73="Tengo un emprendimiento o quiero iniciar uno","",_xlfn.LET(_xlpm.opcion,MOD(INT((COUNTIF($I$2:I73,I73)-1)/4),6)+1,CHOOSE(IF(AND(_xlpm.opcion=3,Q73="Sí"),1,_xlpm.opcion),"Falta de experiencia","Falta de formación","Dificultades con la hoja de vida","Horarios disponibles","Transporte","Internet")))</f>
        <v>Dificultades con la hoja de vida</v>
      </c>
      <c r="U73" s="9" t="str">
        <f>IF(I73="Tengo un emprendimiento o quiero iniciar uno","",IF(MOD(INT((COUNTIF($I$2:I73,I73)-1)/3),2)=0,"Sí","No"))</f>
        <v>No</v>
      </c>
      <c r="V73" s="9" t="str">
        <f>IF(I73="Tengo un emprendimiento o quiero iniciar uno",CHOOSE(MOD(COUNTIF($I$2:I73,I73)-1,3)+1,"Tengo un emprendimiento","Estoy iniciando un emprendimiento","Me interesa emprender"),"")</f>
        <v/>
      </c>
      <c r="W73" t="str">
        <f t="shared" si="23"/>
        <v/>
      </c>
      <c r="X73" s="9" t="str">
        <f>IF(I73="Tengo un emprendimiento o quiero iniciar uno",CHOOSE(MOD(COUNTIF($I$2:I73,I73)-1,5)+1,"Falta de financiación","Falta de conocimientos administrativos","Falta de conocimientos financieros","Falta de tiempo","Falta de herramientas"),"")</f>
        <v/>
      </c>
      <c r="Y73" s="9" t="str">
        <f t="shared" si="24"/>
        <v/>
      </c>
      <c r="Z73" t="str">
        <f>IF(I73="Tengo un emprendimiento o quiero iniciar uno",CHOOSE(INT(MOD((COUNTIF($I$2:I73,I73)-1)*7,39)/13)+1,"Sí","No","No conozco programas de ese tipo"),"")</f>
        <v/>
      </c>
      <c r="AA73" t="str">
        <f t="shared" si="25"/>
        <v>Puedo hacerlo con ayuda</v>
      </c>
      <c r="AB73" t="str">
        <f t="shared" si="25"/>
        <v>Puedo hacerlo con ayuda</v>
      </c>
      <c r="AC73" t="str">
        <f t="shared" si="26"/>
        <v>Puedo hacerlo con ayuda</v>
      </c>
      <c r="AD73" s="9" t="str">
        <f t="shared" si="27"/>
        <v>Puedo hacerlo con ayuda</v>
      </c>
      <c r="AE73" t="str">
        <f t="shared" si="28"/>
        <v>No puedo hacerlo</v>
      </c>
      <c r="AF73" s="9" t="str">
        <f t="shared" si="29"/>
        <v>Emprendimiento</v>
      </c>
      <c r="AG73" s="9" t="str">
        <f t="shared" si="30"/>
        <v>Falta de experiencia;Falta de información</v>
      </c>
      <c r="AH73" t="str">
        <f t="shared" si="31"/>
        <v>Programas de emprendimiento</v>
      </c>
      <c r="AI73" s="9" t="str">
        <f t="shared" si="32"/>
        <v>Me es indiferente</v>
      </c>
      <c r="AJ73" s="9" t="str">
        <f t="shared" si="33"/>
        <v>Nocturno</v>
      </c>
      <c r="AK73" s="9" t="str">
        <f t="shared" si="34"/>
        <v>WhatsApp</v>
      </c>
    </row>
    <row r="74" spans="1:37">
      <c r="A74" t="str">
        <f t="shared" si="35"/>
        <v>SG073</v>
      </c>
      <c r="B74" t="s">
        <v>418</v>
      </c>
      <c r="C74" s="9" t="s">
        <v>427</v>
      </c>
      <c r="D74" t="str">
        <f t="shared" si="18"/>
        <v>Femenino</v>
      </c>
      <c r="E74" t="str">
        <f t="shared" si="19"/>
        <v>De 22 a 24 años</v>
      </c>
      <c r="F74">
        <f t="shared" si="20"/>
        <v>22</v>
      </c>
      <c r="G74" s="9" t="s">
        <v>428</v>
      </c>
      <c r="H74" s="9" t="str">
        <f t="shared" si="21"/>
        <v>Técnico</v>
      </c>
      <c r="I74" s="9" t="str">
        <f t="shared" si="22"/>
        <v>Trabajo actualmente como empleado</v>
      </c>
      <c r="J74" s="13" t="str">
        <f>IF(I74="Trabajo actualmente como empleado",IF(MOD((COUNTIF($I$2:I74,"Trabajo actualmente como empleado")-1)*37,150)&lt;100,"Empleado con contrato","Empleado sin contrato formal"),IF(I74="Trabajo de manera independiente","Trabajo independiente",""))</f>
        <v>Empleado sin contrato formal</v>
      </c>
      <c r="K74" s="9" t="str">
        <f>IF(OR(I74="Trabajo actualmente como empleado",I74="Trabajo de manera independiente"),CHOOSE(MOD(COUNTIF($I$2:I74,I74)-1,4)+1,"Menos de 3 meses","De 3 a 6 meses","De 7 a 12 meses","Más de un año"),"")</f>
        <v>Menos de 3 meses</v>
      </c>
      <c r="L74" t="str">
        <f>IF(OR(I74="Trabajo actualmente como empleado",I74="Trabajo de manera independiente"),CHOOSE(MOD(COUNTIF($I$2:I74,I74)-1,3)+1,"Sí, completamente","Parcialmente","No"),"")</f>
        <v>Sí, completamente</v>
      </c>
      <c r="M74" t="str">
        <f>IF(OR(I74="Trabajo actualmente como empleado",I74="Trabajo de manera independiente"),CHOOSE(MOD(INT((COUNTIF($I$2:I74,I74)-1)/3),4)+1,"1- Muy satisfecho/a","2- Satisfecho/a","3- Insatisfecho/a","4- Muy insatisfecho/a"),"")</f>
        <v>1- Muy satisfecho/a</v>
      </c>
      <c r="N74" t="str">
        <f>IF(OR(I74="Trabajo actualmente como empleado",I74="Trabajo de manera independiente"),_xlfn.LET(_xlpm.opcion,MOD(INT((COUNTIF($I$2:I74,I74)-1)/5),6)+1,CHOOSE(IF(AND(_xlpm.opcion=6,L74="Sí, completamente"),5,_xlpm.opcion),"Salario","Estabilidad laboral","Horario","Acceso a prestaciones","Oportunidades de crecimiento","Trabajar en un área relacionada con mi formación")),"")</f>
        <v>Oportunidades de crecimiento</v>
      </c>
      <c r="O74" s="9" t="str">
        <f>IF(OR(I74="Trabajo actualmente como empleado",I74="Trabajo de manera independiente"),_xlfn.LET(_xlpm.turno,MOD(COUNTIF($I$2:I74,I74)-1,5),_xlpm.nivel,VALUE(LEFT(M74,1)),IF(_xlpm.turno=4,"No estoy seguro/a",IF(_xlpm.turno&lt;IF(_xlpm.nivel&lt;=2,1,3),"Sí","No"))),"")</f>
        <v>No estoy seguro/a</v>
      </c>
      <c r="P74" s="9" t="str">
        <f>_xlfn.LET(_xlpm.perfil,I74,_xlpm.turno,COUNTIF($I$2:I74,_xlpm.perfil)-1,_xlpm.busca,OR(_xlpm.perfil="Actualmente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trabajar"),IF(AND(_xlpm.trabaja,O74="No"),"Todavía no he iniciado una búsqueda activa",CHOOSE(MOD(_xlpm.turno*3,5)+1,"Menos de 1 mes","Entre 1 y 3 meses","Entre 4 y 6 meses","Más de 6 meses","Todavía no he iniciado una búsqueda activa")),"")))</f>
        <v>Entre 4 y 6 meses</v>
      </c>
      <c r="Q74" t="str">
        <f>IF(I74="Tengo un emprendimiento o quiero iniciar uno","",CHOOSE(MOD(INT((COUNTIF($I$2:I74,I74)-1)/7),3)+1,"Sí","No","Tengo una pero necesito actualizarla"))</f>
        <v>Sí</v>
      </c>
      <c r="R74" s="9" t="str">
        <f>IF(I74="Tengo un emprendimiento o quiero iniciar uno","",IF(I74="Busco mi primer empleo","No",IF(MOD(COUNTIF($I$2:I74,I74)-1,2)=0,"Sí","No")))</f>
        <v>Sí</v>
      </c>
      <c r="S74" t="str">
        <f>IF(I74="Tengo un emprendimiento o quiero iniciar uno","",CHOOSE(MOD(INT((COUNTIF($I$2:I74,I74)-1)/3),10)+1,"Portales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74" t="str">
        <f>IF(I74="Tengo un emprendimiento o quiero iniciar uno","",_xlfn.LET(_xlpm.opcion,MOD(INT((COUNTIF($I$2:I74,I74)-1)/4),6)+1,CHOOSE(IF(AND(_xlpm.opcion=3,Q74="Sí"),1,_xlpm.opcion),"Falta de experiencia","Falta de formación","Dificultades con la hoja de vida","Horarios disponibles","Transporte","Internet")))</f>
        <v>Falta de experiencia</v>
      </c>
      <c r="U74" s="9" t="str">
        <f>IF(I74="Tengo un emprendimiento o quiero iniciar uno","",IF(MOD(INT((COUNTIF($I$2:I74,I74)-1)/3),2)=0,"Sí","No"))</f>
        <v>Sí</v>
      </c>
      <c r="V74" s="9" t="str">
        <f>IF(I74="Tengo un emprendimiento o quiero iniciar uno",CHOOSE(MOD(COUNTIF($I$2:I74,I74)-1,3)+1,"Tengo un emprendimiento","Estoy iniciando un emprendimiento","Me interesa emprender"),"")</f>
        <v/>
      </c>
      <c r="W74" t="str">
        <f t="shared" si="23"/>
        <v/>
      </c>
      <c r="X74" s="9" t="str">
        <f>IF(I74="Tengo un emprendimiento o quiero iniciar uno",CHOOSE(MOD(COUNTIF($I$2:I74,I74)-1,5)+1,"Falta de financiación","Falta de conocimientos administrativos","Falta de conocimientos financieros","Falta de tiempo","Falta de herramientas"),"")</f>
        <v/>
      </c>
      <c r="Y74" s="9" t="str">
        <f t="shared" si="24"/>
        <v/>
      </c>
      <c r="Z74" t="str">
        <f>IF(I74="Tengo un emprendimiento o quiero iniciar uno",CHOOSE(INT(MOD((COUNTIF($I$2:I74,I74)-1)*7,39)/13)+1,"Sí","No","No conozco programas de ese tipo"),"")</f>
        <v/>
      </c>
      <c r="AA74" t="str">
        <f t="shared" si="25"/>
        <v>Puedo hacerlo con dificultad</v>
      </c>
      <c r="AB74" t="str">
        <f t="shared" si="25"/>
        <v>Puedo hacerlo con dificultad</v>
      </c>
      <c r="AC74" t="str">
        <f t="shared" si="26"/>
        <v>Puedo hacerlo sin ayuda</v>
      </c>
      <c r="AD74" s="9" t="str">
        <f t="shared" si="27"/>
        <v>Puedo hacerlo con dificultad</v>
      </c>
      <c r="AE74" t="str">
        <f t="shared" si="28"/>
        <v>Puedo hacerlo con ayuda</v>
      </c>
      <c r="AF74" s="9" t="str">
        <f t="shared" si="29"/>
        <v>Herramientas digitales</v>
      </c>
      <c r="AG74" s="9" t="str">
        <f t="shared" si="30"/>
        <v>Costos de transporte;Distancia</v>
      </c>
      <c r="AH74" t="str">
        <f t="shared" si="31"/>
        <v>Oficina de orientación laboral</v>
      </c>
      <c r="AI74" s="9" t="str">
        <f t="shared" si="32"/>
        <v>Presencial</v>
      </c>
      <c r="AJ74" s="9" t="str">
        <f t="shared" si="33"/>
        <v>Mañana entre semana</v>
      </c>
      <c r="AK74" s="9" t="str">
        <f t="shared" si="34"/>
        <v>Correo electrónico</v>
      </c>
    </row>
    <row r="75" spans="1:37">
      <c r="A75" t="str">
        <f t="shared" si="35"/>
        <v>SG074</v>
      </c>
      <c r="B75" t="s">
        <v>418</v>
      </c>
      <c r="C75" s="9" t="s">
        <v>427</v>
      </c>
      <c r="D75" t="str">
        <f t="shared" si="18"/>
        <v>Femenino</v>
      </c>
      <c r="E75" t="str">
        <f t="shared" si="19"/>
        <v>De 24 a 26 años</v>
      </c>
      <c r="F75">
        <f t="shared" si="20"/>
        <v>24</v>
      </c>
      <c r="G75" s="9" t="s">
        <v>428</v>
      </c>
      <c r="H75" s="9" t="str">
        <f t="shared" si="21"/>
        <v>Tecnólogo</v>
      </c>
      <c r="I75" s="9" t="str">
        <f t="shared" si="22"/>
        <v>Trabajo de manera independiente</v>
      </c>
      <c r="J75" s="13" t="str">
        <f>IF(I75="Trabajo actualmente como empleado",IF(MOD((COUNTIF($I$2:I75,"Trabajo actualmente como empleado")-1)*37,150)&lt;100,"Empleado con contrato","Empleado sin contrato formal"),IF(I75="Trabajo de manera independiente","Trabajo independiente",""))</f>
        <v>Trabajo independiente</v>
      </c>
      <c r="K75" s="9" t="str">
        <f>IF(OR(I75="Trabajo actualmente como empleado",I75="Trabajo de manera independiente"),CHOOSE(MOD(COUNTIF($I$2:I75,I75)-1,4)+1,"Menos de 3 meses","De 3 a 6 meses","De 7 a 12 meses","Más de un año"),"")</f>
        <v>Menos de 3 meses</v>
      </c>
      <c r="L75" t="str">
        <f>IF(OR(I75="Trabajo actualmente como empleado",I75="Trabajo de manera independiente"),CHOOSE(MOD(COUNTIF($I$2:I75,I75)-1,3)+1,"Sí, completamente","Parcialmente","No"),"")</f>
        <v>Sí, completamente</v>
      </c>
      <c r="M75" t="str">
        <f>IF(OR(I75="Trabajo actualmente como empleado",I75="Trabajo de manera independiente"),CHOOSE(MOD(INT((COUNTIF($I$2:I75,I75)-1)/3),4)+1,"1- Muy satisfecho/a","2- Satisfecho/a","3- Insatisfecho/a","4- Muy insatisfecho/a"),"")</f>
        <v>1- Muy satisfecho/a</v>
      </c>
      <c r="N75" t="str">
        <f>IF(OR(I75="Trabajo actualmente como empleado",I75="Trabajo de manera independiente"),_xlfn.LET(_xlpm.opcion,MOD(INT((COUNTIF($I$2:I75,I75)-1)/5),6)+1,CHOOSE(IF(AND(_xlpm.opcion=6,L75="Sí, completamente"),5,_xlpm.opcion),"Salario","Estabilidad laboral","Horario","Acceso a prestaciones","Oportunidades de crecimiento","Trabajar en un área relacionada con mi formación")),"")</f>
        <v>Horario</v>
      </c>
      <c r="O75" s="9" t="str">
        <f>IF(OR(I75="Trabajo actualmente como empleado",I75="Trabajo de manera independiente"),_xlfn.LET(_xlpm.turno,MOD(COUNTIF($I$2:I75,I75)-1,5),_xlpm.nivel,VALUE(LEFT(M75,1)),IF(_xlpm.turno=4,"No estoy seguro/a",IF(_xlpm.turno&lt;IF(_xlpm.nivel&lt;=2,1,3),"Sí","No"))),"")</f>
        <v>No</v>
      </c>
      <c r="P75" s="9" t="str">
        <f>_xlfn.LET(_xlpm.perfil,I75,_xlpm.turno,COUNTIF($I$2:I75,_xlpm.perfil)-1,_xlpm.busca,OR(_xlpm.perfil="Actualmente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75" t="str">
        <f>IF(I75="Tengo un emprendimiento o quiero iniciar uno","",CHOOSE(MOD(INT((COUNTIF($I$2:I75,I75)-1)/7),3)+1,"Sí","No","Tengo una pero necesito actualizarla"))</f>
        <v>No</v>
      </c>
      <c r="R75" s="9" t="str">
        <f>IF(I75="Tengo un emprendimiento o quiero iniciar uno","",IF(I75="Busco mi primer empleo","No",IF(MOD(COUNTIF($I$2:I75,I75)-1,2)=0,"Sí","No")))</f>
        <v>Sí</v>
      </c>
      <c r="S75" t="str">
        <f>IF(I75="Tengo un emprendimiento o quiero iniciar uno","",CHOOSE(MOD(INT((COUNTIF($I$2:I75,I75)-1)/3),10)+1,"Portales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75" t="str">
        <f>IF(I75="Tengo un emprendimiento o quiero iniciar uno","",_xlfn.LET(_xlpm.opcion,MOD(INT((COUNTIF($I$2:I75,I75)-1)/4),6)+1,CHOOSE(IF(AND(_xlpm.opcion=3,Q75="Sí"),1,_xlpm.opcion),"Falta de experiencia","Falta de formación","Dificultades con la hoja de vida","Horarios disponibles","Transporte","Internet")))</f>
        <v>Horarios disponibles</v>
      </c>
      <c r="U75" s="9" t="str">
        <f>IF(I75="Tengo un emprendimiento o quiero iniciar uno","",IF(MOD(INT((COUNTIF($I$2:I75,I75)-1)/3),2)=0,"Sí","No"))</f>
        <v>Sí</v>
      </c>
      <c r="V75" s="9" t="str">
        <f>IF(I75="Tengo un emprendimiento o quiero iniciar uno",CHOOSE(MOD(COUNTIF($I$2:I75,I75)-1,3)+1,"Tengo un emprendimiento","Estoy iniciando un emprendimiento","Me interesa emprender"),"")</f>
        <v/>
      </c>
      <c r="W75" t="str">
        <f t="shared" si="23"/>
        <v/>
      </c>
      <c r="X75" s="9" t="str">
        <f>IF(I75="Tengo un emprendimiento o quiero iniciar uno",CHOOSE(MOD(COUNTIF($I$2:I75,I75)-1,5)+1,"Falta de financiación","Falta de conocimientos administrativos","Falta de conocimientos financieros","Falta de tiempo","Falta de herramientas"),"")</f>
        <v/>
      </c>
      <c r="Y75" s="9" t="str">
        <f t="shared" si="24"/>
        <v/>
      </c>
      <c r="Z75" t="str">
        <f>IF(I75="Tengo un emprendimiento o quiero iniciar uno",CHOOSE(INT(MOD((COUNTIF($I$2:I75,I75)-1)*7,39)/13)+1,"Sí","No","No conozco programas de ese tipo"),"")</f>
        <v/>
      </c>
      <c r="AA75" t="str">
        <f t="shared" si="25"/>
        <v>No puedo hacerlo</v>
      </c>
      <c r="AB75" t="str">
        <f t="shared" si="25"/>
        <v>No puedo hacerlo</v>
      </c>
      <c r="AC75" t="str">
        <f t="shared" si="26"/>
        <v>No puedo hacerlo</v>
      </c>
      <c r="AD75" s="9" t="str">
        <f t="shared" si="27"/>
        <v>Puedo hacerlo sin ayuda</v>
      </c>
      <c r="AE75" t="str">
        <f t="shared" si="28"/>
        <v>Puedo hacerlo con ayuda</v>
      </c>
      <c r="AF75" s="9" t="str">
        <f t="shared" si="29"/>
        <v>Educación financiera</v>
      </c>
      <c r="AG75" s="9" t="str">
        <f t="shared" si="30"/>
        <v>Costos de transporte;Distancia</v>
      </c>
      <c r="AH75" t="str">
        <f t="shared" si="31"/>
        <v>Ferias de empleo</v>
      </c>
      <c r="AI75" s="9" t="str">
        <f t="shared" si="32"/>
        <v>Presencial y virtual</v>
      </c>
      <c r="AJ75" s="9" t="str">
        <f t="shared" si="33"/>
        <v>Diurno</v>
      </c>
      <c r="AK75" s="9" t="str">
        <f t="shared" si="34"/>
        <v>Celular</v>
      </c>
    </row>
    <row r="76" spans="1:37">
      <c r="A76" t="str">
        <f t="shared" si="35"/>
        <v>SG075</v>
      </c>
      <c r="B76" t="s">
        <v>418</v>
      </c>
      <c r="C76" s="9" t="s">
        <v>427</v>
      </c>
      <c r="D76" t="str">
        <f t="shared" si="18"/>
        <v>Masculino</v>
      </c>
      <c r="E76" t="str">
        <f t="shared" si="19"/>
        <v>De 26 a 28 años</v>
      </c>
      <c r="F76">
        <f t="shared" si="20"/>
        <v>28</v>
      </c>
      <c r="G76" s="9" t="s">
        <v>428</v>
      </c>
      <c r="H76" s="9" t="str">
        <f t="shared" si="21"/>
        <v>Tecnólogo</v>
      </c>
      <c r="I76" s="9" t="str">
        <f t="shared" si="22"/>
        <v>Busco mi primer empleo</v>
      </c>
      <c r="J76" s="13" t="str">
        <f>IF(I76="Trabajo actualmente como empleado",IF(MOD((COUNTIF($I$2:I76,"Trabajo actualmente como empleado")-1)*37,150)&lt;100,"Empleado con contrato","Empleado sin contrato formal"),IF(I76="Trabajo de manera independiente","Trabajo independiente",""))</f>
        <v/>
      </c>
      <c r="K76" s="9" t="str">
        <f>IF(OR(I76="Trabajo actualmente como empleado",I76="Trabajo de manera independiente"),CHOOSE(MOD(COUNTIF($I$2:I76,I76)-1,4)+1,"Menos de 3 meses","De 3 a 6 meses","De 7 a 12 meses","Más de un año"),"")</f>
        <v/>
      </c>
      <c r="L76" t="str">
        <f>IF(OR(I76="Trabajo actualmente como empleado",I76="Trabajo de manera independiente"),CHOOSE(MOD(COUNTIF($I$2:I76,I76)-1,3)+1,"Sí, completamente","Parcialmente","No"),"")</f>
        <v/>
      </c>
      <c r="M76" t="str">
        <f>IF(OR(I76="Trabajo actualmente como empleado",I76="Trabajo de manera independiente"),CHOOSE(MOD(INT((COUNTIF($I$2:I76,I76)-1)/3),4)+1,"1- Muy satisfecho/a","2- Satisfecho/a","3- Insatisfecho/a","4- Muy insatisfecho/a"),"")</f>
        <v/>
      </c>
      <c r="N76" t="str">
        <f>IF(OR(I76="Trabajo actualmente como empleado",I76="Trabajo de manera independiente"),_xlfn.LET(_xlpm.opcion,MOD(INT((COUNTIF($I$2:I76,I76)-1)/5),6)+1,CHOOSE(IF(AND(_xlpm.opcion=6,L76="Sí, completamente"),5,_xlpm.opcion),"Salario","Estabilidad laboral","Horario","Acceso a prestaciones","Oportunidades de crecimiento","Trabajar en un área relacionada con mi formación")),"")</f>
        <v/>
      </c>
      <c r="O76" s="9" t="str">
        <f>IF(OR(I76="Trabajo actualmente como empleado",I76="Trabajo de manera independiente"),_xlfn.LET(_xlpm.turno,MOD(COUNTIF($I$2:I76,I76)-1,5),_xlpm.nivel,VALUE(LEFT(M76,1)),IF(_xlpm.turno=4,"No estoy seguro/a",IF(_xlpm.turno&lt;IF(_xlpm.nivel&lt;=2,1,3),"Sí","No"))),"")</f>
        <v/>
      </c>
      <c r="P76" s="9" t="str">
        <f>_xlfn.LET(_xlpm.perfil,I76,_xlpm.turno,COUNTIF($I$2:I76,_xlpm.perfil)-1,_xlpm.busca,OR(_xlpm.perfil="Actualmente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trabajar"),IF(AND(_xlpm.trabaja,O76="No"),"Todavía no he iniciado una búsqueda activa",CHOOSE(MOD(_xlpm.turno*3,5)+1,"Menos de 1 mes","Entre 1 y 3 meses","Entre 4 y 6 meses","Más de 6 meses","Todavía no he iniciado una búsqueda activa")),"")))</f>
        <v>Entre 4 y 6 meses</v>
      </c>
      <c r="Q76" t="str">
        <f>IF(I76="Tengo un emprendimiento o quiero iniciar uno","",CHOOSE(MOD(INT((COUNTIF($I$2:I76,I76)-1)/7),3)+1,"Sí","No","Tengo una pero necesito actualizarla"))</f>
        <v>No</v>
      </c>
      <c r="R76" s="9" t="str">
        <f>IF(I76="Tengo un emprendimiento o quiero iniciar uno","",IF(I76="Busco mi primer empleo","No",IF(MOD(COUNTIF($I$2:I76,I76)-1,2)=0,"Sí","No")))</f>
        <v>No</v>
      </c>
      <c r="S76" t="str">
        <f>IF(I76="Tengo un emprendimiento o quiero iniciar uno","",CHOOSE(MOD(INT((COUNTIF($I$2:I76,I76)-1)/3),10)+1,"Portales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76" t="str">
        <f>IF(I76="Tengo un emprendimiento o quiero iniciar uno","",_xlfn.LET(_xlpm.opcion,MOD(INT((COUNTIF($I$2:I76,I76)-1)/4),6)+1,CHOOSE(IF(AND(_xlpm.opcion=3,Q76="Sí"),1,_xlpm.opcion),"Falta de experiencia","Falta de formación","Dificultades con la hoja de vida","Horarios disponibles","Transporte","Internet")))</f>
        <v>Dificultades con la hoja de vida</v>
      </c>
      <c r="U76" s="9" t="str">
        <f>IF(I76="Tengo un emprendimiento o quiero iniciar uno","",IF(MOD(INT((COUNTIF($I$2:I76,I76)-1)/3),2)=0,"Sí","No"))</f>
        <v>No</v>
      </c>
      <c r="V76" s="9" t="str">
        <f>IF(I76="Tengo un emprendimiento o quiero iniciar uno",CHOOSE(MOD(COUNTIF($I$2:I76,I76)-1,3)+1,"Tengo un emprendimiento","Estoy iniciando un emprendimiento","Me interesa emprender"),"")</f>
        <v/>
      </c>
      <c r="W76" t="str">
        <f t="shared" si="23"/>
        <v/>
      </c>
      <c r="X76" s="9" t="str">
        <f>IF(I76="Tengo un emprendimiento o quiero iniciar uno",CHOOSE(MOD(COUNTIF($I$2:I76,I76)-1,5)+1,"Falta de financiación","Falta de conocimientos administrativos","Falta de conocimientos financieros","Falta de tiempo","Falta de herramientas"),"")</f>
        <v/>
      </c>
      <c r="Y76" s="9" t="str">
        <f t="shared" si="24"/>
        <v/>
      </c>
      <c r="Z76" t="str">
        <f>IF(I76="Tengo un emprendimiento o quiero iniciar uno",CHOOSE(INT(MOD((COUNTIF($I$2:I76,I76)-1)*7,39)/13)+1,"Sí","No","No conozco programas de ese tipo"),"")</f>
        <v/>
      </c>
      <c r="AA76" t="str">
        <f t="shared" si="25"/>
        <v>Puedo hacerlo con dificultad</v>
      </c>
      <c r="AB76" t="str">
        <f t="shared" si="25"/>
        <v>Puedo hacerlo con dificultad</v>
      </c>
      <c r="AC76" t="str">
        <f t="shared" si="26"/>
        <v>Puedo hacerlo con ayuda</v>
      </c>
      <c r="AD76" s="9" t="str">
        <f t="shared" si="27"/>
        <v>No puedo hacerlo</v>
      </c>
      <c r="AE76" t="str">
        <f t="shared" si="28"/>
        <v>Puedo hacerlo con dificultad</v>
      </c>
      <c r="AF76" s="9" t="str">
        <f t="shared" si="29"/>
        <v>Crear una hoja de vida;Preparación para entrevista</v>
      </c>
      <c r="AG76" s="9" t="str">
        <f t="shared" si="30"/>
        <v>Costos de transporte;Distancia</v>
      </c>
      <c r="AH76" t="str">
        <f t="shared" si="31"/>
        <v>No conozco ninguno</v>
      </c>
      <c r="AI76" s="9" t="str">
        <f t="shared" si="32"/>
        <v>Me es indiferente</v>
      </c>
      <c r="AJ76" s="9" t="str">
        <f t="shared" si="33"/>
        <v>Nocturno</v>
      </c>
      <c r="AK76" s="9" t="str">
        <f t="shared" si="34"/>
        <v>WhatsApp</v>
      </c>
    </row>
    <row r="77" spans="1:37">
      <c r="A77" t="str">
        <f t="shared" si="35"/>
        <v>SG076</v>
      </c>
      <c r="B77" t="s">
        <v>418</v>
      </c>
      <c r="C77" s="9" t="s">
        <v>427</v>
      </c>
      <c r="D77" t="str">
        <f t="shared" si="18"/>
        <v>Masculino</v>
      </c>
      <c r="E77" t="str">
        <f t="shared" si="19"/>
        <v>De 18 a 20 años</v>
      </c>
      <c r="F77">
        <f t="shared" si="20"/>
        <v>19</v>
      </c>
      <c r="G77" s="9" t="s">
        <v>428</v>
      </c>
      <c r="H77" s="9" t="str">
        <f t="shared" si="21"/>
        <v>Técnico</v>
      </c>
      <c r="I77" s="9" t="str">
        <f t="shared" si="22"/>
        <v>Trabajo actualmente como empleado</v>
      </c>
      <c r="J77" s="13" t="str">
        <f>IF(I77="Trabajo actualmente como empleado",IF(MOD((COUNTIF($I$2:I77,"Trabajo actualmente como empleado")-1)*37,150)&lt;100,"Empleado con contrato","Empleado sin contrato formal"),IF(I77="Trabajo de manera independiente","Trabajo independiente",""))</f>
        <v>Empleado con contrato</v>
      </c>
      <c r="K77" s="9" t="str">
        <f>IF(OR(I77="Trabajo actualmente como empleado",I77="Trabajo de manera independiente"),CHOOSE(MOD(COUNTIF($I$2:I77,I77)-1,4)+1,"Menos de 3 meses","De 3 a 6 meses","De 7 a 12 meses","Más de un año"),"")</f>
        <v>De 3 a 6 meses</v>
      </c>
      <c r="L77" t="str">
        <f>IF(OR(I77="Trabajo actualmente como empleado",I77="Trabajo de manera independiente"),CHOOSE(MOD(COUNTIF($I$2:I77,I77)-1,3)+1,"Sí, completamente","Parcialmente","No"),"")</f>
        <v>Parcialmente</v>
      </c>
      <c r="M77" t="str">
        <f>IF(OR(I77="Trabajo actualmente como empleado",I77="Trabajo de manera independiente"),CHOOSE(MOD(INT((COUNTIF($I$2:I77,I77)-1)/3),4)+1,"1- Muy satisfecho/a","2- Satisfecho/a","3- Insatisfecho/a","4- Muy insatisfecho/a"),"")</f>
        <v>1- Muy satisfecho/a</v>
      </c>
      <c r="N77" t="str">
        <f>IF(OR(I77="Trabajo actualmente como empleado",I77="Trabajo de manera independiente"),_xlfn.LET(_xlpm.opcion,MOD(INT((COUNTIF($I$2:I77,I77)-1)/5),6)+1,CHOOSE(IF(AND(_xlpm.opcion=6,L77="Sí,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77" s="9" t="str">
        <f>IF(OR(I77="Trabajo actualmente como empleado",I77="Trabajo de manera independiente"),_xlfn.LET(_xlpm.turno,MOD(COUNTIF($I$2:I77,I77)-1,5),_xlpm.nivel,VALUE(LEFT(M77,1)),IF(_xlpm.turno=4,"No estoy seguro/a",IF(_xlpm.turno&lt;IF(_xlpm.nivel&lt;=2,1,3),"Sí","No"))),"")</f>
        <v>Sí</v>
      </c>
      <c r="P77" s="9" t="str">
        <f>_xlfn.LET(_xlpm.perfil,I77,_xlpm.turno,COUNTIF($I$2:I77,_xlpm.perfil)-1,_xlpm.busca,OR(_xlpm.perfil="Actualmente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trabajar"),IF(AND(_xlpm.trabaja,O77="No"),"Todavía no he iniciado una búsqueda activa",CHOOSE(MOD(_xlpm.turno*3,5)+1,"Menos de 1 mes","Entre 1 y 3 meses","Entre 4 y 6 meses","Más de 6 meses","Todavía no he iniciado una búsqueda activa")),"")))</f>
        <v>Menos de 1 mes</v>
      </c>
      <c r="Q77" t="str">
        <f>IF(I77="Tengo un emprendimiento o quiero iniciar uno","",CHOOSE(MOD(INT((COUNTIF($I$2:I77,I77)-1)/7),3)+1,"Sí","No","Tengo una pero necesito actualizarla"))</f>
        <v>Sí</v>
      </c>
      <c r="R77" s="9" t="str">
        <f>IF(I77="Tengo un emprendimiento o quiero iniciar uno","",IF(I77="Busco mi primer empleo","No",IF(MOD(COUNTIF($I$2:I77,I77)-1,2)=0,"Sí","No")))</f>
        <v>No</v>
      </c>
      <c r="S77" t="str">
        <f>IF(I77="Tengo un emprendimiento o quiero iniciar uno","",CHOOSE(MOD(INT((COUNTIF($I$2:I77,I77)-1)/3),10)+1,"Portales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77" t="str">
        <f>IF(I77="Tengo un emprendimiento o quiero iniciar uno","",_xlfn.LET(_xlpm.opcion,MOD(INT((COUNTIF($I$2:I77,I77)-1)/4),6)+1,CHOOSE(IF(AND(_xlpm.opcion=3,Q77="Sí"),1,_xlpm.opcion),"Falta de experiencia","Falta de formación","Dificultades con la hoja de vida","Horarios disponibles","Transporte","Internet")))</f>
        <v>Falta de experiencia</v>
      </c>
      <c r="U77" s="9" t="str">
        <f>IF(I77="Tengo un emprendimiento o quiero iniciar uno","",IF(MOD(INT((COUNTIF($I$2:I77,I77)-1)/3),2)=0,"Sí","No"))</f>
        <v>Sí</v>
      </c>
      <c r="V77" s="9" t="str">
        <f>IF(I77="Tengo un emprendimiento o quiero iniciar uno",CHOOSE(MOD(COUNTIF($I$2:I77,I77)-1,3)+1,"Tengo un emprendimiento","Estoy iniciando un emprendimiento","Me interesa emprender"),"")</f>
        <v/>
      </c>
      <c r="W77" t="str">
        <f t="shared" si="23"/>
        <v/>
      </c>
      <c r="X77" s="9" t="str">
        <f>IF(I77="Tengo un emprendimiento o quiero iniciar uno",CHOOSE(MOD(COUNTIF($I$2:I77,I77)-1,5)+1,"Falta de financiación","Falta de conocimientos administrativos","Falta de conocimientos financieros","Falta de tiempo","Falta de herramientas"),"")</f>
        <v/>
      </c>
      <c r="Y77" s="9" t="str">
        <f t="shared" si="24"/>
        <v/>
      </c>
      <c r="Z77" t="str">
        <f>IF(I77="Tengo un emprendimiento o quiero iniciar uno",CHOOSE(INT(MOD((COUNTIF($I$2:I77,I77)-1)*7,39)/13)+1,"Sí","No","No conozco programas de ese tipo"),"")</f>
        <v/>
      </c>
      <c r="AA77" t="str">
        <f t="shared" si="25"/>
        <v>Puedo hacerlo sin ayuda</v>
      </c>
      <c r="AB77" t="str">
        <f t="shared" si="25"/>
        <v>Puedo hacerlo sin ayuda</v>
      </c>
      <c r="AC77" t="str">
        <f t="shared" si="26"/>
        <v>Puedo hacerlo sin ayuda</v>
      </c>
      <c r="AD77" s="9" t="str">
        <f t="shared" si="27"/>
        <v>No puedo hacerlo</v>
      </c>
      <c r="AE77" t="str">
        <f t="shared" si="28"/>
        <v>Puedo hacerlo sin ayuda</v>
      </c>
      <c r="AF77" s="9" t="str">
        <f t="shared" si="29"/>
        <v>Comunicación;Liderazgo</v>
      </c>
      <c r="AG77" s="9" t="str">
        <f t="shared" si="30"/>
        <v>Falta de información</v>
      </c>
      <c r="AH77" t="str">
        <f t="shared" si="31"/>
        <v>Ferias de empleo</v>
      </c>
      <c r="AI77" s="9" t="str">
        <f t="shared" si="32"/>
        <v>Presencial</v>
      </c>
      <c r="AJ77" s="9" t="str">
        <f t="shared" si="33"/>
        <v>Mañana entre semana</v>
      </c>
      <c r="AK77" s="9" t="str">
        <f t="shared" si="34"/>
        <v>Redes sociales</v>
      </c>
    </row>
    <row r="78" spans="1:37">
      <c r="A78" t="str">
        <f t="shared" si="35"/>
        <v>SG077</v>
      </c>
      <c r="B78" t="s">
        <v>418</v>
      </c>
      <c r="C78" s="9" t="s">
        <v>427</v>
      </c>
      <c r="D78" t="str">
        <f t="shared" si="18"/>
        <v>Femenino</v>
      </c>
      <c r="E78" t="str">
        <f t="shared" si="19"/>
        <v>De 20 a 22 años</v>
      </c>
      <c r="F78">
        <f t="shared" si="20"/>
        <v>21</v>
      </c>
      <c r="G78" s="9" t="s">
        <v>428</v>
      </c>
      <c r="H78" s="9" t="str">
        <f t="shared" si="21"/>
        <v>Tecnólogo</v>
      </c>
      <c r="I78" s="9" t="str">
        <f t="shared" si="22"/>
        <v>Trabajo de manera independiente</v>
      </c>
      <c r="J78" s="13" t="str">
        <f>IF(I78="Trabajo actualmente como empleado",IF(MOD((COUNTIF($I$2:I78,"Trabajo actualmente como empleado")-1)*37,150)&lt;100,"Empleado con contrato","Empleado sin contrato formal"),IF(I78="Trabajo de manera independiente","Trabajo independiente",""))</f>
        <v>Trabajo independiente</v>
      </c>
      <c r="K78" s="9" t="str">
        <f>IF(OR(I78="Trabajo actualmente como empleado",I78="Trabajo de manera independiente"),CHOOSE(MOD(COUNTIF($I$2:I78,I78)-1,4)+1,"Menos de 3 meses","De 3 a 6 meses","De 7 a 12 meses","Más de un año"),"")</f>
        <v>De 3 a 6 meses</v>
      </c>
      <c r="L78" t="str">
        <f>IF(OR(I78="Trabajo actualmente como empleado",I78="Trabajo de manera independiente"),CHOOSE(MOD(COUNTIF($I$2:I78,I78)-1,3)+1,"Sí, completamente","Parcialmente","No"),"")</f>
        <v>Parcialmente</v>
      </c>
      <c r="M78" t="str">
        <f>IF(OR(I78="Trabajo actualmente como empleado",I78="Trabajo de manera independiente"),CHOOSE(MOD(INT((COUNTIF($I$2:I78,I78)-1)/3),4)+1,"1- Muy satisfecho/a","2- Satisfecho/a","3- Insatisfecho/a","4- Muy insatisfecho/a"),"")</f>
        <v>1- Muy satisfecho/a</v>
      </c>
      <c r="N78" t="str">
        <f>IF(OR(I78="Trabajo actualmente como empleado",I78="Trabajo de manera independiente"),_xlfn.LET(_xlpm.opcion,MOD(INT((COUNTIF($I$2:I78,I78)-1)/5),6)+1,CHOOSE(IF(AND(_xlpm.opcion=6,L78="Sí, completamente"),5,_xlpm.opcion),"Salario","Estabilidad laboral","Horario","Acceso a prestaciones","Oportunidades de crecimiento","Trabajar en un área relacionada con mi formación")),"")</f>
        <v>Horario</v>
      </c>
      <c r="O78" s="9" t="str">
        <f>IF(OR(I78="Trabajo actualmente como empleado",I78="Trabajo de manera independiente"),_xlfn.LET(_xlpm.turno,MOD(COUNTIF($I$2:I78,I78)-1,5),_xlpm.nivel,VALUE(LEFT(M78,1)),IF(_xlpm.turno=4,"No estoy seguro/a",IF(_xlpm.turno&lt;IF(_xlpm.nivel&lt;=2,1,3),"Sí","No"))),"")</f>
        <v>No</v>
      </c>
      <c r="P78" s="9" t="str">
        <f>_xlfn.LET(_xlpm.perfil,I78,_xlpm.turno,COUNTIF($I$2:I78,_xlpm.perfil)-1,_xlpm.busca,OR(_xlpm.perfil="Actualmente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78" t="str">
        <f>IF(I78="Tengo un emprendimiento o quiero iniciar uno","",CHOOSE(MOD(INT((COUNTIF($I$2:I78,I78)-1)/7),3)+1,"Sí","No","Tengo una pero necesito actualizarla"))</f>
        <v>No</v>
      </c>
      <c r="R78" s="9" t="str">
        <f>IF(I78="Tengo un emprendimiento o quiero iniciar uno","",IF(I78="Busco mi primer empleo","No",IF(MOD(COUNTIF($I$2:I78,I78)-1,2)=0,"Sí","No")))</f>
        <v>No</v>
      </c>
      <c r="S78" t="str">
        <f>IF(I78="Tengo un emprendimiento o quiero iniciar uno","",CHOOSE(MOD(INT((COUNTIF($I$2:I78,I78)-1)/3),10)+1,"Portales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78" t="str">
        <f>IF(I78="Tengo un emprendimiento o quiero iniciar uno","",_xlfn.LET(_xlpm.opcion,MOD(INT((COUNTIF($I$2:I78,I78)-1)/4),6)+1,CHOOSE(IF(AND(_xlpm.opcion=3,Q78="Sí"),1,_xlpm.opcion),"Falta de experiencia","Falta de formación","Dificultades con la hoja de vida","Horarios disponibles","Transporte","Internet")))</f>
        <v>Horarios disponibles</v>
      </c>
      <c r="U78" s="9" t="str">
        <f>IF(I78="Tengo un emprendimiento o quiero iniciar uno","",IF(MOD(INT((COUNTIF($I$2:I78,I78)-1)/3),2)=0,"Sí","No"))</f>
        <v>Sí</v>
      </c>
      <c r="V78" s="9" t="str">
        <f>IF(I78="Tengo un emprendimiento o quiero iniciar uno",CHOOSE(MOD(COUNTIF($I$2:I78,I78)-1,3)+1,"Tengo un emprendimiento","Estoy iniciando un emprendimiento","Me interesa emprender"),"")</f>
        <v/>
      </c>
      <c r="W78" t="str">
        <f t="shared" si="23"/>
        <v/>
      </c>
      <c r="X78" s="9" t="str">
        <f>IF(I78="Tengo un emprendimiento o quiero iniciar uno",CHOOSE(MOD(COUNTIF($I$2:I78,I78)-1,5)+1,"Falta de financiación","Falta de conocimientos administrativos","Falta de conocimientos financieros","Falta de tiempo","Falta de herramientas"),"")</f>
        <v/>
      </c>
      <c r="Y78" s="9" t="str">
        <f t="shared" si="24"/>
        <v/>
      </c>
      <c r="Z78" t="str">
        <f>IF(I78="Tengo un emprendimiento o quiero iniciar uno",CHOOSE(INT(MOD((COUNTIF($I$2:I78,I78)-1)*7,39)/13)+1,"Sí","No","No conozco programas de ese tipo"),"")</f>
        <v/>
      </c>
      <c r="AA78" t="str">
        <f t="shared" si="25"/>
        <v>Puedo hacerlo con ayuda</v>
      </c>
      <c r="AB78" t="str">
        <f t="shared" si="25"/>
        <v>Puedo hacerlo con ayuda</v>
      </c>
      <c r="AC78" t="str">
        <f t="shared" si="26"/>
        <v>No puedo hacerlo</v>
      </c>
      <c r="AD78" s="9" t="str">
        <f t="shared" si="27"/>
        <v>Puedo hacerlo con ayuda</v>
      </c>
      <c r="AE78" t="str">
        <f t="shared" si="28"/>
        <v>Puedo hacerlo sin ayuda</v>
      </c>
      <c r="AF78" s="9" t="str">
        <f t="shared" si="29"/>
        <v>Herramientas digitales;Educación financiera</v>
      </c>
      <c r="AG78" s="9" t="str">
        <f t="shared" si="30"/>
        <v>Falta de información</v>
      </c>
      <c r="AH78" t="str">
        <f t="shared" si="31"/>
        <v>Programas de emprendimiento</v>
      </c>
      <c r="AI78" s="9" t="str">
        <f t="shared" si="32"/>
        <v>Virtual</v>
      </c>
      <c r="AJ78" s="9" t="str">
        <f t="shared" si="33"/>
        <v>Diurno</v>
      </c>
      <c r="AK78" s="9" t="str">
        <f t="shared" si="34"/>
        <v>Celular</v>
      </c>
    </row>
    <row r="79" spans="1:37">
      <c r="A79" t="str">
        <f t="shared" si="35"/>
        <v>SG078</v>
      </c>
      <c r="B79" t="s">
        <v>418</v>
      </c>
      <c r="C79" s="9" t="s">
        <v>427</v>
      </c>
      <c r="D79" t="str">
        <f t="shared" si="18"/>
        <v>Masculino</v>
      </c>
      <c r="E79" t="str">
        <f t="shared" si="19"/>
        <v>De 22 a 24 años</v>
      </c>
      <c r="F79">
        <f t="shared" si="20"/>
        <v>23</v>
      </c>
      <c r="G79" s="9" t="s">
        <v>428</v>
      </c>
      <c r="H79" s="9" t="str">
        <f t="shared" si="21"/>
        <v>Profesional</v>
      </c>
      <c r="I79" s="9" t="str">
        <f t="shared" si="22"/>
        <v>Estudio y quiero comenzar a trabajar</v>
      </c>
      <c r="J79" s="13" t="str">
        <f>IF(I79="Trabajo actualmente como empleado",IF(MOD((COUNTIF($I$2:I79,"Trabajo actualmente como empleado")-1)*37,150)&lt;100,"Empleado con contrato","Empleado sin contrato formal"),IF(I79="Trabajo de manera independiente","Trabajo independiente",""))</f>
        <v/>
      </c>
      <c r="K79" s="9" t="str">
        <f>IF(OR(I79="Trabajo actualmente como empleado",I79="Trabajo de manera independiente"),CHOOSE(MOD(COUNTIF($I$2:I79,I79)-1,4)+1,"Menos de 3 meses","De 3 a 6 meses","De 7 a 12 meses","Más de un año"),"")</f>
        <v/>
      </c>
      <c r="L79" t="str">
        <f>IF(OR(I79="Trabajo actualmente como empleado",I79="Trabajo de manera independiente"),CHOOSE(MOD(COUNTIF($I$2:I79,I79)-1,3)+1,"Sí, completamente","Parcialmente","No"),"")</f>
        <v/>
      </c>
      <c r="M79" t="str">
        <f>IF(OR(I79="Trabajo actualmente como empleado",I79="Trabajo de manera independiente"),CHOOSE(MOD(INT((COUNTIF($I$2:I79,I79)-1)/3),4)+1,"1- Muy satisfecho/a","2- Satisfecho/a","3- Insatisfecho/a","4- Muy insatisfecho/a"),"")</f>
        <v/>
      </c>
      <c r="N79" t="str">
        <f>IF(OR(I79="Trabajo actualmente como empleado",I79="Trabajo de manera independiente"),_xlfn.LET(_xlpm.opcion,MOD(INT((COUNTIF($I$2:I79,I79)-1)/5),6)+1,CHOOSE(IF(AND(_xlpm.opcion=6,L79="Sí, completamente"),5,_xlpm.opcion),"Salario","Estabilidad laboral","Horario","Acceso a prestaciones","Oportunidades de crecimiento","Trabajar en un área relacionada con mi formación")),"")</f>
        <v/>
      </c>
      <c r="O79" s="9" t="str">
        <f>IF(OR(I79="Trabajo actualmente como empleado",I79="Trabajo de manera independiente"),_xlfn.LET(_xlpm.turno,MOD(COUNTIF($I$2:I79,I79)-1,5),_xlpm.nivel,VALUE(LEFT(M79,1)),IF(_xlpm.turno=4,"No estoy seguro/a",IF(_xlpm.turno&lt;IF(_xlpm.nivel&lt;=2,1,3),"Sí","No"))),"")</f>
        <v/>
      </c>
      <c r="P79" s="9" t="str">
        <f>_xlfn.LET(_xlpm.perfil,I79,_xlpm.turno,COUNTIF($I$2:I79,_xlpm.perfil)-1,_xlpm.busca,OR(_xlpm.perfil="Actualmente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trabajar"),IF(AND(_xlpm.trabaja,O79="No"),"Todavía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79" t="str">
        <f>IF(I79="Tengo un emprendimiento o quiero iniciar uno","",CHOOSE(MOD(INT((COUNTIF($I$2:I79,I79)-1)/7),3)+1,"Sí","No","Tengo una pero necesito actualizarla"))</f>
        <v>No</v>
      </c>
      <c r="R79" s="9" t="str">
        <f>IF(I79="Tengo un emprendimiento o quiero iniciar uno","",IF(I79="Busco mi primer empleo","No",IF(MOD(COUNTIF($I$2:I79,I79)-1,2)=0,"Sí","No")))</f>
        <v>Sí</v>
      </c>
      <c r="S79" t="str">
        <f>IF(I79="Tengo un emprendimiento o quiero iniciar uno","",CHOOSE(MOD(INT((COUNTIF($I$2:I79,I79)-1)/3),10)+1,"Portales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79" t="str">
        <f>IF(I79="Tengo un emprendimiento o quiero iniciar uno","",_xlfn.LET(_xlpm.opcion,MOD(INT((COUNTIF($I$2:I79,I79)-1)/4),6)+1,CHOOSE(IF(AND(_xlpm.opcion=3,Q79="Sí"),1,_xlpm.opcion),"Falta de experiencia","Falta de formación","Dificultades con la hoja de vida","Horarios disponibles","Transporte","Internet")))</f>
        <v>Dificultades con la hoja de vida</v>
      </c>
      <c r="U79" s="9" t="str">
        <f>IF(I79="Tengo un emprendimiento o quiero iniciar uno","",IF(MOD(INT((COUNTIF($I$2:I79,I79)-1)/3),2)=0,"Sí","No"))</f>
        <v>Sí</v>
      </c>
      <c r="V79" s="9" t="str">
        <f>IF(I79="Tengo un emprendimiento o quiero iniciar uno",CHOOSE(MOD(COUNTIF($I$2:I79,I79)-1,3)+1,"Tengo un emprendimiento","Estoy iniciando un emprendimiento","Me interesa emprender"),"")</f>
        <v/>
      </c>
      <c r="W79" t="str">
        <f t="shared" si="23"/>
        <v/>
      </c>
      <c r="X79" s="9" t="str">
        <f>IF(I79="Tengo un emprendimiento o quiero iniciar uno",CHOOSE(MOD(COUNTIF($I$2:I79,I79)-1,5)+1,"Falta de financiación","Falta de conocimientos administrativos","Falta de conocimientos financieros","Falta de tiempo","Falta de herramientas"),"")</f>
        <v/>
      </c>
      <c r="Y79" s="9" t="str">
        <f t="shared" si="24"/>
        <v/>
      </c>
      <c r="Z79" t="str">
        <f>IF(I79="Tengo un emprendimiento o quiero iniciar uno",CHOOSE(INT(MOD((COUNTIF($I$2:I79,I79)-1)*7,39)/13)+1,"Sí","No","No conozco programas de ese tipo"),"")</f>
        <v/>
      </c>
      <c r="AA79" t="str">
        <f t="shared" si="25"/>
        <v>Puedo hacerlo con dificultad</v>
      </c>
      <c r="AB79" t="str">
        <f t="shared" si="25"/>
        <v>Puedo hacerlo con dificultad</v>
      </c>
      <c r="AC79" t="str">
        <f t="shared" si="26"/>
        <v>Puedo hacerlo con ayuda</v>
      </c>
      <c r="AD79" s="9" t="str">
        <f t="shared" si="27"/>
        <v>Puedo hacerlo con dificultad</v>
      </c>
      <c r="AE79" t="str">
        <f t="shared" si="28"/>
        <v>No puedo hacerlo</v>
      </c>
      <c r="AF79" s="9" t="str">
        <f t="shared" si="29"/>
        <v>Crear una hoja de vida</v>
      </c>
      <c r="AG79" s="9" t="str">
        <f t="shared" si="30"/>
        <v>Falta de información</v>
      </c>
      <c r="AH79" t="str">
        <f t="shared" si="31"/>
        <v>Oficina de orientación laboral</v>
      </c>
      <c r="AI79" s="9" t="str">
        <f t="shared" si="32"/>
        <v>Presencial y virtual</v>
      </c>
      <c r="AJ79" s="9" t="str">
        <f t="shared" si="33"/>
        <v>Nocturno</v>
      </c>
      <c r="AK79" s="9" t="str">
        <f t="shared" si="34"/>
        <v>Correo electrónico</v>
      </c>
    </row>
    <row r="80" spans="1:37">
      <c r="A80" t="str">
        <f t="shared" si="35"/>
        <v>SG079</v>
      </c>
      <c r="B80" t="s">
        <v>418</v>
      </c>
      <c r="C80" s="9" t="s">
        <v>427</v>
      </c>
      <c r="D80" t="str">
        <f t="shared" si="18"/>
        <v>Masculino</v>
      </c>
      <c r="E80" t="str">
        <f t="shared" si="19"/>
        <v>De 24 a 26 años</v>
      </c>
      <c r="F80">
        <f t="shared" si="20"/>
        <v>25</v>
      </c>
      <c r="G80" s="9" t="s">
        <v>428</v>
      </c>
      <c r="H80" s="9" t="str">
        <f t="shared" si="21"/>
        <v>Profesional</v>
      </c>
      <c r="I80" s="9" t="str">
        <f t="shared" si="22"/>
        <v>Trabajo actualmente como empleado</v>
      </c>
      <c r="J80" s="13" t="str">
        <f>IF(I80="Trabajo actualmente como empleado",IF(MOD((COUNTIF($I$2:I80,"Trabajo actualmente como empleado")-1)*37,150)&lt;100,"Empleado con contrato","Empleado sin contrato formal"),IF(I80="Trabajo de manera independiente","Trabajo independiente",""))</f>
        <v>Empleado con contrato</v>
      </c>
      <c r="K80" s="9" t="str">
        <f>IF(OR(I80="Trabajo actualmente como empleado",I80="Trabajo de manera independiente"),CHOOSE(MOD(COUNTIF($I$2:I80,I80)-1,4)+1,"Menos de 3 meses","De 3 a 6 meses","De 7 a 12 meses","Más de un año"),"")</f>
        <v>De 7 a 12 meses</v>
      </c>
      <c r="L80" t="str">
        <f>IF(OR(I80="Trabajo actualmente como empleado",I80="Trabajo de manera independiente"),CHOOSE(MOD(COUNTIF($I$2:I80,I80)-1,3)+1,"Sí, completamente","Parcialmente","No"),"")</f>
        <v>No</v>
      </c>
      <c r="M80" t="str">
        <f>IF(OR(I80="Trabajo actualmente como empleado",I80="Trabajo de manera independiente"),CHOOSE(MOD(INT((COUNTIF($I$2:I80,I80)-1)/3),4)+1,"1- Muy satisfecho/a","2- Satisfecho/a","3- Insatisfecho/a","4- Muy insatisfecho/a"),"")</f>
        <v>1- Muy satisfecho/a</v>
      </c>
      <c r="N80" t="str">
        <f>IF(OR(I80="Trabajo actualmente como empleado",I80="Trabajo de manera independiente"),_xlfn.LET(_xlpm.opcion,MOD(INT((COUNTIF($I$2:I80,I80)-1)/5),6)+1,CHOOSE(IF(AND(_xlpm.opcion=6,L80="Sí,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80" s="9" t="str">
        <f>IF(OR(I80="Trabajo actualmente como empleado",I80="Trabajo de manera independiente"),_xlfn.LET(_xlpm.turno,MOD(COUNTIF($I$2:I80,I80)-1,5),_xlpm.nivel,VALUE(LEFT(M80,1)),IF(_xlpm.turno=4,"No estoy seguro/a",IF(_xlpm.turno&lt;IF(_xlpm.nivel&lt;=2,1,3),"Sí","No"))),"")</f>
        <v>No</v>
      </c>
      <c r="P80" s="9" t="str">
        <f>_xlfn.LET(_xlpm.perfil,I80,_xlpm.turno,COUNTIF($I$2:I80,_xlpm.perfil)-1,_xlpm.busca,OR(_xlpm.perfil="Actualmente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80" t="str">
        <f>IF(I80="Tengo un emprendimiento o quiero iniciar uno","",CHOOSE(MOD(INT((COUNTIF($I$2:I80,I80)-1)/7),3)+1,"Sí","No","Tengo una pero necesito actualizarla"))</f>
        <v>Sí</v>
      </c>
      <c r="R80" s="9" t="str">
        <f>IF(I80="Tengo un emprendimiento o quiero iniciar uno","",IF(I80="Busco mi primer empleo","No",IF(MOD(COUNTIF($I$2:I80,I80)-1,2)=0,"Sí","No")))</f>
        <v>Sí</v>
      </c>
      <c r="S80" t="str">
        <f>IF(I80="Tengo un emprendimiento o quiero iniciar uno","",CHOOSE(MOD(INT((COUNTIF($I$2:I80,I80)-1)/3),10)+1,"Portales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80" t="str">
        <f>IF(I80="Tengo un emprendimiento o quiero iniciar uno","",_xlfn.LET(_xlpm.opcion,MOD(INT((COUNTIF($I$2:I80,I80)-1)/4),6)+1,CHOOSE(IF(AND(_xlpm.opcion=3,Q80="Sí"),1,_xlpm.opcion),"Falta de experiencia","Falta de formación","Dificultades con la hoja de vida","Horarios disponibles","Transporte","Internet")))</f>
        <v>Falta de experiencia</v>
      </c>
      <c r="U80" s="9" t="str">
        <f>IF(I80="Tengo un emprendimiento o quiero iniciar uno","",IF(MOD(INT((COUNTIF($I$2:I80,I80)-1)/3),2)=0,"Sí","No"))</f>
        <v>Sí</v>
      </c>
      <c r="V80" s="9" t="str">
        <f>IF(I80="Tengo un emprendimiento o quiero iniciar uno",CHOOSE(MOD(COUNTIF($I$2:I80,I80)-1,3)+1,"Tengo un emprendimiento","Estoy iniciando un emprendimiento","Me interesa emprender"),"")</f>
        <v/>
      </c>
      <c r="W80" t="str">
        <f t="shared" si="23"/>
        <v/>
      </c>
      <c r="X80" s="9" t="str">
        <f>IF(I80="Tengo un emprendimiento o quiero iniciar uno",CHOOSE(MOD(COUNTIF($I$2:I80,I80)-1,5)+1,"Falta de financiación","Falta de conocimientos administrativos","Falta de conocimientos financieros","Falta de tiempo","Falta de herramientas"),"")</f>
        <v/>
      </c>
      <c r="Y80" s="9" t="str">
        <f t="shared" si="24"/>
        <v/>
      </c>
      <c r="Z80" t="str">
        <f>IF(I80="Tengo un emprendimiento o quiero iniciar uno",CHOOSE(INT(MOD((COUNTIF($I$2:I80,I80)-1)*7,39)/13)+1,"Sí","No","No conozco programas de ese tipo"),"")</f>
        <v/>
      </c>
      <c r="AA80" t="str">
        <f t="shared" si="25"/>
        <v>No puedo hacerlo</v>
      </c>
      <c r="AB80" t="str">
        <f t="shared" si="25"/>
        <v>No puedo hacerlo</v>
      </c>
      <c r="AC80" t="str">
        <f t="shared" si="26"/>
        <v>Puedo hacerlo con dificultad</v>
      </c>
      <c r="AD80" s="9" t="str">
        <f t="shared" si="27"/>
        <v>Puedo hacerlo sin ayuda</v>
      </c>
      <c r="AE80" t="str">
        <f t="shared" si="28"/>
        <v>Puedo hacerlo con ayuda</v>
      </c>
      <c r="AF80" s="9" t="str">
        <f t="shared" si="29"/>
        <v>Preparación para entrevista</v>
      </c>
      <c r="AG80" s="9" t="str">
        <f t="shared" si="30"/>
        <v>Horarios</v>
      </c>
      <c r="AH80" t="str">
        <f t="shared" si="31"/>
        <v>Programas de emprendimiento</v>
      </c>
      <c r="AI80" s="9" t="str">
        <f t="shared" si="32"/>
        <v>Me es indiferente</v>
      </c>
      <c r="AJ80" s="9" t="str">
        <f t="shared" si="33"/>
        <v>Mañana entre semana</v>
      </c>
      <c r="AK80" s="9" t="str">
        <f t="shared" si="34"/>
        <v>Redes sociales</v>
      </c>
    </row>
    <row r="81" spans="1:37">
      <c r="A81" t="str">
        <f t="shared" si="35"/>
        <v>SG080</v>
      </c>
      <c r="B81" t="s">
        <v>418</v>
      </c>
      <c r="C81" s="9" t="s">
        <v>427</v>
      </c>
      <c r="D81" t="str">
        <f t="shared" si="18"/>
        <v>Femenino</v>
      </c>
      <c r="E81" t="str">
        <f t="shared" si="19"/>
        <v>De 26 a 28 años</v>
      </c>
      <c r="F81">
        <f t="shared" si="20"/>
        <v>26</v>
      </c>
      <c r="G81" s="9" t="s">
        <v>428</v>
      </c>
      <c r="H81" s="9" t="str">
        <f t="shared" si="21"/>
        <v>Profesional</v>
      </c>
      <c r="I81" s="9" t="str">
        <f t="shared" si="22"/>
        <v>Actualmente no trabajo y estoy buscando empleo</v>
      </c>
      <c r="J81" s="13" t="str">
        <f>IF(I81="Trabajo actualmente como empleado",IF(MOD((COUNTIF($I$2:I81,"Trabajo actualmente como empleado")-1)*37,150)&lt;100,"Empleado con contrato","Empleado sin contrato formal"),IF(I81="Trabajo de manera independiente","Trabajo independiente",""))</f>
        <v/>
      </c>
      <c r="K81" s="9" t="str">
        <f>IF(OR(I81="Trabajo actualmente como empleado",I81="Trabajo de manera independiente"),CHOOSE(MOD(COUNTIF($I$2:I81,I81)-1,4)+1,"Menos de 3 meses","De 3 a 6 meses","De 7 a 12 meses","Más de un año"),"")</f>
        <v/>
      </c>
      <c r="L81" t="str">
        <f>IF(OR(I81="Trabajo actualmente como empleado",I81="Trabajo de manera independiente"),CHOOSE(MOD(COUNTIF($I$2:I81,I81)-1,3)+1,"Sí, completamente","Parcialmente","No"),"")</f>
        <v/>
      </c>
      <c r="M81" t="str">
        <f>IF(OR(I81="Trabajo actualmente como empleado",I81="Trabajo de manera independiente"),CHOOSE(MOD(INT((COUNTIF($I$2:I81,I81)-1)/3),4)+1,"1- Muy satisfecho/a","2- Satisfecho/a","3- Insatisfecho/a","4- Muy insatisfecho/a"),"")</f>
        <v/>
      </c>
      <c r="N81" t="str">
        <f>IF(OR(I81="Trabajo actualmente como empleado",I81="Trabajo de manera independiente"),_xlfn.LET(_xlpm.opcion,MOD(INT((COUNTIF($I$2:I81,I81)-1)/5),6)+1,CHOOSE(IF(AND(_xlpm.opcion=6,L81="Sí, completamente"),5,_xlpm.opcion),"Salario","Estabilidad laboral","Horario","Acceso a prestaciones","Oportunidades de crecimiento","Trabajar en un área relacionada con mi formación")),"")</f>
        <v/>
      </c>
      <c r="O81" s="9" t="str">
        <f>IF(OR(I81="Trabajo actualmente como empleado",I81="Trabajo de manera independiente"),_xlfn.LET(_xlpm.turno,MOD(COUNTIF($I$2:I81,I81)-1,5),_xlpm.nivel,VALUE(LEFT(M81,1)),IF(_xlpm.turno=4,"No estoy seguro/a",IF(_xlpm.turno&lt;IF(_xlpm.nivel&lt;=2,1,3),"Sí","No"))),"")</f>
        <v/>
      </c>
      <c r="P81" s="9" t="str">
        <f>_xlfn.LET(_xlpm.perfil,I81,_xlpm.turno,COUNTIF($I$2:I81,_xlpm.perfil)-1,_xlpm.busca,OR(_xlpm.perfil="Actualmente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trabajar"),IF(AND(_xlpm.trabaja,O81="No"),"Todavía no he iniciado una búsqueda activa",CHOOSE(MOD(_xlpm.turno*3,5)+1,"Menos de 1 mes","Entre 1 y 3 meses","Entre 4 y 6 meses","Más de 6 meses","Todavía no he iniciado una búsqueda activa")),"")))</f>
        <v>Menos de 1 mes</v>
      </c>
      <c r="Q81" t="str">
        <f>IF(I81="Tengo un emprendimiento o quiero iniciar uno","",CHOOSE(MOD(INT((COUNTIF($I$2:I81,I81)-1)/7),3)+1,"Sí","No","Tengo una pero necesito actualizarla"))</f>
        <v>No</v>
      </c>
      <c r="R81" s="9" t="str">
        <f>IF(I81="Tengo un emprendimiento o quiero iniciar uno","",IF(I81="Busco mi primer empleo","No",IF(MOD(COUNTIF($I$2:I81,I81)-1,2)=0,"Sí","No")))</f>
        <v>Sí</v>
      </c>
      <c r="S81" t="str">
        <f>IF(I81="Tengo un emprendimiento o quiero iniciar uno","",CHOOSE(MOD(INT((COUNTIF($I$2:I81,I81)-1)/3),10)+1,"Portales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81" t="str">
        <f>IF(I81="Tengo un emprendimiento o quiero iniciar uno","",_xlfn.LET(_xlpm.opcion,MOD(INT((COUNTIF($I$2:I81,I81)-1)/4),6)+1,CHOOSE(IF(AND(_xlpm.opcion=3,Q81="Sí"),1,_xlpm.opcion),"Falta de experiencia","Falta de formación","Dificultades con la hoja de vida","Horarios disponibles","Transporte","Internet")))</f>
        <v>Horarios disponibles</v>
      </c>
      <c r="U81" s="9" t="str">
        <f>IF(I81="Tengo un emprendimiento o quiero iniciar uno","",IF(MOD(INT((COUNTIF($I$2:I81,I81)-1)/3),2)=0,"Sí","No"))</f>
        <v>Sí</v>
      </c>
      <c r="V81" s="9" t="str">
        <f>IF(I81="Tengo un emprendimiento o quiero iniciar uno",CHOOSE(MOD(COUNTIF($I$2:I81,I81)-1,3)+1,"Tengo un emprendimiento","Estoy iniciando un emprendimiento","Me interesa emprender"),"")</f>
        <v/>
      </c>
      <c r="W81" t="str">
        <f t="shared" si="23"/>
        <v/>
      </c>
      <c r="X81" s="9" t="str">
        <f>IF(I81="Tengo un emprendimiento o quiero iniciar uno",CHOOSE(MOD(COUNTIF($I$2:I81,I81)-1,5)+1,"Falta de financiación","Falta de conocimientos administrativos","Falta de conocimientos financieros","Falta de tiempo","Falta de herramientas"),"")</f>
        <v/>
      </c>
      <c r="Y81" s="9" t="str">
        <f t="shared" si="24"/>
        <v/>
      </c>
      <c r="Z81" t="str">
        <f>IF(I81="Tengo un emprendimiento o quiero iniciar uno",CHOOSE(INT(MOD((COUNTIF($I$2:I81,I81)-1)*7,39)/13)+1,"Sí","No","No conozco programas de ese tipo"),"")</f>
        <v/>
      </c>
      <c r="AA81" t="str">
        <f t="shared" si="25"/>
        <v>Puedo hacerlo con dificultad</v>
      </c>
      <c r="AB81" t="str">
        <f t="shared" si="25"/>
        <v>Puedo hacerlo con dificultad</v>
      </c>
      <c r="AC81" t="str">
        <f t="shared" si="26"/>
        <v>No puedo hacerlo</v>
      </c>
      <c r="AD81" s="9" t="str">
        <f t="shared" si="27"/>
        <v>Puedo hacerlo sin ayuda</v>
      </c>
      <c r="AE81" t="str">
        <f t="shared" si="28"/>
        <v>Puedo hacerlo con ayuda</v>
      </c>
      <c r="AF81" s="9" t="str">
        <f t="shared" si="29"/>
        <v>Comunicación</v>
      </c>
      <c r="AG81" s="9" t="str">
        <f t="shared" si="30"/>
        <v>Horarios</v>
      </c>
      <c r="AH81" t="str">
        <f t="shared" si="31"/>
        <v>No conozco ninguno</v>
      </c>
      <c r="AI81" s="9" t="str">
        <f t="shared" si="32"/>
        <v>Presencial</v>
      </c>
      <c r="AJ81" s="9" t="str">
        <f t="shared" si="33"/>
        <v>Diurno</v>
      </c>
      <c r="AK81" s="9" t="str">
        <f t="shared" si="34"/>
        <v>WhatsApp</v>
      </c>
    </row>
    <row r="82" spans="1:37">
      <c r="A82" t="str">
        <f t="shared" si="35"/>
        <v>SG081</v>
      </c>
      <c r="B82" t="s">
        <v>418</v>
      </c>
      <c r="C82" s="9" t="s">
        <v>427</v>
      </c>
      <c r="D82" t="str">
        <f t="shared" si="18"/>
        <v>Femenino</v>
      </c>
      <c r="E82" t="str">
        <f t="shared" si="19"/>
        <v>De 18 a 20 años</v>
      </c>
      <c r="F82">
        <f t="shared" si="20"/>
        <v>18</v>
      </c>
      <c r="G82" s="9" t="s">
        <v>428</v>
      </c>
      <c r="H82" s="9" t="str">
        <f t="shared" si="21"/>
        <v>Bachiller</v>
      </c>
      <c r="I82" s="9" t="str">
        <f t="shared" si="22"/>
        <v>Estudio y quiero comenzar a trabajar</v>
      </c>
      <c r="J82" s="13" t="str">
        <f>IF(I82="Trabajo actualmente como empleado",IF(MOD((COUNTIF($I$2:I82,"Trabajo actualmente como empleado")-1)*37,150)&lt;100,"Empleado con contrato","Empleado sin contrato formal"),IF(I82="Trabajo de manera independiente","Trabajo independiente",""))</f>
        <v/>
      </c>
      <c r="K82" s="9" t="str">
        <f>IF(OR(I82="Trabajo actualmente como empleado",I82="Trabajo de manera independiente"),CHOOSE(MOD(COUNTIF($I$2:I82,I82)-1,4)+1,"Menos de 3 meses","De 3 a 6 meses","De 7 a 12 meses","Más de un año"),"")</f>
        <v/>
      </c>
      <c r="L82" t="str">
        <f>IF(OR(I82="Trabajo actualmente como empleado",I82="Trabajo de manera independiente"),CHOOSE(MOD(COUNTIF($I$2:I82,I82)-1,3)+1,"Sí, completamente","Parcialmente","No"),"")</f>
        <v/>
      </c>
      <c r="M82" t="str">
        <f>IF(OR(I82="Trabajo actualmente como empleado",I82="Trabajo de manera independiente"),CHOOSE(MOD(INT((COUNTIF($I$2:I82,I82)-1)/3),4)+1,"1- Muy satisfecho/a","2- Satisfecho/a","3- Insatisfecho/a","4- Muy insatisfecho/a"),"")</f>
        <v/>
      </c>
      <c r="N82" t="str">
        <f>IF(OR(I82="Trabajo actualmente como empleado",I82="Trabajo de manera independiente"),_xlfn.LET(_xlpm.opcion,MOD(INT((COUNTIF($I$2:I82,I82)-1)/5),6)+1,CHOOSE(IF(AND(_xlpm.opcion=6,L82="Sí, completamente"),5,_xlpm.opcion),"Salario","Estabilidad laboral","Horario","Acceso a prestaciones","Oportunidades de crecimiento","Trabajar en un área relacionada con mi formación")),"")</f>
        <v/>
      </c>
      <c r="O82" s="9" t="str">
        <f>IF(OR(I82="Trabajo actualmente como empleado",I82="Trabajo de manera independiente"),_xlfn.LET(_xlpm.turno,MOD(COUNTIF($I$2:I82,I82)-1,5),_xlpm.nivel,VALUE(LEFT(M82,1)),IF(_xlpm.turno=4,"No estoy seguro/a",IF(_xlpm.turno&lt;IF(_xlpm.nivel&lt;=2,1,3),"Sí","No"))),"")</f>
        <v/>
      </c>
      <c r="P82" s="9" t="str">
        <f>_xlfn.LET(_xlpm.perfil,I82,_xlpm.turno,COUNTIF($I$2:I82,_xlpm.perfil)-1,_xlpm.busca,OR(_xlpm.perfil="Actualmente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trabajar"),IF(AND(_xlpm.trabaja,O82="No"),"Todavía no he iniciado una búsqueda activa",CHOOSE(MOD(_xlpm.turno*3,5)+1,"Menos de 1 mes","Entre 1 y 3 meses","Entre 4 y 6 meses","Más de 6 meses","Todavía no he iniciado una búsqueda activa")),"")))</f>
        <v>Entre 4 y 6 meses</v>
      </c>
      <c r="Q82" t="str">
        <f>IF(I82="Tengo un emprendimiento o quiero iniciar uno","",CHOOSE(MOD(INT((COUNTIF($I$2:I82,I82)-1)/7),3)+1,"Sí","No","Tengo una pero necesito actualizarla"))</f>
        <v>No</v>
      </c>
      <c r="R82" s="9" t="str">
        <f>IF(I82="Tengo un emprendimiento o quiero iniciar uno","",IF(I82="Busco mi primer empleo","No",IF(MOD(COUNTIF($I$2:I82,I82)-1,2)=0,"Sí","No")))</f>
        <v>No</v>
      </c>
      <c r="S82" t="str">
        <f>IF(I82="Tengo un emprendimiento o quiero iniciar uno","",CHOOSE(MOD(INT((COUNTIF($I$2:I82,I82)-1)/3),10)+1,"Portales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82" t="str">
        <f>IF(I82="Tengo un emprendimiento o quiero iniciar uno","",_xlfn.LET(_xlpm.opcion,MOD(INT((COUNTIF($I$2:I82,I82)-1)/4),6)+1,CHOOSE(IF(AND(_xlpm.opcion=3,Q82="Sí"),1,_xlpm.opcion),"Falta de experiencia","Falta de formación","Dificultades con la hoja de vida","Horarios disponibles","Transporte","Internet")))</f>
        <v>Dificultades con la hoja de vida</v>
      </c>
      <c r="U82" s="9" t="str">
        <f>IF(I82="Tengo un emprendimiento o quiero iniciar uno","",IF(MOD(INT((COUNTIF($I$2:I82,I82)-1)/3),2)=0,"Sí","No"))</f>
        <v>No</v>
      </c>
      <c r="V82" s="9" t="str">
        <f>IF(I82="Tengo un emprendimiento o quiero iniciar uno",CHOOSE(MOD(COUNTIF($I$2:I82,I82)-1,3)+1,"Tengo un emprendimiento","Estoy iniciando un emprendimiento","Me interesa emprender"),"")</f>
        <v/>
      </c>
      <c r="W82" t="str">
        <f t="shared" si="23"/>
        <v/>
      </c>
      <c r="X82" s="9" t="str">
        <f>IF(I82="Tengo un emprendimiento o quiero iniciar uno",CHOOSE(MOD(COUNTIF($I$2:I82,I82)-1,5)+1,"Falta de financiación","Falta de conocimientos administrativos","Falta de conocimientos financieros","Falta de tiempo","Falta de herramientas"),"")</f>
        <v/>
      </c>
      <c r="Y82" s="9" t="str">
        <f t="shared" si="24"/>
        <v/>
      </c>
      <c r="Z82" t="str">
        <f>IF(I82="Tengo un emprendimiento o quiero iniciar uno",CHOOSE(INT(MOD((COUNTIF($I$2:I82,I82)-1)*7,39)/13)+1,"Sí","No","No conozco programas de ese tipo"),"")</f>
        <v/>
      </c>
      <c r="AA82" t="str">
        <f t="shared" si="25"/>
        <v>Puedo hacerlo sin ayuda</v>
      </c>
      <c r="AB82" t="str">
        <f t="shared" si="25"/>
        <v>Puedo hacerlo sin ayuda</v>
      </c>
      <c r="AC82" t="str">
        <f t="shared" si="26"/>
        <v>Puedo hacerlo con ayuda</v>
      </c>
      <c r="AD82" s="9" t="str">
        <f t="shared" si="27"/>
        <v>No puedo hacerlo</v>
      </c>
      <c r="AE82" t="str">
        <f t="shared" si="28"/>
        <v>Puedo hacerlo con dificultad</v>
      </c>
      <c r="AF82" s="9" t="str">
        <f t="shared" si="29"/>
        <v>Liderazgo</v>
      </c>
      <c r="AG82" s="9" t="str">
        <f t="shared" si="30"/>
        <v>Horarios</v>
      </c>
      <c r="AH82" t="str">
        <f t="shared" si="31"/>
        <v>Ferias de empleo</v>
      </c>
      <c r="AI82" s="9" t="str">
        <f t="shared" si="32"/>
        <v>Virtual</v>
      </c>
      <c r="AJ82" s="9" t="str">
        <f t="shared" si="33"/>
        <v>Nocturno</v>
      </c>
      <c r="AK82" s="9" t="str">
        <f t="shared" si="34"/>
        <v>Correo electrónico</v>
      </c>
    </row>
    <row r="83" spans="1:37">
      <c r="A83" t="str">
        <f t="shared" si="35"/>
        <v>SG082</v>
      </c>
      <c r="B83" t="s">
        <v>418</v>
      </c>
      <c r="C83" s="9" t="s">
        <v>427</v>
      </c>
      <c r="D83" t="str">
        <f t="shared" si="18"/>
        <v>Masculino</v>
      </c>
      <c r="E83" t="str">
        <f t="shared" si="19"/>
        <v>De 20 a 22 años</v>
      </c>
      <c r="F83">
        <f t="shared" si="20"/>
        <v>20</v>
      </c>
      <c r="G83" s="9" t="s">
        <v>428</v>
      </c>
      <c r="H83" s="9" t="str">
        <f t="shared" si="21"/>
        <v>Bachiller</v>
      </c>
      <c r="I83" s="9" t="str">
        <f t="shared" si="22"/>
        <v>Trabajo actualmente como empleado</v>
      </c>
      <c r="J83" s="13" t="str">
        <f>IF(I83="Trabajo actualmente como empleado",IF(MOD((COUNTIF($I$2:I83,"Trabajo actualmente como empleado")-1)*37,150)&lt;100,"Empleado con contrato","Empleado sin contrato formal"),IF(I83="Trabajo de manera independiente","Trabajo independiente",""))</f>
        <v>Empleado con contrato</v>
      </c>
      <c r="K83" s="9" t="str">
        <f>IF(OR(I83="Trabajo actualmente como empleado",I83="Trabajo de manera independiente"),CHOOSE(MOD(COUNTIF($I$2:I83,I83)-1,4)+1,"Menos de 3 meses","De 3 a 6 meses","De 7 a 12 meses","Más de un año"),"")</f>
        <v>Más de un año</v>
      </c>
      <c r="L83" t="str">
        <f>IF(OR(I83="Trabajo actualmente como empleado",I83="Trabajo de manera independiente"),CHOOSE(MOD(COUNTIF($I$2:I83,I83)-1,3)+1,"Sí, completamente","Parcialmente","No"),"")</f>
        <v>Sí, completamente</v>
      </c>
      <c r="M83" t="str">
        <f>IF(OR(I83="Trabajo actualmente como empleado",I83="Trabajo de manera independiente"),CHOOSE(MOD(INT((COUNTIF($I$2:I83,I83)-1)/3),4)+1,"1- Muy satisfecho/a","2- Satisfecho/a","3- Insatisfecho/a","4- Muy insatisfecho/a"),"")</f>
        <v>2- Satisfecho/a</v>
      </c>
      <c r="N83" t="str">
        <f>IF(OR(I83="Trabajo actualmente como empleado",I83="Trabajo de manera independiente"),_xlfn.LET(_xlpm.opcion,MOD(INT((COUNTIF($I$2:I83,I83)-1)/5),6)+1,CHOOSE(IF(AND(_xlpm.opcion=6,L83="Sí, completamente"),5,_xlpm.opcion),"Salario","Estabilidad laboral","Horario","Acceso a prestaciones","Oportunidades de crecimiento","Trabajar en un área relacionada con mi formación")),"")</f>
        <v>Oportunidades de crecimiento</v>
      </c>
      <c r="O83" s="9" t="str">
        <f>IF(OR(I83="Trabajo actualmente como empleado",I83="Trabajo de manera independiente"),_xlfn.LET(_xlpm.turno,MOD(COUNTIF($I$2:I83,I83)-1,5),_xlpm.nivel,VALUE(LEFT(M83,1)),IF(_xlpm.turno=4,"No estoy seguro/a",IF(_xlpm.turno&lt;IF(_xlpm.nivel&lt;=2,1,3),"Sí","No"))),"")</f>
        <v>No</v>
      </c>
      <c r="P83" s="9" t="str">
        <f>_xlfn.LET(_xlpm.perfil,I83,_xlpm.turno,COUNTIF($I$2:I83,_xlpm.perfil)-1,_xlpm.busca,OR(_xlpm.perfil="Actualmente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83" t="str">
        <f>IF(I83="Tengo un emprendimiento o quiero iniciar uno","",CHOOSE(MOD(INT((COUNTIF($I$2:I83,I83)-1)/7),3)+1,"Sí","No","Tengo una pero necesito actualizarla"))</f>
        <v>Sí</v>
      </c>
      <c r="R83" s="9" t="str">
        <f>IF(I83="Tengo un emprendimiento o quiero iniciar uno","",IF(I83="Busco mi primer empleo","No",IF(MOD(COUNTIF($I$2:I83,I83)-1,2)=0,"Sí","No")))</f>
        <v>No</v>
      </c>
      <c r="S83" t="str">
        <f>IF(I83="Tengo un emprendimiento o quiero iniciar uno","",CHOOSE(MOD(INT((COUNTIF($I$2:I83,I83)-1)/3),10)+1,"Portales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83" t="str">
        <f>IF(I83="Tengo un emprendimiento o quiero iniciar uno","",_xlfn.LET(_xlpm.opcion,MOD(INT((COUNTIF($I$2:I83,I83)-1)/4),6)+1,CHOOSE(IF(AND(_xlpm.opcion=3,Q83="Sí"),1,_xlpm.opcion),"Falta de experiencia","Falta de formación","Dificultades con la hoja de vida","Horarios disponibles","Transporte","Internet")))</f>
        <v>Falta de experiencia</v>
      </c>
      <c r="U83" s="9" t="str">
        <f>IF(I83="Tengo un emprendimiento o quiero iniciar uno","",IF(MOD(INT((COUNTIF($I$2:I83,I83)-1)/3),2)=0,"Sí","No"))</f>
        <v>No</v>
      </c>
      <c r="V83" s="9" t="str">
        <f>IF(I83="Tengo un emprendimiento o quiero iniciar uno",CHOOSE(MOD(COUNTIF($I$2:I83,I83)-1,3)+1,"Tengo un emprendimiento","Estoy iniciando un emprendimiento","Me interesa emprender"),"")</f>
        <v/>
      </c>
      <c r="W83" t="str">
        <f t="shared" si="23"/>
        <v/>
      </c>
      <c r="X83" s="9" t="str">
        <f>IF(I83="Tengo un emprendimiento o quiero iniciar uno",CHOOSE(MOD(COUNTIF($I$2:I83,I83)-1,5)+1,"Falta de financiación","Falta de conocimientos administrativos","Falta de conocimientos financieros","Falta de tiempo","Falta de herramientas"),"")</f>
        <v/>
      </c>
      <c r="Y83" s="9" t="str">
        <f t="shared" si="24"/>
        <v/>
      </c>
      <c r="Z83" t="str">
        <f>IF(I83="Tengo un emprendimiento o quiero iniciar uno",CHOOSE(INT(MOD((COUNTIF($I$2:I83,I83)-1)*7,39)/13)+1,"Sí","No","No conozco programas de ese tipo"),"")</f>
        <v/>
      </c>
      <c r="AA83" t="str">
        <f t="shared" si="25"/>
        <v>Puedo hacerlo con ayuda</v>
      </c>
      <c r="AB83" t="str">
        <f t="shared" si="25"/>
        <v>Puedo hacerlo con ayuda</v>
      </c>
      <c r="AC83" t="str">
        <f t="shared" si="26"/>
        <v>Puedo hacerlo con dificultad</v>
      </c>
      <c r="AD83" s="9" t="str">
        <f t="shared" si="27"/>
        <v>Puedo hacerlo con ayuda</v>
      </c>
      <c r="AE83" t="str">
        <f t="shared" si="28"/>
        <v>Puedo hacerlo con dificultad</v>
      </c>
      <c r="AF83" s="9" t="str">
        <f t="shared" si="29"/>
        <v>Emprendimiento</v>
      </c>
      <c r="AG83" s="9" t="str">
        <f t="shared" si="30"/>
        <v>Costos de transporte</v>
      </c>
      <c r="AH83" t="str">
        <f t="shared" si="31"/>
        <v>No conozco ninguno</v>
      </c>
      <c r="AI83" s="9" t="str">
        <f t="shared" si="32"/>
        <v>Presencial y virtual</v>
      </c>
      <c r="AJ83" s="9" t="str">
        <f t="shared" si="33"/>
        <v>Fines de semana</v>
      </c>
      <c r="AK83" s="9" t="str">
        <f t="shared" si="34"/>
        <v>Celular</v>
      </c>
    </row>
    <row r="84" spans="1:37">
      <c r="A84" t="str">
        <f t="shared" si="35"/>
        <v>SG083</v>
      </c>
      <c r="B84" t="s">
        <v>418</v>
      </c>
      <c r="C84" s="9" t="s">
        <v>427</v>
      </c>
      <c r="D84" t="str">
        <f t="shared" si="18"/>
        <v>Masculino</v>
      </c>
      <c r="E84" t="str">
        <f t="shared" si="19"/>
        <v>De 22 a 24 años</v>
      </c>
      <c r="F84">
        <f t="shared" si="20"/>
        <v>22</v>
      </c>
      <c r="G84" s="9" t="s">
        <v>428</v>
      </c>
      <c r="H84" s="9" t="str">
        <f t="shared" si="21"/>
        <v>Bachiller</v>
      </c>
      <c r="I84" s="9" t="str">
        <f t="shared" si="22"/>
        <v>Actualmente no trabajo y estoy buscando empleo</v>
      </c>
      <c r="J84" s="13" t="str">
        <f>IF(I84="Trabajo actualmente como empleado",IF(MOD((COUNTIF($I$2:I84,"Trabajo actualmente como empleado")-1)*37,150)&lt;100,"Empleado con contrato","Empleado sin contrato formal"),IF(I84="Trabajo de manera independiente","Trabajo independiente",""))</f>
        <v/>
      </c>
      <c r="K84" s="9" t="str">
        <f>IF(OR(I84="Trabajo actualmente como empleado",I84="Trabajo de manera independiente"),CHOOSE(MOD(COUNTIF($I$2:I84,I84)-1,4)+1,"Menos de 3 meses","De 3 a 6 meses","De 7 a 12 meses","Más de un año"),"")</f>
        <v/>
      </c>
      <c r="L84" t="str">
        <f>IF(OR(I84="Trabajo actualmente como empleado",I84="Trabajo de manera independiente"),CHOOSE(MOD(COUNTIF($I$2:I84,I84)-1,3)+1,"Sí, completamente","Parcialmente","No"),"")</f>
        <v/>
      </c>
      <c r="M84" t="str">
        <f>IF(OR(I84="Trabajo actualmente como empleado",I84="Trabajo de manera independiente"),CHOOSE(MOD(INT((COUNTIF($I$2:I84,I84)-1)/3),4)+1,"1- Muy satisfecho/a","2- Satisfecho/a","3- Insatisfecho/a","4- Muy insatisfecho/a"),"")</f>
        <v/>
      </c>
      <c r="N84" t="str">
        <f>IF(OR(I84="Trabajo actualmente como empleado",I84="Trabajo de manera independiente"),_xlfn.LET(_xlpm.opcion,MOD(INT((COUNTIF($I$2:I84,I84)-1)/5),6)+1,CHOOSE(IF(AND(_xlpm.opcion=6,L84="Sí, completamente"),5,_xlpm.opcion),"Salario","Estabilidad laboral","Horario","Acceso a prestaciones","Oportunidades de crecimiento","Trabajar en un área relacionada con mi formación")),"")</f>
        <v/>
      </c>
      <c r="O84" s="9" t="str">
        <f>IF(OR(I84="Trabajo actualmente como empleado",I84="Trabajo de manera independiente"),_xlfn.LET(_xlpm.turno,MOD(COUNTIF($I$2:I84,I84)-1,5),_xlpm.nivel,VALUE(LEFT(M84,1)),IF(_xlpm.turno=4,"No estoy seguro/a",IF(_xlpm.turno&lt;IF(_xlpm.nivel&lt;=2,1,3),"Sí","No"))),"")</f>
        <v/>
      </c>
      <c r="P84" s="9" t="str">
        <f>_xlfn.LET(_xlpm.perfil,I84,_xlpm.turno,COUNTIF($I$2:I84,_xlpm.perfil)-1,_xlpm.busca,OR(_xlpm.perfil="Actualmente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trabajar"),IF(AND(_xlpm.trabaja,O84="No"),"Todavía no he iniciado una búsqueda activa",CHOOSE(MOD(_xlpm.turno*3,5)+1,"Menos de 1 mes","Entre 1 y 3 meses","Entre 4 y 6 meses","Más de 6 meses","Todavía no he iniciado una búsqueda activa")),"")))</f>
        <v>Más de 6 meses</v>
      </c>
      <c r="Q84" t="str">
        <f>IF(I84="Tengo un emprendimiento o quiero iniciar uno","",CHOOSE(MOD(INT((COUNTIF($I$2:I84,I84)-1)/7),3)+1,"Sí","No","Tengo una pero necesito actualizarla"))</f>
        <v>No</v>
      </c>
      <c r="R84" s="9" t="str">
        <f>IF(I84="Tengo un emprendimiento o quiero iniciar uno","",IF(I84="Busco mi primer empleo","No",IF(MOD(COUNTIF($I$2:I84,I84)-1,2)=0,"Sí","No")))</f>
        <v>No</v>
      </c>
      <c r="S84" t="str">
        <f>IF(I84="Tengo un emprendimiento o quiero iniciar uno","",CHOOSE(MOD(INT((COUNTIF($I$2:I84,I84)-1)/3),10)+1,"Portales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84" t="str">
        <f>IF(I84="Tengo un emprendimiento o quiero iniciar uno","",_xlfn.LET(_xlpm.opcion,MOD(INT((COUNTIF($I$2:I84,I84)-1)/4),6)+1,CHOOSE(IF(AND(_xlpm.opcion=3,Q84="Sí"),1,_xlpm.opcion),"Falta de experiencia","Falta de formación","Dificultades con la hoja de vida","Horarios disponibles","Transporte","Internet")))</f>
        <v>Horarios disponibles</v>
      </c>
      <c r="U84" s="9" t="str">
        <f>IF(I84="Tengo un emprendimiento o quiero iniciar uno","",IF(MOD(INT((COUNTIF($I$2:I84,I84)-1)/3),2)=0,"Sí","No"))</f>
        <v>Sí</v>
      </c>
      <c r="V84" s="9" t="str">
        <f>IF(I84="Tengo un emprendimiento o quiero iniciar uno",CHOOSE(MOD(COUNTIF($I$2:I84,I84)-1,3)+1,"Tengo un emprendimiento","Estoy iniciando un emprendimiento","Me interesa emprender"),"")</f>
        <v/>
      </c>
      <c r="W84" t="str">
        <f t="shared" si="23"/>
        <v/>
      </c>
      <c r="X84" s="9" t="str">
        <f>IF(I84="Tengo un emprendimiento o quiero iniciar uno",CHOOSE(MOD(COUNTIF($I$2:I84,I84)-1,5)+1,"Falta de financiación","Falta de conocimientos administrativos","Falta de conocimientos financieros","Falta de tiempo","Falta de herramientas"),"")</f>
        <v/>
      </c>
      <c r="Y84" s="9" t="str">
        <f t="shared" si="24"/>
        <v/>
      </c>
      <c r="Z84" t="str">
        <f>IF(I84="Tengo un emprendimiento o quiero iniciar uno",CHOOSE(INT(MOD((COUNTIF($I$2:I84,I84)-1)*7,39)/13)+1,"Sí","No","No conozco programas de ese tipo"),"")</f>
        <v/>
      </c>
      <c r="AA84" t="str">
        <f t="shared" si="25"/>
        <v>Puedo hacerlo con dificultad</v>
      </c>
      <c r="AB84" t="str">
        <f t="shared" si="25"/>
        <v>Puedo hacerlo con dificultad</v>
      </c>
      <c r="AC84" t="str">
        <f t="shared" si="26"/>
        <v>No puedo hacerlo</v>
      </c>
      <c r="AD84" s="9" t="str">
        <f t="shared" si="27"/>
        <v>Puedo hacerlo con dificultad</v>
      </c>
      <c r="AE84" t="str">
        <f t="shared" si="28"/>
        <v>Puedo hacerlo sin ayuda</v>
      </c>
      <c r="AF84" s="9" t="str">
        <f t="shared" si="29"/>
        <v>Herramientas digitales</v>
      </c>
      <c r="AG84" s="9" t="str">
        <f t="shared" si="30"/>
        <v>Costos de transporte</v>
      </c>
      <c r="AH84" t="str">
        <f t="shared" si="31"/>
        <v>Oficina de orientación laboral</v>
      </c>
      <c r="AI84" s="9" t="str">
        <f t="shared" si="32"/>
        <v>Me es indiferente</v>
      </c>
      <c r="AJ84" s="9" t="str">
        <f t="shared" si="33"/>
        <v>Diurno</v>
      </c>
      <c r="AK84" s="9" t="str">
        <f t="shared" si="34"/>
        <v>WhatsApp</v>
      </c>
    </row>
    <row r="85" spans="1:37">
      <c r="A85" t="str">
        <f t="shared" si="35"/>
        <v>SG084</v>
      </c>
      <c r="B85" t="s">
        <v>418</v>
      </c>
      <c r="C85" s="9" t="s">
        <v>427</v>
      </c>
      <c r="D85" t="str">
        <f t="shared" si="18"/>
        <v>Femenino</v>
      </c>
      <c r="E85" t="str">
        <f t="shared" si="19"/>
        <v>De 24 a 26 años</v>
      </c>
      <c r="F85">
        <f t="shared" si="20"/>
        <v>24</v>
      </c>
      <c r="G85" s="9" t="s">
        <v>428</v>
      </c>
      <c r="H85" s="9" t="str">
        <f t="shared" si="21"/>
        <v>Técnico</v>
      </c>
      <c r="I85" s="9" t="str">
        <f t="shared" si="22"/>
        <v>Tengo un emprendimiento o quiero iniciar uno</v>
      </c>
      <c r="J85" s="13" t="str">
        <f>IF(I85="Trabajo actualmente como empleado",IF(MOD((COUNTIF($I$2:I85,"Trabajo actualmente como empleado")-1)*37,150)&lt;100,"Empleado con contrato","Empleado sin contrato formal"),IF(I85="Trabajo de manera independiente","Trabajo independiente",""))</f>
        <v/>
      </c>
      <c r="K85" s="9" t="str">
        <f>IF(OR(I85="Trabajo actualmente como empleado",I85="Trabajo de manera independiente"),CHOOSE(MOD(COUNTIF($I$2:I85,I85)-1,4)+1,"Menos de 3 meses","De 3 a 6 meses","De 7 a 12 meses","Más de un año"),"")</f>
        <v/>
      </c>
      <c r="L85" t="str">
        <f>IF(OR(I85="Trabajo actualmente como empleado",I85="Trabajo de manera independiente"),CHOOSE(MOD(COUNTIF($I$2:I85,I85)-1,3)+1,"Sí, completamente","Parcialmente","No"),"")</f>
        <v/>
      </c>
      <c r="M85" t="str">
        <f>IF(OR(I85="Trabajo actualmente como empleado",I85="Trabajo de manera independiente"),CHOOSE(MOD(INT((COUNTIF($I$2:I85,I85)-1)/3),4)+1,"1- Muy satisfecho/a","2- Satisfecho/a","3- Insatisfecho/a","4- Muy insatisfecho/a"),"")</f>
        <v/>
      </c>
      <c r="N85" t="str">
        <f>IF(OR(I85="Trabajo actualmente como empleado",I85="Trabajo de manera independiente"),_xlfn.LET(_xlpm.opcion,MOD(INT((COUNTIF($I$2:I85,I85)-1)/5),6)+1,CHOOSE(IF(AND(_xlpm.opcion=6,L85="Sí, completamente"),5,_xlpm.opcion),"Salario","Estabilidad laboral","Horario","Acceso a prestaciones","Oportunidades de crecimiento","Trabajar en un área relacionada con mi formación")),"")</f>
        <v/>
      </c>
      <c r="O85" s="9" t="str">
        <f>IF(OR(I85="Trabajo actualmente como empleado",I85="Trabajo de manera independiente"),_xlfn.LET(_xlpm.turno,MOD(COUNTIF($I$2:I85,I85)-1,5),_xlpm.nivel,VALUE(LEFT(M85,1)),IF(_xlpm.turno=4,"No estoy seguro/a",IF(_xlpm.turno&lt;IF(_xlpm.nivel&lt;=2,1,3),"Sí","No"))),"")</f>
        <v/>
      </c>
      <c r="P85" s="9" t="str">
        <f>_xlfn.LET(_xlpm.perfil,I85,_xlpm.turno,COUNTIF($I$2:I85,_xlpm.perfil)-1,_xlpm.busca,OR(_xlpm.perfil="Actualmente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trabajar"),IF(AND(_xlpm.trabaja,O85="No"),"Todavía no he iniciado una búsqueda activa",CHOOSE(MOD(_xlpm.turno*3,5)+1,"Menos de 1 mes","Entre 1 y 3 meses","Entre 4 y 6 meses","Más de 6 meses","Todavía no he iniciado una búsqueda activa")),"")))</f>
        <v/>
      </c>
      <c r="Q85" t="str">
        <f>IF(I85="Tengo un emprendimiento o quiero iniciar uno","",CHOOSE(MOD(INT((COUNTIF($I$2:I85,I85)-1)/7),3)+1,"Sí","No","Tengo una pero necesito actualizarla"))</f>
        <v/>
      </c>
      <c r="R85" s="9" t="str">
        <f>IF(I85="Tengo un emprendimiento o quiero iniciar uno","",IF(I85="Busco mi primer empleo","No",IF(MOD(COUNTIF($I$2:I85,I85)-1,2)=0,"Sí","No")))</f>
        <v/>
      </c>
      <c r="S85" t="str">
        <f>IF(I85="Tengo un emprendimiento o quiero iniciar uno","",CHOOSE(MOD(INT((COUNTIF($I$2:I85,I85)-1)/3),10)+1,"Portales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85" t="str">
        <f>IF(I85="Tengo un emprendimiento o quiero iniciar uno","",_xlfn.LET(_xlpm.opcion,MOD(INT((COUNTIF($I$2:I85,I85)-1)/4),6)+1,CHOOSE(IF(AND(_xlpm.opcion=3,Q85="Sí"),1,_xlpm.opcion),"Falta de experiencia","Falta de formación","Dificultades con la hoja de vida","Horarios disponibles","Transporte","Internet")))</f>
        <v/>
      </c>
      <c r="U85" s="9" t="str">
        <f>IF(I85="Tengo un emprendimiento o quiero iniciar uno","",IF(MOD(INT((COUNTIF($I$2:I85,I85)-1)/3),2)=0,"Sí","No"))</f>
        <v/>
      </c>
      <c r="V85" s="9" t="str">
        <f>IF(I85="Tengo un emprendimiento o quiero iniciar uno",CHOOSE(MOD(COUNTIF($I$2:I85,I85)-1,3)+1,"Tengo un emprendimiento","Estoy iniciando un emprendimiento","Me interesa emprender"),"")</f>
        <v>Tengo un emprendimiento</v>
      </c>
      <c r="W85" t="str">
        <f t="shared" si="23"/>
        <v>Funcionamiento estable</v>
      </c>
      <c r="X85" s="9" t="str">
        <f>IF(I85="Tengo un emprendimiento o quiero iniciar uno",CHOOSE(MOD(COUNTIF($I$2:I85,I85)-1,5)+1,"Falta de financiación","Falta de conocimientos administrativos","Falta de conocimientos financieros","Falta de tiempo","Falta de herramientas"),"")</f>
        <v>Falta de conocimientos administrativos</v>
      </c>
      <c r="Y85" s="9" t="str">
        <f t="shared" si="24"/>
        <v>Falta de conocimientos administrativos</v>
      </c>
      <c r="Z85" t="str">
        <f>IF(I85="Tengo un emprendimiento o quiero iniciar uno",CHOOSE(INT(MOD((COUNTIF($I$2:I85,I85)-1)*7,39)/13)+1,"Sí","No","No conozco programas de ese tipo"),"")</f>
        <v>Sí</v>
      </c>
      <c r="AA85" t="str">
        <f t="shared" si="25"/>
        <v>No puedo hacerlo</v>
      </c>
      <c r="AB85" t="str">
        <f t="shared" si="25"/>
        <v>No puedo hacerlo</v>
      </c>
      <c r="AC85" t="str">
        <f t="shared" si="26"/>
        <v>Puedo hacerlo con ayuda</v>
      </c>
      <c r="AD85" s="9" t="str">
        <f t="shared" si="27"/>
        <v>Puedo hacerlo con dificultad</v>
      </c>
      <c r="AE85" t="str">
        <f t="shared" si="28"/>
        <v>No puedo hacerlo</v>
      </c>
      <c r="AF85" s="9" t="str">
        <f t="shared" si="29"/>
        <v>Educación financiera</v>
      </c>
      <c r="AG85" s="9" t="str">
        <f t="shared" si="30"/>
        <v>Costos de transporte</v>
      </c>
      <c r="AH85" t="str">
        <f t="shared" si="31"/>
        <v>Programas de emprendimiento</v>
      </c>
      <c r="AI85" s="9" t="str">
        <f t="shared" si="32"/>
        <v>Presencial</v>
      </c>
      <c r="AJ85" s="9" t="str">
        <f t="shared" si="33"/>
        <v>Nocturno</v>
      </c>
      <c r="AK85" s="9" t="str">
        <f t="shared" si="34"/>
        <v>Redes sociales</v>
      </c>
    </row>
    <row r="86" spans="1:37">
      <c r="A86" t="str">
        <f t="shared" si="35"/>
        <v>SG085</v>
      </c>
      <c r="B86" t="s">
        <v>418</v>
      </c>
      <c r="C86" s="9" t="s">
        <v>427</v>
      </c>
      <c r="D86" t="str">
        <f t="shared" si="18"/>
        <v>Masculino</v>
      </c>
      <c r="E86" t="str">
        <f t="shared" si="19"/>
        <v>De 26 a 28 años</v>
      </c>
      <c r="F86">
        <f t="shared" si="20"/>
        <v>27</v>
      </c>
      <c r="G86" s="9" t="s">
        <v>428</v>
      </c>
      <c r="H86" s="9" t="str">
        <f t="shared" si="21"/>
        <v>Técnico</v>
      </c>
      <c r="I86" s="9" t="str">
        <f t="shared" si="22"/>
        <v>Trabajo de manera independiente</v>
      </c>
      <c r="J86" s="13" t="str">
        <f>IF(I86="Trabajo actualmente como empleado",IF(MOD((COUNTIF($I$2:I86,"Trabajo actualmente como empleado")-1)*37,150)&lt;100,"Empleado con contrato","Empleado sin contrato formal"),IF(I86="Trabajo de manera independiente","Trabajo independiente",""))</f>
        <v>Trabajo independiente</v>
      </c>
      <c r="K86" s="9" t="str">
        <f>IF(OR(I86="Trabajo actualmente como empleado",I86="Trabajo de manera independiente"),CHOOSE(MOD(COUNTIF($I$2:I86,I86)-1,4)+1,"Menos de 3 meses","De 3 a 6 meses","De 7 a 12 meses","Más de un año"),"")</f>
        <v>De 7 a 12 meses</v>
      </c>
      <c r="L86" t="str">
        <f>IF(OR(I86="Trabajo actualmente como empleado",I86="Trabajo de manera independiente"),CHOOSE(MOD(COUNTIF($I$2:I86,I86)-1,3)+1,"Sí, completamente","Parcialmente","No"),"")</f>
        <v>No</v>
      </c>
      <c r="M86" t="str">
        <f>IF(OR(I86="Trabajo actualmente como empleado",I86="Trabajo de manera independiente"),CHOOSE(MOD(INT((COUNTIF($I$2:I86,I86)-1)/3),4)+1,"1- Muy satisfecho/a","2- Satisfecho/a","3- Insatisfecho/a","4- Muy insatisfecho/a"),"")</f>
        <v>1- Muy satisfecho/a</v>
      </c>
      <c r="N86" t="str">
        <f>IF(OR(I86="Trabajo actualmente como empleado",I86="Trabajo de manera independiente"),_xlfn.LET(_xlpm.opcion,MOD(INT((COUNTIF($I$2:I86,I86)-1)/5),6)+1,CHOOSE(IF(AND(_xlpm.opcion=6,L86="Sí, completamente"),5,_xlpm.opcion),"Salario","Estabilidad laboral","Horario","Acceso a prestaciones","Oportunidades de crecimiento","Trabajar en un área relacionada con mi formación")),"")</f>
        <v>Horario</v>
      </c>
      <c r="O86" s="9" t="str">
        <f>IF(OR(I86="Trabajo actualmente como empleado",I86="Trabajo de manera independiente"),_xlfn.LET(_xlpm.turno,MOD(COUNTIF($I$2:I86,I86)-1,5),_xlpm.nivel,VALUE(LEFT(M86,1)),IF(_xlpm.turno=4,"No estoy seguro/a",IF(_xlpm.turno&lt;IF(_xlpm.nivel&lt;=2,1,3),"Sí","No"))),"")</f>
        <v>No estoy seguro/a</v>
      </c>
      <c r="P86" s="9" t="str">
        <f>_xlfn.LET(_xlpm.perfil,I86,_xlpm.turno,COUNTIF($I$2:I86,_xlpm.perfil)-1,_xlpm.busca,OR(_xlpm.perfil="Actualmente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trabajar"),IF(AND(_xlpm.trabaja,O86="No"),"Todavía no he iniciado una búsqueda activa",CHOOSE(MOD(_xlpm.turno*3,5)+1,"Menos de 1 mes","Entre 1 y 3 meses","Entre 4 y 6 meses","Más de 6 meses","Todavía no he iniciado una búsqueda activa")),"")))</f>
        <v>Entre 4 y 6 meses</v>
      </c>
      <c r="Q86" t="str">
        <f>IF(I86="Tengo un emprendimiento o quiero iniciar uno","",CHOOSE(MOD(INT((COUNTIF($I$2:I86,I86)-1)/7),3)+1,"Sí","No","Tengo una pero necesito actualizarla"))</f>
        <v>Tengo una pero necesito actualizarla</v>
      </c>
      <c r="R86" s="9" t="str">
        <f>IF(I86="Tengo un emprendimiento o quiero iniciar uno","",IF(I86="Busco mi primer empleo","No",IF(MOD(COUNTIF($I$2:I86,I86)-1,2)=0,"Sí","No")))</f>
        <v>Sí</v>
      </c>
      <c r="S86" t="str">
        <f>IF(I86="Tengo un emprendimiento o quiero iniciar uno","",CHOOSE(MOD(INT((COUNTIF($I$2:I86,I86)-1)/3),10)+1,"Portales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86" t="str">
        <f>IF(I86="Tengo un emprendimiento o quiero iniciar uno","",_xlfn.LET(_xlpm.opcion,MOD(INT((COUNTIF($I$2:I86,I86)-1)/4),6)+1,CHOOSE(IF(AND(_xlpm.opcion=3,Q86="Sí"),1,_xlpm.opcion),"Falta de experiencia","Falta de formación","Dificultades con la hoja de vida","Horarios disponibles","Transporte","Internet")))</f>
        <v>Horarios disponibles</v>
      </c>
      <c r="U86" s="9" t="str">
        <f>IF(I86="Tengo un emprendimiento o quiero iniciar uno","",IF(MOD(INT((COUNTIF($I$2:I86,I86)-1)/3),2)=0,"Sí","No"))</f>
        <v>Sí</v>
      </c>
      <c r="V86" s="9" t="str">
        <f>IF(I86="Tengo un emprendimiento o quiero iniciar uno",CHOOSE(MOD(COUNTIF($I$2:I86,I86)-1,3)+1,"Tengo un emprendimiento","Estoy iniciando un emprendimiento","Me interesa emprender"),"")</f>
        <v/>
      </c>
      <c r="W86" t="str">
        <f t="shared" si="23"/>
        <v/>
      </c>
      <c r="X86" s="9" t="str">
        <f>IF(I86="Tengo un emprendimiento o quiero iniciar uno",CHOOSE(MOD(COUNTIF($I$2:I86,I86)-1,5)+1,"Falta de financiación","Falta de conocimientos administrativos","Falta de conocimientos financieros","Falta de tiempo","Falta de herramientas"),"")</f>
        <v/>
      </c>
      <c r="Y86" s="9" t="str">
        <f t="shared" si="24"/>
        <v/>
      </c>
      <c r="Z86" t="str">
        <f>IF(I86="Tengo un emprendimiento o quiero iniciar uno",CHOOSE(INT(MOD((COUNTIF($I$2:I86,I86)-1)*7,39)/13)+1,"Sí","No","No conozco programas de ese tipo"),"")</f>
        <v/>
      </c>
      <c r="AA86" t="str">
        <f t="shared" si="25"/>
        <v>Puedo hacerlo con ayuda</v>
      </c>
      <c r="AB86" t="str">
        <f t="shared" si="25"/>
        <v>Puedo hacerlo con ayuda</v>
      </c>
      <c r="AC86" t="str">
        <f t="shared" si="26"/>
        <v>Puedo hacerlo con dificultad</v>
      </c>
      <c r="AD86" s="9" t="str">
        <f t="shared" si="27"/>
        <v>Puedo hacerlo sin ayuda</v>
      </c>
      <c r="AE86" t="str">
        <f t="shared" si="28"/>
        <v>No puedo hacerlo</v>
      </c>
      <c r="AF86" s="9" t="str">
        <f t="shared" si="29"/>
        <v>Crear una hoja de vida;Preparación para entrevista</v>
      </c>
      <c r="AG86" s="9" t="str">
        <f t="shared" si="30"/>
        <v>Horarios;Falta de información</v>
      </c>
      <c r="AH86" t="str">
        <f t="shared" si="31"/>
        <v>Oficina de orientación laboral</v>
      </c>
      <c r="AI86" s="9" t="str">
        <f t="shared" si="32"/>
        <v>Virtual</v>
      </c>
      <c r="AJ86" s="9" t="str">
        <f t="shared" si="33"/>
        <v>Fines de semana</v>
      </c>
      <c r="AK86" s="9" t="str">
        <f t="shared" si="34"/>
        <v>Celular</v>
      </c>
    </row>
    <row r="87" spans="1:37">
      <c r="A87" t="str">
        <f t="shared" si="35"/>
        <v>SG086</v>
      </c>
      <c r="B87" t="s">
        <v>418</v>
      </c>
      <c r="C87" s="9" t="s">
        <v>427</v>
      </c>
      <c r="D87" t="str">
        <f t="shared" si="18"/>
        <v>Masculino</v>
      </c>
      <c r="E87" t="str">
        <f t="shared" si="19"/>
        <v>De 18 a 20 años</v>
      </c>
      <c r="F87">
        <f t="shared" si="20"/>
        <v>19</v>
      </c>
      <c r="G87" s="9" t="s">
        <v>428</v>
      </c>
      <c r="H87" s="9" t="str">
        <f t="shared" si="21"/>
        <v>Bachiller</v>
      </c>
      <c r="I87" s="9" t="str">
        <f t="shared" si="22"/>
        <v>Busco mi primer empleo</v>
      </c>
      <c r="J87" s="13" t="str">
        <f>IF(I87="Trabajo actualmente como empleado",IF(MOD((COUNTIF($I$2:I87,"Trabajo actualmente como empleado")-1)*37,150)&lt;100,"Empleado con contrato","Empleado sin contrato formal"),IF(I87="Trabajo de manera independiente","Trabajo independiente",""))</f>
        <v/>
      </c>
      <c r="K87" s="9" t="str">
        <f>IF(OR(I87="Trabajo actualmente como empleado",I87="Trabajo de manera independiente"),CHOOSE(MOD(COUNTIF($I$2:I87,I87)-1,4)+1,"Menos de 3 meses","De 3 a 6 meses","De 7 a 12 meses","Más de un año"),"")</f>
        <v/>
      </c>
      <c r="L87" t="str">
        <f>IF(OR(I87="Trabajo actualmente como empleado",I87="Trabajo de manera independiente"),CHOOSE(MOD(COUNTIF($I$2:I87,I87)-1,3)+1,"Sí, completamente","Parcialmente","No"),"")</f>
        <v/>
      </c>
      <c r="M87" t="str">
        <f>IF(OR(I87="Trabajo actualmente como empleado",I87="Trabajo de manera independiente"),CHOOSE(MOD(INT((COUNTIF($I$2:I87,I87)-1)/3),4)+1,"1- Muy satisfecho/a","2- Satisfecho/a","3- Insatisfecho/a","4- Muy insatisfecho/a"),"")</f>
        <v/>
      </c>
      <c r="N87" t="str">
        <f>IF(OR(I87="Trabajo actualmente como empleado",I87="Trabajo de manera independiente"),_xlfn.LET(_xlpm.opcion,MOD(INT((COUNTIF($I$2:I87,I87)-1)/5),6)+1,CHOOSE(IF(AND(_xlpm.opcion=6,L87="Sí, completamente"),5,_xlpm.opcion),"Salario","Estabilidad laboral","Horario","Acceso a prestaciones","Oportunidades de crecimiento","Trabajar en un área relacionada con mi formación")),"")</f>
        <v/>
      </c>
      <c r="O87" s="9" t="str">
        <f>IF(OR(I87="Trabajo actualmente como empleado",I87="Trabajo de manera independiente"),_xlfn.LET(_xlpm.turno,MOD(COUNTIF($I$2:I87,I87)-1,5),_xlpm.nivel,VALUE(LEFT(M87,1)),IF(_xlpm.turno=4,"No estoy seguro/a",IF(_xlpm.turno&lt;IF(_xlpm.nivel&lt;=2,1,3),"Sí","No"))),"")</f>
        <v/>
      </c>
      <c r="P87" s="9" t="str">
        <f>_xlfn.LET(_xlpm.perfil,I87,_xlpm.turno,COUNTIF($I$2:I87,_xlpm.perfil)-1,_xlpm.busca,OR(_xlpm.perfil="Actualmente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trabajar"),IF(AND(_xlpm.trabaja,O87="No"),"Todavía no he iniciado una búsqueda activa",CHOOSE(MOD(_xlpm.turno*3,5)+1,"Menos de 1 mes","Entre 1 y 3 meses","Entre 4 y 6 meses","Más de 6 meses","Todavía no he iniciado una búsqueda activa")),"")))</f>
        <v>Entre 1 y 3 meses</v>
      </c>
      <c r="Q87" t="str">
        <f>IF(I87="Tengo un emprendimiento o quiero iniciar uno","",CHOOSE(MOD(INT((COUNTIF($I$2:I87,I87)-1)/7),3)+1,"Sí","No","Tengo una pero necesito actualizarla"))</f>
        <v>No</v>
      </c>
      <c r="R87" s="9" t="str">
        <f>IF(I87="Tengo un emprendimiento o quiero iniciar uno","",IF(I87="Busco mi primer empleo","No",IF(MOD(COUNTIF($I$2:I87,I87)-1,2)=0,"Sí","No")))</f>
        <v>No</v>
      </c>
      <c r="S87" t="str">
        <f>IF(I87="Tengo un emprendimiento o quiero iniciar uno","",CHOOSE(MOD(INT((COUNTIF($I$2:I87,I87)-1)/3),10)+1,"Portales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87" t="str">
        <f>IF(I87="Tengo un emprendimiento o quiero iniciar uno","",_xlfn.LET(_xlpm.opcion,MOD(INT((COUNTIF($I$2:I87,I87)-1)/4),6)+1,CHOOSE(IF(AND(_xlpm.opcion=3,Q87="Sí"),1,_xlpm.opcion),"Falta de experiencia","Falta de formación","Dificultades con la hoja de vida","Horarios disponibles","Transporte","Internet")))</f>
        <v>Dificultades con la hoja de vida</v>
      </c>
      <c r="U87" s="9" t="str">
        <f>IF(I87="Tengo un emprendimiento o quiero iniciar uno","",IF(MOD(INT((COUNTIF($I$2:I87,I87)-1)/3),2)=0,"Sí","No"))</f>
        <v>No</v>
      </c>
      <c r="V87" s="9" t="str">
        <f>IF(I87="Tengo un emprendimiento o quiero iniciar uno",CHOOSE(MOD(COUNTIF($I$2:I87,I87)-1,3)+1,"Tengo un emprendimiento","Estoy iniciando un emprendimiento","Me interesa emprender"),"")</f>
        <v/>
      </c>
      <c r="W87" t="str">
        <f t="shared" si="23"/>
        <v/>
      </c>
      <c r="X87" s="9" t="str">
        <f>IF(I87="Tengo un emprendimiento o quiero iniciar uno",CHOOSE(MOD(COUNTIF($I$2:I87,I87)-1,5)+1,"Falta de financiación","Falta de conocimientos administrativos","Falta de conocimientos financieros","Falta de tiempo","Falta de herramientas"),"")</f>
        <v/>
      </c>
      <c r="Y87" s="9" t="str">
        <f t="shared" si="24"/>
        <v/>
      </c>
      <c r="Z87" t="str">
        <f>IF(I87="Tengo un emprendimiento o quiero iniciar uno",CHOOSE(INT(MOD((COUNTIF($I$2:I87,I87)-1)*7,39)/13)+1,"Sí","No","No conozco programas de ese tipo"),"")</f>
        <v/>
      </c>
      <c r="AA87" t="str">
        <f t="shared" si="25"/>
        <v>Puedo hacerlo sin ayuda</v>
      </c>
      <c r="AB87" t="str">
        <f t="shared" si="25"/>
        <v>Puedo hacerlo sin ayuda</v>
      </c>
      <c r="AC87" t="str">
        <f t="shared" si="26"/>
        <v>No puedo hacerlo</v>
      </c>
      <c r="AD87" s="9" t="str">
        <f t="shared" si="27"/>
        <v>No puedo hacerlo</v>
      </c>
      <c r="AE87" t="str">
        <f t="shared" si="28"/>
        <v>Puedo hacerlo con ayuda</v>
      </c>
      <c r="AF87" s="9" t="str">
        <f t="shared" si="29"/>
        <v>Comunicación;Liderazgo</v>
      </c>
      <c r="AG87" s="9" t="str">
        <f t="shared" si="30"/>
        <v>Horarios;Falta de información</v>
      </c>
      <c r="AH87" t="str">
        <f t="shared" si="31"/>
        <v>Ferias de empleo</v>
      </c>
      <c r="AI87" s="9" t="str">
        <f t="shared" si="32"/>
        <v>Presencial y virtual</v>
      </c>
      <c r="AJ87" s="9" t="str">
        <f t="shared" si="33"/>
        <v>Diurno</v>
      </c>
      <c r="AK87" s="9" t="str">
        <f t="shared" si="34"/>
        <v>Correo electrónico</v>
      </c>
    </row>
    <row r="88" spans="1:37">
      <c r="A88" t="str">
        <f t="shared" si="35"/>
        <v>SG087</v>
      </c>
      <c r="B88" t="s">
        <v>418</v>
      </c>
      <c r="C88" s="9" t="s">
        <v>427</v>
      </c>
      <c r="D88" t="str">
        <f t="shared" si="18"/>
        <v>Femenino</v>
      </c>
      <c r="E88" t="str">
        <f t="shared" si="19"/>
        <v>De 20 a 22 años</v>
      </c>
      <c r="F88">
        <f t="shared" si="20"/>
        <v>21</v>
      </c>
      <c r="G88" s="9" t="s">
        <v>428</v>
      </c>
      <c r="H88" s="9" t="str">
        <f t="shared" si="21"/>
        <v>Técnico</v>
      </c>
      <c r="I88" s="9" t="str">
        <f t="shared" si="22"/>
        <v>Trabajo actualmente como empleado</v>
      </c>
      <c r="J88" s="13" t="str">
        <f>IF(I88="Trabajo actualmente como empleado",IF(MOD((COUNTIF($I$2:I88,"Trabajo actualmente como empleado")-1)*37,150)&lt;100,"Empleado con contrato","Empleado sin contrato formal"),IF(I88="Trabajo de manera independiente","Trabajo independiente",""))</f>
        <v>Empleado sin contrato formal</v>
      </c>
      <c r="K88" s="9" t="str">
        <f>IF(OR(I88="Trabajo actualmente como empleado",I88="Trabajo de manera independiente"),CHOOSE(MOD(COUNTIF($I$2:I88,I88)-1,4)+1,"Menos de 3 meses","De 3 a 6 meses","De 7 a 12 meses","Más de un año"),"")</f>
        <v>Menos de 3 meses</v>
      </c>
      <c r="L88" t="str">
        <f>IF(OR(I88="Trabajo actualmente como empleado",I88="Trabajo de manera independiente"),CHOOSE(MOD(COUNTIF($I$2:I88,I88)-1,3)+1,"Sí, completamente","Parcialmente","No"),"")</f>
        <v>Parcialmente</v>
      </c>
      <c r="M88" t="str">
        <f>IF(OR(I88="Trabajo actualmente como empleado",I88="Trabajo de manera independiente"),CHOOSE(MOD(INT((COUNTIF($I$2:I88,I88)-1)/3),4)+1,"1- Muy satisfecho/a","2- Satisfecho/a","3- Insatisfecho/a","4- Muy insatisfecho/a"),"")</f>
        <v>2- Satisfecho/a</v>
      </c>
      <c r="N88" t="str">
        <f>IF(OR(I88="Trabajo actualmente como empleado",I88="Trabajo de manera independiente"),_xlfn.LET(_xlpm.opcion,MOD(INT((COUNTIF($I$2:I88,I88)-1)/5),6)+1,CHOOSE(IF(AND(_xlpm.opcion=6,L88="Sí,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88" s="9" t="str">
        <f>IF(OR(I88="Trabajo actualmente como empleado",I88="Trabajo de manera independiente"),_xlfn.LET(_xlpm.turno,MOD(COUNTIF($I$2:I88,I88)-1,5),_xlpm.nivel,VALUE(LEFT(M88,1)),IF(_xlpm.turno=4,"No estoy seguro/a",IF(_xlpm.turno&lt;IF(_xlpm.nivel&lt;=2,1,3),"Sí","No"))),"")</f>
        <v>No</v>
      </c>
      <c r="P88" s="9" t="str">
        <f>_xlfn.LET(_xlpm.perfil,I88,_xlpm.turno,COUNTIF($I$2:I88,_xlpm.perfil)-1,_xlpm.busca,OR(_xlpm.perfil="Actualmente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88" t="str">
        <f>IF(I88="Tengo un emprendimiento o quiero iniciar uno","",CHOOSE(MOD(INT((COUNTIF($I$2:I88,I88)-1)/7),3)+1,"Sí","No","Tengo una pero necesito actualizarla"))</f>
        <v>No</v>
      </c>
      <c r="R88" s="9" t="str">
        <f>IF(I88="Tengo un emprendimiento o quiero iniciar uno","",IF(I88="Busco mi primer empleo","No",IF(MOD(COUNTIF($I$2:I88,I88)-1,2)=0,"Sí","No")))</f>
        <v>Sí</v>
      </c>
      <c r="S88" t="str">
        <f>IF(I88="Tengo un emprendimiento o quiero iniciar uno","",CHOOSE(MOD(INT((COUNTIF($I$2:I88,I88)-1)/3),10)+1,"Portales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88" t="str">
        <f>IF(I88="Tengo un emprendimiento o quiero iniciar uno","",_xlfn.LET(_xlpm.opcion,MOD(INT((COUNTIF($I$2:I88,I88)-1)/4),6)+1,CHOOSE(IF(AND(_xlpm.opcion=3,Q88="Sí"),1,_xlpm.opcion),"Falta de experiencia","Falta de formación","Dificultades con la hoja de vida","Horarios disponibles","Transporte","Internet")))</f>
        <v>Falta de formación</v>
      </c>
      <c r="U88" s="9" t="str">
        <f>IF(I88="Tengo un emprendimiento o quiero iniciar uno","",IF(MOD(INT((COUNTIF($I$2:I88,I88)-1)/3),2)=0,"Sí","No"))</f>
        <v>No</v>
      </c>
      <c r="V88" s="9" t="str">
        <f>IF(I88="Tengo un emprendimiento o quiero iniciar uno",CHOOSE(MOD(COUNTIF($I$2:I88,I88)-1,3)+1,"Tengo un emprendimiento","Estoy iniciando un emprendimiento","Me interesa emprender"),"")</f>
        <v/>
      </c>
      <c r="W88" t="str">
        <f t="shared" si="23"/>
        <v/>
      </c>
      <c r="X88" s="9" t="str">
        <f>IF(I88="Tengo un emprendimiento o quiero iniciar uno",CHOOSE(MOD(COUNTIF($I$2:I88,I88)-1,5)+1,"Falta de financiación","Falta de conocimientos administrativos","Falta de conocimientos financieros","Falta de tiempo","Falta de herramientas"),"")</f>
        <v/>
      </c>
      <c r="Y88" s="9" t="str">
        <f t="shared" si="24"/>
        <v/>
      </c>
      <c r="Z88" t="str">
        <f>IF(I88="Tengo un emprendimiento o quiero iniciar uno",CHOOSE(INT(MOD((COUNTIF($I$2:I88,I88)-1)*7,39)/13)+1,"Sí","No","No conozco programas de ese tipo"),"")</f>
        <v/>
      </c>
      <c r="AA88" t="str">
        <f t="shared" si="25"/>
        <v>Puedo hacerlo con ayuda</v>
      </c>
      <c r="AB88" t="str">
        <f t="shared" si="25"/>
        <v>Puedo hacerlo con ayuda</v>
      </c>
      <c r="AC88" t="str">
        <f t="shared" si="26"/>
        <v>Puedo hacerlo con ayuda</v>
      </c>
      <c r="AD88" s="9" t="str">
        <f t="shared" si="27"/>
        <v>Puedo hacerlo con ayuda</v>
      </c>
      <c r="AE88" t="str">
        <f t="shared" si="28"/>
        <v>Puedo hacerlo con ayuda</v>
      </c>
      <c r="AF88" s="9" t="str">
        <f t="shared" si="29"/>
        <v>Herramientas digitales;Educación financiera</v>
      </c>
      <c r="AG88" s="9" t="str">
        <f t="shared" si="30"/>
        <v>Horarios;Falta de información</v>
      </c>
      <c r="AH88" t="str">
        <f t="shared" si="31"/>
        <v>No conozco ninguno</v>
      </c>
      <c r="AI88" s="9" t="str">
        <f t="shared" si="32"/>
        <v>Me es indiferente</v>
      </c>
      <c r="AJ88" s="9" t="str">
        <f t="shared" si="33"/>
        <v>Nocturno</v>
      </c>
      <c r="AK88" s="9" t="str">
        <f t="shared" si="34"/>
        <v>Redes sociales</v>
      </c>
    </row>
    <row r="89" spans="1:37">
      <c r="A89" t="str">
        <f t="shared" si="35"/>
        <v>SG088</v>
      </c>
      <c r="B89" t="s">
        <v>418</v>
      </c>
      <c r="C89" s="9" t="s">
        <v>427</v>
      </c>
      <c r="D89" t="str">
        <f t="shared" si="18"/>
        <v>Femenino</v>
      </c>
      <c r="E89" t="str">
        <f t="shared" si="19"/>
        <v>De 22 a 24 años</v>
      </c>
      <c r="F89">
        <f t="shared" si="20"/>
        <v>23</v>
      </c>
      <c r="G89" s="9" t="s">
        <v>428</v>
      </c>
      <c r="H89" s="9" t="str">
        <f t="shared" si="21"/>
        <v>Tecnólogo</v>
      </c>
      <c r="I89" s="9" t="str">
        <f t="shared" si="22"/>
        <v>Trabajo de manera independiente</v>
      </c>
      <c r="J89" s="13" t="str">
        <f>IF(I89="Trabajo actualmente como empleado",IF(MOD((COUNTIF($I$2:I89,"Trabajo actualmente como empleado")-1)*37,150)&lt;100,"Empleado con contrato","Empleado sin contrato formal"),IF(I89="Trabajo de manera independiente","Trabajo independiente",""))</f>
        <v>Trabajo independiente</v>
      </c>
      <c r="K89" s="9" t="str">
        <f>IF(OR(I89="Trabajo actualmente como empleado",I89="Trabajo de manera independiente"),CHOOSE(MOD(COUNTIF($I$2:I89,I89)-1,4)+1,"Menos de 3 meses","De 3 a 6 meses","De 7 a 12 meses","Más de un año"),"")</f>
        <v>Más de un año</v>
      </c>
      <c r="L89" t="str">
        <f>IF(OR(I89="Trabajo actualmente como empleado",I89="Trabajo de manera independiente"),CHOOSE(MOD(COUNTIF($I$2:I89,I89)-1,3)+1,"Sí, completamente","Parcialmente","No"),"")</f>
        <v>Sí, completamente</v>
      </c>
      <c r="M89" t="str">
        <f>IF(OR(I89="Trabajo actualmente como empleado",I89="Trabajo de manera independiente"),CHOOSE(MOD(INT((COUNTIF($I$2:I89,I89)-1)/3),4)+1,"1- Muy satisfecho/a","2- Satisfecho/a","3- Insatisfecho/a","4- Muy insatisfecho/a"),"")</f>
        <v>2- Satisfecho/a</v>
      </c>
      <c r="N89" t="str">
        <f>IF(OR(I89="Trabajo actualmente como empleado",I89="Trabajo de manera independiente"),_xlfn.LET(_xlpm.opcion,MOD(INT((COUNTIF($I$2:I89,I89)-1)/5),6)+1,CHOOSE(IF(AND(_xlpm.opcion=6,L89="Sí, completamente"),5,_xlpm.opcion),"Salario","Estabilidad laboral","Horario","Acceso a prestaciones","Oportunidades de crecimiento","Trabajar en un área relacionada con mi formación")),"")</f>
        <v>Acceso a prestaciones</v>
      </c>
      <c r="O89" s="9" t="str">
        <f>IF(OR(I89="Trabajo actualmente como empleado",I89="Trabajo de manera independiente"),_xlfn.LET(_xlpm.turno,MOD(COUNTIF($I$2:I89,I89)-1,5),_xlpm.nivel,VALUE(LEFT(M89,1)),IF(_xlpm.turno=4,"No estoy seguro/a",IF(_xlpm.turno&lt;IF(_xlpm.nivel&lt;=2,1,3),"Sí","No"))),"")</f>
        <v>Sí</v>
      </c>
      <c r="P89" s="9" t="str">
        <f>_xlfn.LET(_xlpm.perfil,I89,_xlpm.turno,COUNTIF($I$2:I89,_xlpm.perfil)-1,_xlpm.busca,OR(_xlpm.perfil="Actualmente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trabajar"),IF(AND(_xlpm.trabaja,O89="No"),"Todavía no he iniciado una búsqueda activa",CHOOSE(MOD(_xlpm.turno*3,5)+1,"Menos de 1 mes","Entre 1 y 3 meses","Entre 4 y 6 meses","Más de 6 meses","Todavía no he iniciado una búsqueda activa")),"")))</f>
        <v>Menos de 1 mes</v>
      </c>
      <c r="Q89" t="str">
        <f>IF(I89="Tengo un emprendimiento o quiero iniciar uno","",CHOOSE(MOD(INT((COUNTIF($I$2:I89,I89)-1)/7),3)+1,"Sí","No","Tengo una pero necesito actualizarla"))</f>
        <v>Tengo una pero necesito actualizarla</v>
      </c>
      <c r="R89" s="9" t="str">
        <f>IF(I89="Tengo un emprendimiento o quiero iniciar uno","",IF(I89="Busco mi primer empleo","No",IF(MOD(COUNTIF($I$2:I89,I89)-1,2)=0,"Sí","No")))</f>
        <v>No</v>
      </c>
      <c r="S89" t="str">
        <f>IF(I89="Tengo un emprendimiento o quiero iniciar uno","",CHOOSE(MOD(INT((COUNTIF($I$2:I89,I89)-1)/3),10)+1,"Portales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89" t="str">
        <f>IF(I89="Tengo un emprendimiento o quiero iniciar uno","",_xlfn.LET(_xlpm.opcion,MOD(INT((COUNTIF($I$2:I89,I89)-1)/4),6)+1,CHOOSE(IF(AND(_xlpm.opcion=3,Q89="Sí"),1,_xlpm.opcion),"Falta de experiencia","Falta de formación","Dificultades con la hoja de vida","Horarios disponibles","Transporte","Internet")))</f>
        <v>Horarios disponibles</v>
      </c>
      <c r="U89" s="9" t="str">
        <f>IF(I89="Tengo un emprendimiento o quiero iniciar uno","",IF(MOD(INT((COUNTIF($I$2:I89,I89)-1)/3),2)=0,"Sí","No"))</f>
        <v>No</v>
      </c>
      <c r="V89" s="9" t="str">
        <f>IF(I89="Tengo un emprendimiento o quiero iniciar uno",CHOOSE(MOD(COUNTIF($I$2:I89,I89)-1,3)+1,"Tengo un emprendimiento","Estoy iniciando un emprendimiento","Me interesa emprender"),"")</f>
        <v/>
      </c>
      <c r="W89" t="str">
        <f t="shared" si="23"/>
        <v/>
      </c>
      <c r="X89" s="9" t="str">
        <f>IF(I89="Tengo un emprendimiento o quiero iniciar uno",CHOOSE(MOD(COUNTIF($I$2:I89,I89)-1,5)+1,"Falta de financiación","Falta de conocimientos administrativos","Falta de conocimientos financieros","Falta de tiempo","Falta de herramientas"),"")</f>
        <v/>
      </c>
      <c r="Y89" s="9" t="str">
        <f t="shared" si="24"/>
        <v/>
      </c>
      <c r="Z89" t="str">
        <f>IF(I89="Tengo un emprendimiento o quiero iniciar uno",CHOOSE(INT(MOD((COUNTIF($I$2:I89,I89)-1)*7,39)/13)+1,"Sí","No","No conozco programas de ese tipo"),"")</f>
        <v/>
      </c>
      <c r="AA89" t="str">
        <f t="shared" si="25"/>
        <v>Puedo hacerlo con dificultad</v>
      </c>
      <c r="AB89" t="str">
        <f t="shared" si="25"/>
        <v>Puedo hacerlo con dificultad</v>
      </c>
      <c r="AC89" t="str">
        <f t="shared" si="26"/>
        <v>Puedo hacerlo con dificultad</v>
      </c>
      <c r="AD89" s="9" t="str">
        <f t="shared" si="27"/>
        <v>Puedo hacerlo con ayuda</v>
      </c>
      <c r="AE89" t="str">
        <f t="shared" si="28"/>
        <v>Puedo hacerlo con dificultad</v>
      </c>
      <c r="AF89" s="9" t="str">
        <f t="shared" si="29"/>
        <v>Crear una hoja de vida</v>
      </c>
      <c r="AG89" s="9" t="str">
        <f t="shared" si="30"/>
        <v>Ninguna</v>
      </c>
      <c r="AH89" t="str">
        <f t="shared" si="31"/>
        <v>Ferias de empleo</v>
      </c>
      <c r="AI89" s="9" t="str">
        <f t="shared" si="32"/>
        <v>Presencial</v>
      </c>
      <c r="AJ89" s="9" t="str">
        <f t="shared" si="33"/>
        <v>Fines de semana</v>
      </c>
      <c r="AK89" s="9" t="str">
        <f t="shared" si="34"/>
        <v>WhatsApp</v>
      </c>
    </row>
    <row r="90" spans="1:37">
      <c r="A90" t="str">
        <f t="shared" si="35"/>
        <v>SG089</v>
      </c>
      <c r="B90" t="s">
        <v>418</v>
      </c>
      <c r="C90" s="9" t="s">
        <v>427</v>
      </c>
      <c r="D90" t="str">
        <f t="shared" si="18"/>
        <v>Masculino</v>
      </c>
      <c r="E90" t="str">
        <f t="shared" si="19"/>
        <v>De 24 a 26 años</v>
      </c>
      <c r="F90">
        <f t="shared" si="20"/>
        <v>25</v>
      </c>
      <c r="G90" s="9" t="s">
        <v>428</v>
      </c>
      <c r="H90" s="9" t="str">
        <f t="shared" si="21"/>
        <v>Tecnólogo</v>
      </c>
      <c r="I90" s="9" t="str">
        <f t="shared" si="22"/>
        <v>Busco mi primer empleo</v>
      </c>
      <c r="J90" s="13" t="str">
        <f>IF(I90="Trabajo actualmente como empleado",IF(MOD((COUNTIF($I$2:I90,"Trabajo actualmente como empleado")-1)*37,150)&lt;100,"Empleado con contrato","Empleado sin contrato formal"),IF(I90="Trabajo de manera independiente","Trabajo independiente",""))</f>
        <v/>
      </c>
      <c r="K90" s="9" t="str">
        <f>IF(OR(I90="Trabajo actualmente como empleado",I90="Trabajo de manera independiente"),CHOOSE(MOD(COUNTIF($I$2:I90,I90)-1,4)+1,"Menos de 3 meses","De 3 a 6 meses","De 7 a 12 meses","Más de un año"),"")</f>
        <v/>
      </c>
      <c r="L90" t="str">
        <f>IF(OR(I90="Trabajo actualmente como empleado",I90="Trabajo de manera independiente"),CHOOSE(MOD(COUNTIF($I$2:I90,I90)-1,3)+1,"Sí, completamente","Parcialmente","No"),"")</f>
        <v/>
      </c>
      <c r="M90" t="str">
        <f>IF(OR(I90="Trabajo actualmente como empleado",I90="Trabajo de manera independiente"),CHOOSE(MOD(INT((COUNTIF($I$2:I90,I90)-1)/3),4)+1,"1- Muy satisfecho/a","2- Satisfecho/a","3- Insatisfecho/a","4- Muy insatisfecho/a"),"")</f>
        <v/>
      </c>
      <c r="N90" t="str">
        <f>IF(OR(I90="Trabajo actualmente como empleado",I90="Trabajo de manera independiente"),_xlfn.LET(_xlpm.opcion,MOD(INT((COUNTIF($I$2:I90,I90)-1)/5),6)+1,CHOOSE(IF(AND(_xlpm.opcion=6,L90="Sí, completamente"),5,_xlpm.opcion),"Salario","Estabilidad laboral","Horario","Acceso a prestaciones","Oportunidades de crecimiento","Trabajar en un área relacionada con mi formación")),"")</f>
        <v/>
      </c>
      <c r="O90" s="9" t="str">
        <f>IF(OR(I90="Trabajo actualmente como empleado",I90="Trabajo de manera independiente"),_xlfn.LET(_xlpm.turno,MOD(COUNTIF($I$2:I90,I90)-1,5),_xlpm.nivel,VALUE(LEFT(M90,1)),IF(_xlpm.turno=4,"No estoy seguro/a",IF(_xlpm.turno&lt;IF(_xlpm.nivel&lt;=2,1,3),"Sí","No"))),"")</f>
        <v/>
      </c>
      <c r="P90" s="9" t="str">
        <f>_xlfn.LET(_xlpm.perfil,I90,_xlpm.turno,COUNTIF($I$2:I90,_xlpm.perfil)-1,_xlpm.busca,OR(_xlpm.perfil="Actualmente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trabajar"),IF(AND(_xlpm.trabaja,O90="No"),"Todavía no he iniciado una búsqueda activa",CHOOSE(MOD(_xlpm.turno*3,5)+1,"Menos de 1 mes","Entre 1 y 3 meses","Entre 4 y 6 meses","Más de 6 meses","Todavía no he iniciado una búsqueda activa")),"")))</f>
        <v>Menos de 1 mes</v>
      </c>
      <c r="Q90" t="str">
        <f>IF(I90="Tengo un emprendimiento o quiero iniciar uno","",CHOOSE(MOD(INT((COUNTIF($I$2:I90,I90)-1)/7),3)+1,"Sí","No","Tengo una pero necesito actualizarla"))</f>
        <v>No</v>
      </c>
      <c r="R90" s="9" t="str">
        <f>IF(I90="Tengo un emprendimiento o quiero iniciar uno","",IF(I90="Busco mi primer empleo","No",IF(MOD(COUNTIF($I$2:I90,I90)-1,2)=0,"Sí","No")))</f>
        <v>No</v>
      </c>
      <c r="S90" t="str">
        <f>IF(I90="Tengo un emprendimiento o quiero iniciar uno","",CHOOSE(MOD(INT((COUNTIF($I$2:I90,I90)-1)/3),10)+1,"Portales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90" t="str">
        <f>IF(I90="Tengo un emprendimiento o quiero iniciar uno","",_xlfn.LET(_xlpm.opcion,MOD(INT((COUNTIF($I$2:I90,I90)-1)/4),6)+1,CHOOSE(IF(AND(_xlpm.opcion=3,Q90="Sí"),1,_xlpm.opcion),"Falta de experiencia","Falta de formación","Dificultades con la hoja de vida","Horarios disponibles","Transporte","Internet")))</f>
        <v>Horarios disponibles</v>
      </c>
      <c r="U90" s="9" t="str">
        <f>IF(I90="Tengo un emprendimiento o quiero iniciar uno","",IF(MOD(INT((COUNTIF($I$2:I90,I90)-1)/3),2)=0,"Sí","No"))</f>
        <v>Sí</v>
      </c>
      <c r="V90" s="9" t="str">
        <f>IF(I90="Tengo un emprendimiento o quiero iniciar uno",CHOOSE(MOD(COUNTIF($I$2:I90,I90)-1,3)+1,"Tengo un emprendimiento","Estoy iniciando un emprendimiento","Me interesa emprender"),"")</f>
        <v/>
      </c>
      <c r="W90" t="str">
        <f t="shared" si="23"/>
        <v/>
      </c>
      <c r="X90" s="9" t="str">
        <f>IF(I90="Tengo un emprendimiento o quiero iniciar uno",CHOOSE(MOD(COUNTIF($I$2:I90,I90)-1,5)+1,"Falta de financiación","Falta de conocimientos administrativos","Falta de conocimientos financieros","Falta de tiempo","Falta de herramientas"),"")</f>
        <v/>
      </c>
      <c r="Y90" s="9" t="str">
        <f t="shared" si="24"/>
        <v/>
      </c>
      <c r="Z90" t="str">
        <f>IF(I90="Tengo un emprendimiento o quiero iniciar uno",CHOOSE(INT(MOD((COUNTIF($I$2:I90,I90)-1)*7,39)/13)+1,"Sí","No","No conozco programas de ese tipo"),"")</f>
        <v/>
      </c>
      <c r="AA90" t="str">
        <f t="shared" si="25"/>
        <v>No puedo hacerlo</v>
      </c>
      <c r="AB90" t="str">
        <f t="shared" si="25"/>
        <v>No puedo hacerlo</v>
      </c>
      <c r="AC90" t="str">
        <f t="shared" si="26"/>
        <v>No puedo hacerlo</v>
      </c>
      <c r="AD90" s="9" t="str">
        <f t="shared" si="27"/>
        <v>Puedo hacerlo con dificultad</v>
      </c>
      <c r="AE90" t="str">
        <f t="shared" si="28"/>
        <v>Puedo hacerlo sin ayuda</v>
      </c>
      <c r="AF90" s="9" t="str">
        <f t="shared" si="29"/>
        <v>Preparación para entrevista</v>
      </c>
      <c r="AG90" s="9" t="str">
        <f t="shared" si="30"/>
        <v>Ninguna</v>
      </c>
      <c r="AH90" t="str">
        <f t="shared" si="31"/>
        <v>Programas de emprendimiento</v>
      </c>
      <c r="AI90" s="9" t="str">
        <f t="shared" si="32"/>
        <v>Virtual</v>
      </c>
      <c r="AJ90" s="9" t="str">
        <f t="shared" si="33"/>
        <v>Diurno</v>
      </c>
      <c r="AK90" s="9" t="str">
        <f t="shared" si="34"/>
        <v>Correo electrónico</v>
      </c>
    </row>
    <row r="91" spans="1:37">
      <c r="A91" t="str">
        <f t="shared" si="35"/>
        <v>SG090</v>
      </c>
      <c r="B91" t="s">
        <v>418</v>
      </c>
      <c r="C91" s="9" t="s">
        <v>427</v>
      </c>
      <c r="D91" t="str">
        <f t="shared" si="18"/>
        <v>Masculino</v>
      </c>
      <c r="E91" t="str">
        <f t="shared" si="19"/>
        <v>De 26 a 28 años</v>
      </c>
      <c r="F91">
        <f t="shared" si="20"/>
        <v>28</v>
      </c>
      <c r="G91" s="9" t="s">
        <v>428</v>
      </c>
      <c r="H91" s="9" t="str">
        <f t="shared" si="21"/>
        <v>Profesional</v>
      </c>
      <c r="I91" s="9" t="str">
        <f t="shared" si="22"/>
        <v>Trabajo actualmente como empleado</v>
      </c>
      <c r="J91" s="13" t="str">
        <f>IF(I91="Trabajo actualmente como empleado",IF(MOD((COUNTIF($I$2:I91,"Trabajo actualmente como empleado")-1)*37,150)&lt;100,"Empleado con contrato","Empleado sin contrato formal"),IF(I91="Trabajo de manera independiente","Trabajo independiente",""))</f>
        <v>Empleado con contrato</v>
      </c>
      <c r="K91" s="9" t="str">
        <f>IF(OR(I91="Trabajo actualmente como empleado",I91="Trabajo de manera independiente"),CHOOSE(MOD(COUNTIF($I$2:I91,I91)-1,4)+1,"Menos de 3 meses","De 3 a 6 meses","De 7 a 12 meses","Más de un año"),"")</f>
        <v>De 3 a 6 meses</v>
      </c>
      <c r="L91" t="str">
        <f>IF(OR(I91="Trabajo actualmente como empleado",I91="Trabajo de manera independiente"),CHOOSE(MOD(COUNTIF($I$2:I91,I91)-1,3)+1,"Sí, completamente","Parcialmente","No"),"")</f>
        <v>No</v>
      </c>
      <c r="M91" t="str">
        <f>IF(OR(I91="Trabajo actualmente como empleado",I91="Trabajo de manera independiente"),CHOOSE(MOD(INT((COUNTIF($I$2:I91,I91)-1)/3),4)+1,"1- Muy satisfecho/a","2- Satisfecho/a","3- Insatisfecho/a","4- Muy insatisfecho/a"),"")</f>
        <v>2- Satisfecho/a</v>
      </c>
      <c r="N91" t="str">
        <f>IF(OR(I91="Trabajo actualmente como empleado",I91="Trabajo de manera independiente"),_xlfn.LET(_xlpm.opcion,MOD(INT((COUNTIF($I$2:I91,I91)-1)/5),6)+1,CHOOSE(IF(AND(_xlpm.opcion=6,L91="Sí,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91" s="9" t="str">
        <f>IF(OR(I91="Trabajo actualmente como empleado",I91="Trabajo de manera independiente"),_xlfn.LET(_xlpm.turno,MOD(COUNTIF($I$2:I91,I91)-1,5),_xlpm.nivel,VALUE(LEFT(M91,1)),IF(_xlpm.turno=4,"No estoy seguro/a",IF(_xlpm.turno&lt;IF(_xlpm.nivel&lt;=2,1,3),"Sí","No"))),"")</f>
        <v>No estoy seguro/a</v>
      </c>
      <c r="P91" s="9" t="str">
        <f>_xlfn.LET(_xlpm.perfil,I91,_xlpm.turno,COUNTIF($I$2:I91,_xlpm.perfil)-1,_xlpm.busca,OR(_xlpm.perfil="Actualmente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trabajar"),IF(AND(_xlpm.trabaja,O91="No"),"Todavía no he iniciado una búsqueda activa",CHOOSE(MOD(_xlpm.turno*3,5)+1,"Menos de 1 mes","Entre 1 y 3 meses","Entre 4 y 6 meses","Más de 6 meses","Todavía no he iniciado una búsqueda activa")),"")))</f>
        <v>Entre 4 y 6 meses</v>
      </c>
      <c r="Q91" t="str">
        <f>IF(I91="Tengo un emprendimiento o quiero iniciar uno","",CHOOSE(MOD(INT((COUNTIF($I$2:I91,I91)-1)/7),3)+1,"Sí","No","Tengo una pero necesito actualizarla"))</f>
        <v>No</v>
      </c>
      <c r="R91" s="9" t="str">
        <f>IF(I91="Tengo un emprendimiento o quiero iniciar uno","",IF(I91="Busco mi primer empleo","No",IF(MOD(COUNTIF($I$2:I91,I91)-1,2)=0,"Sí","No")))</f>
        <v>No</v>
      </c>
      <c r="S91" t="str">
        <f>IF(I91="Tengo un emprendimiento o quiero iniciar uno","",CHOOSE(MOD(INT((COUNTIF($I$2:I91,I91)-1)/3),10)+1,"Portales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91" t="str">
        <f>IF(I91="Tengo un emprendimiento o quiero iniciar uno","",_xlfn.LET(_xlpm.opcion,MOD(INT((COUNTIF($I$2:I91,I91)-1)/4),6)+1,CHOOSE(IF(AND(_xlpm.opcion=3,Q91="Sí"),1,_xlpm.opcion),"Falta de experiencia","Falta de formación","Dificultades con la hoja de vida","Horarios disponibles","Transporte","Internet")))</f>
        <v>Falta de formación</v>
      </c>
      <c r="U91" s="9" t="str">
        <f>IF(I91="Tengo un emprendimiento o quiero iniciar uno","",IF(MOD(INT((COUNTIF($I$2:I91,I91)-1)/3),2)=0,"Sí","No"))</f>
        <v>No</v>
      </c>
      <c r="V91" s="9" t="str">
        <f>IF(I91="Tengo un emprendimiento o quiero iniciar uno",CHOOSE(MOD(COUNTIF($I$2:I91,I91)-1,3)+1,"Tengo un emprendimiento","Estoy iniciando un emprendimiento","Me interesa emprender"),"")</f>
        <v/>
      </c>
      <c r="W91" t="str">
        <f t="shared" si="23"/>
        <v/>
      </c>
      <c r="X91" s="9" t="str">
        <f>IF(I91="Tengo un emprendimiento o quiero iniciar uno",CHOOSE(MOD(COUNTIF($I$2:I91,I91)-1,5)+1,"Falta de financiación","Falta de conocimientos administrativos","Falta de conocimientos financieros","Falta de tiempo","Falta de herramientas"),"")</f>
        <v/>
      </c>
      <c r="Y91" s="9" t="str">
        <f t="shared" si="24"/>
        <v/>
      </c>
      <c r="Z91" t="str">
        <f>IF(I91="Tengo un emprendimiento o quiero iniciar uno",CHOOSE(INT(MOD((COUNTIF($I$2:I91,I91)-1)*7,39)/13)+1,"Sí","No","No conozco programas de ese tipo"),"")</f>
        <v/>
      </c>
      <c r="AA91" t="str">
        <f t="shared" si="25"/>
        <v>Puedo hacerlo con ayuda</v>
      </c>
      <c r="AB91" t="str">
        <f t="shared" si="25"/>
        <v>Puedo hacerlo con ayuda</v>
      </c>
      <c r="AC91" t="str">
        <f t="shared" si="26"/>
        <v>Puedo hacerlo con ayuda</v>
      </c>
      <c r="AD91" s="9" t="str">
        <f t="shared" si="27"/>
        <v>Puedo hacerlo sin ayuda</v>
      </c>
      <c r="AE91" t="str">
        <f t="shared" si="28"/>
        <v>Puedo hacerlo sin ayuda</v>
      </c>
      <c r="AF91" s="9" t="str">
        <f t="shared" si="29"/>
        <v>Comunicación</v>
      </c>
      <c r="AG91" s="9" t="str">
        <f t="shared" si="30"/>
        <v>Ninguna</v>
      </c>
      <c r="AH91" t="str">
        <f t="shared" si="31"/>
        <v>Oficina de orientación laboral</v>
      </c>
      <c r="AI91" s="9" t="str">
        <f t="shared" si="32"/>
        <v>Presencial y virtual</v>
      </c>
      <c r="AJ91" s="9" t="str">
        <f t="shared" si="33"/>
        <v>Nocturno</v>
      </c>
      <c r="AK91" s="9" t="str">
        <f t="shared" si="34"/>
        <v>Celular</v>
      </c>
    </row>
    <row r="92" spans="1:37">
      <c r="A92" t="str">
        <f t="shared" si="35"/>
        <v>SG091</v>
      </c>
      <c r="B92" t="s">
        <v>418</v>
      </c>
      <c r="C92" s="9" t="s">
        <v>427</v>
      </c>
      <c r="D92" t="str">
        <f t="shared" si="18"/>
        <v>Femenino</v>
      </c>
      <c r="E92" t="str">
        <f t="shared" si="19"/>
        <v>De 18 a 20 años</v>
      </c>
      <c r="F92">
        <f t="shared" si="20"/>
        <v>18</v>
      </c>
      <c r="G92" s="9" t="s">
        <v>428</v>
      </c>
      <c r="H92" s="9" t="str">
        <f t="shared" si="21"/>
        <v>Tecnólogo</v>
      </c>
      <c r="I92" s="9" t="str">
        <f t="shared" si="22"/>
        <v>Actualmente no trabajo y estoy buscando empleo</v>
      </c>
      <c r="J92" s="13" t="str">
        <f>IF(I92="Trabajo actualmente como empleado",IF(MOD((COUNTIF($I$2:I92,"Trabajo actualmente como empleado")-1)*37,150)&lt;100,"Empleado con contrato","Empleado sin contrato formal"),IF(I92="Trabajo de manera independiente","Trabajo independiente",""))</f>
        <v/>
      </c>
      <c r="K92" s="9" t="str">
        <f>IF(OR(I92="Trabajo actualmente como empleado",I92="Trabajo de manera independiente"),CHOOSE(MOD(COUNTIF($I$2:I92,I92)-1,4)+1,"Menos de 3 meses","De 3 a 6 meses","De 7 a 12 meses","Más de un año"),"")</f>
        <v/>
      </c>
      <c r="L92" t="str">
        <f>IF(OR(I92="Trabajo actualmente como empleado",I92="Trabajo de manera independiente"),CHOOSE(MOD(COUNTIF($I$2:I92,I92)-1,3)+1,"Sí, completamente","Parcialmente","No"),"")</f>
        <v/>
      </c>
      <c r="M92" t="str">
        <f>IF(OR(I92="Trabajo actualmente como empleado",I92="Trabajo de manera independiente"),CHOOSE(MOD(INT((COUNTIF($I$2:I92,I92)-1)/3),4)+1,"1- Muy satisfecho/a","2- Satisfecho/a","3- Insatisfecho/a","4- Muy insatisfecho/a"),"")</f>
        <v/>
      </c>
      <c r="N92" t="str">
        <f>IF(OR(I92="Trabajo actualmente como empleado",I92="Trabajo de manera independiente"),_xlfn.LET(_xlpm.opcion,MOD(INT((COUNTIF($I$2:I92,I92)-1)/5),6)+1,CHOOSE(IF(AND(_xlpm.opcion=6,L92="Sí, completamente"),5,_xlpm.opcion),"Salario","Estabilidad laboral","Horario","Acceso a prestaciones","Oportunidades de crecimiento","Trabajar en un área relacionada con mi formación")),"")</f>
        <v/>
      </c>
      <c r="O92" s="9" t="str">
        <f>IF(OR(I92="Trabajo actualmente como empleado",I92="Trabajo de manera independiente"),_xlfn.LET(_xlpm.turno,MOD(COUNTIF($I$2:I92,I92)-1,5),_xlpm.nivel,VALUE(LEFT(M92,1)),IF(_xlpm.turno=4,"No estoy seguro/a",IF(_xlpm.turno&lt;IF(_xlpm.nivel&lt;=2,1,3),"Sí","No"))),"")</f>
        <v/>
      </c>
      <c r="P92" s="9" t="str">
        <f>_xlfn.LET(_xlpm.perfil,I92,_xlpm.turno,COUNTIF($I$2:I92,_xlpm.perfil)-1,_xlpm.busca,OR(_xlpm.perfil="Actualmente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trabajar"),IF(AND(_xlpm.trabaja,O92="No"),"Todavía no he iniciado una búsqueda activa",CHOOSE(MOD(_xlpm.turno*3,5)+1,"Menos de 1 mes","Entre 1 y 3 meses","Entre 4 y 6 meses","Más de 6 meses","Todavía no he iniciado una búsqueda activa")),"")))</f>
        <v>Entre 4 y 6 meses</v>
      </c>
      <c r="Q92" t="str">
        <f>IF(I92="Tengo un emprendimiento o quiero iniciar uno","",CHOOSE(MOD(INT((COUNTIF($I$2:I92,I92)-1)/7),3)+1,"Sí","No","Tengo una pero necesito actualizarla"))</f>
        <v>Tengo una pero necesito actualizarla</v>
      </c>
      <c r="R92" s="9" t="str">
        <f>IF(I92="Tengo un emprendimiento o quiero iniciar uno","",IF(I92="Busco mi primer empleo","No",IF(MOD(COUNTIF($I$2:I92,I92)-1,2)=0,"Sí","No")))</f>
        <v>Sí</v>
      </c>
      <c r="S92" t="str">
        <f>IF(I92="Tengo un emprendimiento o quiero iniciar uno","",CHOOSE(MOD(INT((COUNTIF($I$2:I92,I92)-1)/3),10)+1,"Portales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92" t="str">
        <f>IF(I92="Tengo un emprendimiento o quiero iniciar uno","",_xlfn.LET(_xlpm.opcion,MOD(INT((COUNTIF($I$2:I92,I92)-1)/4),6)+1,CHOOSE(IF(AND(_xlpm.opcion=3,Q92="Sí"),1,_xlpm.opcion),"Falta de experiencia","Falta de formación","Dificultades con la hoja de vida","Horarios disponibles","Transporte","Internet")))</f>
        <v>Horarios disponibles</v>
      </c>
      <c r="U92" s="9" t="str">
        <f>IF(I92="Tengo un emprendimiento o quiero iniciar uno","",IF(MOD(INT((COUNTIF($I$2:I92,I92)-1)/3),2)=0,"Sí","No"))</f>
        <v>Sí</v>
      </c>
      <c r="V92" s="9" t="str">
        <f>IF(I92="Tengo un emprendimiento o quiero iniciar uno",CHOOSE(MOD(COUNTIF($I$2:I92,I92)-1,3)+1,"Tengo un emprendimiento","Estoy iniciando un emprendimiento","Me interesa emprender"),"")</f>
        <v/>
      </c>
      <c r="W92" t="str">
        <f t="shared" si="23"/>
        <v/>
      </c>
      <c r="X92" s="9" t="str">
        <f>IF(I92="Tengo un emprendimiento o quiero iniciar uno",CHOOSE(MOD(COUNTIF($I$2:I92,I92)-1,5)+1,"Falta de financiación","Falta de conocimientos administrativos","Falta de conocimientos financieros","Falta de tiempo","Falta de herramientas"),"")</f>
        <v/>
      </c>
      <c r="Y92" s="9" t="str">
        <f t="shared" si="24"/>
        <v/>
      </c>
      <c r="Z92" t="str">
        <f>IF(I92="Tengo un emprendimiento o quiero iniciar uno",CHOOSE(INT(MOD((COUNTIF($I$2:I92,I92)-1)*7,39)/13)+1,"Sí","No","No conozco programas de ese tipo"),"")</f>
        <v/>
      </c>
      <c r="AA92" t="str">
        <f t="shared" si="25"/>
        <v>Puedo hacerlo sin ayuda</v>
      </c>
      <c r="AB92" t="str">
        <f t="shared" si="25"/>
        <v>Puedo hacerlo sin ayuda</v>
      </c>
      <c r="AC92" t="str">
        <f t="shared" si="26"/>
        <v>Puedo hacerlo con dificultad</v>
      </c>
      <c r="AD92" s="9" t="str">
        <f t="shared" si="27"/>
        <v>Puedo hacerlo sin ayuda</v>
      </c>
      <c r="AE92" t="str">
        <f t="shared" si="28"/>
        <v>No puedo hacerlo</v>
      </c>
      <c r="AF92" s="9" t="str">
        <f t="shared" si="29"/>
        <v>Liderazgo</v>
      </c>
      <c r="AG92" s="9" t="str">
        <f t="shared" si="30"/>
        <v>Falta de experiencia</v>
      </c>
      <c r="AH92" t="str">
        <f t="shared" si="31"/>
        <v>Programas de emprendimiento</v>
      </c>
      <c r="AI92" s="9" t="str">
        <f t="shared" si="32"/>
        <v>Presencial</v>
      </c>
      <c r="AJ92" s="9" t="str">
        <f t="shared" si="33"/>
        <v>Fines de semana</v>
      </c>
      <c r="AK92" s="9" t="str">
        <f t="shared" si="34"/>
        <v>WhatsApp</v>
      </c>
    </row>
    <row r="93" spans="1:37">
      <c r="A93" t="str">
        <f t="shared" si="35"/>
        <v>SG092</v>
      </c>
      <c r="B93" t="s">
        <v>418</v>
      </c>
      <c r="C93" s="9" t="s">
        <v>427</v>
      </c>
      <c r="D93" t="str">
        <f t="shared" si="18"/>
        <v>Masculino</v>
      </c>
      <c r="E93" t="str">
        <f t="shared" si="19"/>
        <v>De 20 a 22 años</v>
      </c>
      <c r="F93">
        <f t="shared" si="20"/>
        <v>20</v>
      </c>
      <c r="G93" s="9" t="s">
        <v>428</v>
      </c>
      <c r="H93" s="9" t="str">
        <f t="shared" si="21"/>
        <v>Tecnólogo</v>
      </c>
      <c r="I93" s="9" t="str">
        <f t="shared" si="22"/>
        <v>Estudio y quiero comenzar a trabajar</v>
      </c>
      <c r="J93" s="13" t="str">
        <f>IF(I93="Trabajo actualmente como empleado",IF(MOD((COUNTIF($I$2:I93,"Trabajo actualmente como empleado")-1)*37,150)&lt;100,"Empleado con contrato","Empleado sin contrato formal"),IF(I93="Trabajo de manera independiente","Trabajo independiente",""))</f>
        <v/>
      </c>
      <c r="K93" s="9" t="str">
        <f>IF(OR(I93="Trabajo actualmente como empleado",I93="Trabajo de manera independiente"),CHOOSE(MOD(COUNTIF($I$2:I93,I93)-1,4)+1,"Menos de 3 meses","De 3 a 6 meses","De 7 a 12 meses","Más de un año"),"")</f>
        <v/>
      </c>
      <c r="L93" t="str">
        <f>IF(OR(I93="Trabajo actualmente como empleado",I93="Trabajo de manera independiente"),CHOOSE(MOD(COUNTIF($I$2:I93,I93)-1,3)+1,"Sí, completamente","Parcialmente","No"),"")</f>
        <v/>
      </c>
      <c r="M93" t="str">
        <f>IF(OR(I93="Trabajo actualmente como empleado",I93="Trabajo de manera independiente"),CHOOSE(MOD(INT((COUNTIF($I$2:I93,I93)-1)/3),4)+1,"1- Muy satisfecho/a","2- Satisfecho/a","3- Insatisfecho/a","4- Muy insatisfecho/a"),"")</f>
        <v/>
      </c>
      <c r="N93" t="str">
        <f>IF(OR(I93="Trabajo actualmente como empleado",I93="Trabajo de manera independiente"),_xlfn.LET(_xlpm.opcion,MOD(INT((COUNTIF($I$2:I93,I93)-1)/5),6)+1,CHOOSE(IF(AND(_xlpm.opcion=6,L93="Sí, completamente"),5,_xlpm.opcion),"Salario","Estabilidad laboral","Horario","Acceso a prestaciones","Oportunidades de crecimiento","Trabajar en un área relacionada con mi formación")),"")</f>
        <v/>
      </c>
      <c r="O93" s="9" t="str">
        <f>IF(OR(I93="Trabajo actualmente como empleado",I93="Trabajo de manera independiente"),_xlfn.LET(_xlpm.turno,MOD(COUNTIF($I$2:I93,I93)-1,5),_xlpm.nivel,VALUE(LEFT(M93,1)),IF(_xlpm.turno=4,"No estoy seguro/a",IF(_xlpm.turno&lt;IF(_xlpm.nivel&lt;=2,1,3),"Sí","No"))),"")</f>
        <v/>
      </c>
      <c r="P93" s="9" t="str">
        <f>_xlfn.LET(_xlpm.perfil,I93,_xlpm.turno,COUNTIF($I$2:I93,_xlpm.perfil)-1,_xlpm.busca,OR(_xlpm.perfil="Actualmente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trabajar"),IF(AND(_xlpm.trabaja,O93="No"),"Todavía no he iniciado una búsqueda activa",CHOOSE(MOD(_xlpm.turno*3,5)+1,"Menos de 1 mes","Entre 1 y 3 meses","Entre 4 y 6 meses","Más de 6 meses","Todavía no he iniciado una búsqueda activa")),"")))</f>
        <v>Menos de 1 mes</v>
      </c>
      <c r="Q93" t="str">
        <f>IF(I93="Tengo un emprendimiento o quiero iniciar uno","",CHOOSE(MOD(INT((COUNTIF($I$2:I93,I93)-1)/7),3)+1,"Sí","No","Tengo una pero necesito actualizarla"))</f>
        <v>No</v>
      </c>
      <c r="R93" s="9" t="str">
        <f>IF(I93="Tengo un emprendimiento o quiero iniciar uno","",IF(I93="Busco mi primer empleo","No",IF(MOD(COUNTIF($I$2:I93,I93)-1,2)=0,"Sí","No")))</f>
        <v>Sí</v>
      </c>
      <c r="S93" t="str">
        <f>IF(I93="Tengo un emprendimiento o quiero iniciar uno","",CHOOSE(MOD(INT((COUNTIF($I$2:I93,I93)-1)/3),10)+1,"Portales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93" t="str">
        <f>IF(I93="Tengo un emprendimiento o quiero iniciar uno","",_xlfn.LET(_xlpm.opcion,MOD(INT((COUNTIF($I$2:I93,I93)-1)/4),6)+1,CHOOSE(IF(AND(_xlpm.opcion=3,Q93="Sí"),1,_xlpm.opcion),"Falta de experiencia","Falta de formación","Dificultades con la hoja de vida","Horarios disponibles","Transporte","Internet")))</f>
        <v>Dificultades con la hoja de vida</v>
      </c>
      <c r="U93" s="9" t="str">
        <f>IF(I93="Tengo un emprendimiento o quiero iniciar uno","",IF(MOD(INT((COUNTIF($I$2:I93,I93)-1)/3),2)=0,"Sí","No"))</f>
        <v>No</v>
      </c>
      <c r="V93" s="9" t="str">
        <f>IF(I93="Tengo un emprendimiento o quiero iniciar uno",CHOOSE(MOD(COUNTIF($I$2:I93,I93)-1,3)+1,"Tengo un emprendimiento","Estoy iniciando un emprendimiento","Me interesa emprender"),"")</f>
        <v/>
      </c>
      <c r="W93" t="str">
        <f t="shared" si="23"/>
        <v/>
      </c>
      <c r="X93" s="9" t="str">
        <f>IF(I93="Tengo un emprendimiento o quiero iniciar uno",CHOOSE(MOD(COUNTIF($I$2:I93,I93)-1,5)+1,"Falta de financiación","Falta de conocimientos administrativos","Falta de conocimientos financieros","Falta de tiempo","Falta de herramientas"),"")</f>
        <v/>
      </c>
      <c r="Y93" s="9" t="str">
        <f t="shared" si="24"/>
        <v/>
      </c>
      <c r="Z93" t="str">
        <f>IF(I93="Tengo un emprendimiento o quiero iniciar uno",CHOOSE(INT(MOD((COUNTIF($I$2:I93,I93)-1)*7,39)/13)+1,"Sí","No","No conozco programas de ese tipo"),"")</f>
        <v/>
      </c>
      <c r="AA93" t="str">
        <f t="shared" si="25"/>
        <v>Puedo hacerlo con ayuda</v>
      </c>
      <c r="AB93" t="str">
        <f t="shared" si="25"/>
        <v>Puedo hacerlo con ayuda</v>
      </c>
      <c r="AC93" t="str">
        <f t="shared" si="26"/>
        <v>No puedo hacerlo</v>
      </c>
      <c r="AD93" s="9" t="str">
        <f t="shared" si="27"/>
        <v>No puedo hacerlo</v>
      </c>
      <c r="AE93" t="str">
        <f t="shared" si="28"/>
        <v>No puedo hacerlo</v>
      </c>
      <c r="AF93" s="9" t="str">
        <f t="shared" si="29"/>
        <v>Emprendimiento</v>
      </c>
      <c r="AG93" s="9" t="str">
        <f t="shared" si="30"/>
        <v>Falta de experiencia</v>
      </c>
      <c r="AH93" t="str">
        <f t="shared" si="31"/>
        <v>No conozco ninguno</v>
      </c>
      <c r="AI93" s="9" t="str">
        <f t="shared" si="32"/>
        <v>Virtual</v>
      </c>
      <c r="AJ93" s="9" t="str">
        <f t="shared" si="33"/>
        <v>Diurno</v>
      </c>
      <c r="AK93" s="9" t="str">
        <f t="shared" si="34"/>
        <v>Redes sociales</v>
      </c>
    </row>
    <row r="94" spans="1:37">
      <c r="A94" t="str">
        <f t="shared" si="35"/>
        <v>SG093</v>
      </c>
      <c r="B94" t="s">
        <v>418</v>
      </c>
      <c r="C94" s="9" t="s">
        <v>427</v>
      </c>
      <c r="D94" t="str">
        <f t="shared" si="18"/>
        <v>Masculino</v>
      </c>
      <c r="E94" t="str">
        <f t="shared" si="19"/>
        <v>De 22 a 24 años</v>
      </c>
      <c r="F94">
        <f t="shared" si="20"/>
        <v>22</v>
      </c>
      <c r="G94" s="9" t="s">
        <v>428</v>
      </c>
      <c r="H94" s="9" t="str">
        <f t="shared" si="21"/>
        <v>Profesional</v>
      </c>
      <c r="I94" s="9" t="str">
        <f t="shared" si="22"/>
        <v>Trabajo actualmente como empleado</v>
      </c>
      <c r="J94" s="13" t="str">
        <f>IF(I94="Trabajo actualmente como empleado",IF(MOD((COUNTIF($I$2:I94,"Trabajo actualmente como empleado")-1)*37,150)&lt;100,"Empleado con contrato","Empleado sin contrato formal"),IF(I94="Trabajo de manera independiente","Trabajo independiente",""))</f>
        <v>Empleado con contrato</v>
      </c>
      <c r="K94" s="9" t="str">
        <f>IF(OR(I94="Trabajo actualmente como empleado",I94="Trabajo de manera independiente"),CHOOSE(MOD(COUNTIF($I$2:I94,I94)-1,4)+1,"Menos de 3 meses","De 3 a 6 meses","De 7 a 12 meses","Más de un año"),"")</f>
        <v>De 7 a 12 meses</v>
      </c>
      <c r="L94" t="str">
        <f>IF(OR(I94="Trabajo actualmente como empleado",I94="Trabajo de manera independiente"),CHOOSE(MOD(COUNTIF($I$2:I94,I94)-1,3)+1,"Sí, completamente","Parcialmente","No"),"")</f>
        <v>Sí, completamente</v>
      </c>
      <c r="M94" t="str">
        <f>IF(OR(I94="Trabajo actualmente como empleado",I94="Trabajo de manera independiente"),CHOOSE(MOD(INT((COUNTIF($I$2:I94,I94)-1)/3),4)+1,"1- Muy satisfecho/a","2- Satisfecho/a","3- Insatisfecho/a","4- Muy insatisfecho/a"),"")</f>
        <v>3- Insatisfecho/a</v>
      </c>
      <c r="N94" t="str">
        <f>IF(OR(I94="Trabajo actualmente como empleado",I94="Trabajo de manera independiente"),_xlfn.LET(_xlpm.opcion,MOD(INT((COUNTIF($I$2:I94,I94)-1)/5),6)+1,CHOOSE(IF(AND(_xlpm.opcion=6,L94="Sí, completamente"),5,_xlpm.opcion),"Salario","Estabilidad laboral","Horario","Acceso a prestaciones","Oportunidades de crecimiento","Trabajar en un área relacionada con mi formación")),"")</f>
        <v>Salario</v>
      </c>
      <c r="O94" s="9" t="str">
        <f>IF(OR(I94="Trabajo actualmente como empleado",I94="Trabajo de manera independiente"),_xlfn.LET(_xlpm.turno,MOD(COUNTIF($I$2:I94,I94)-1,5),_xlpm.nivel,VALUE(LEFT(M94,1)),IF(_xlpm.turno=4,"No estoy seguro/a",IF(_xlpm.turno&lt;IF(_xlpm.nivel&lt;=2,1,3),"Sí","No"))),"")</f>
        <v>Sí</v>
      </c>
      <c r="P94" s="9" t="str">
        <f>_xlfn.LET(_xlpm.perfil,I94,_xlpm.turno,COUNTIF($I$2:I94,_xlpm.perfil)-1,_xlpm.busca,OR(_xlpm.perfil="Actualmente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trabajar"),IF(AND(_xlpm.trabaja,O94="No"),"Todavía no he iniciado una búsqueda activa",CHOOSE(MOD(_xlpm.turno*3,5)+1,"Menos de 1 mes","Entre 1 y 3 meses","Entre 4 y 6 meses","Más de 6 meses","Todavía no he iniciado una búsqueda activa")),"")))</f>
        <v>Menos de 1 mes</v>
      </c>
      <c r="Q94" t="str">
        <f>IF(I94="Tengo un emprendimiento o quiero iniciar uno","",CHOOSE(MOD(INT((COUNTIF($I$2:I94,I94)-1)/7),3)+1,"Sí","No","Tengo una pero necesito actualizarla"))</f>
        <v>No</v>
      </c>
      <c r="R94" s="9" t="str">
        <f>IF(I94="Tengo un emprendimiento o quiero iniciar uno","",IF(I94="Busco mi primer empleo","No",IF(MOD(COUNTIF($I$2:I94,I94)-1,2)=0,"Sí","No")))</f>
        <v>Sí</v>
      </c>
      <c r="S94" t="str">
        <f>IF(I94="Tengo un emprendimiento o quiero iniciar uno","",CHOOSE(MOD(INT((COUNTIF($I$2:I94,I94)-1)/3),10)+1,"Portales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94" t="str">
        <f>IF(I94="Tengo un emprendimiento o quiero iniciar uno","",_xlfn.LET(_xlpm.opcion,MOD(INT((COUNTIF($I$2:I94,I94)-1)/4),6)+1,CHOOSE(IF(AND(_xlpm.opcion=3,Q94="Sí"),1,_xlpm.opcion),"Falta de experiencia","Falta de formación","Dificultades con la hoja de vida","Horarios disponibles","Transporte","Internet")))</f>
        <v>Falta de formación</v>
      </c>
      <c r="U94" s="9" t="str">
        <f>IF(I94="Tengo un emprendimiento o quiero iniciar uno","",IF(MOD(INT((COUNTIF($I$2:I94,I94)-1)/3),2)=0,"Sí","No"))</f>
        <v>Sí</v>
      </c>
      <c r="V94" s="9" t="str">
        <f>IF(I94="Tengo un emprendimiento o quiero iniciar uno",CHOOSE(MOD(COUNTIF($I$2:I94,I94)-1,3)+1,"Tengo un emprendimiento","Estoy iniciando un emprendimiento","Me interesa emprender"),"")</f>
        <v/>
      </c>
      <c r="W94" t="str">
        <f t="shared" si="23"/>
        <v/>
      </c>
      <c r="X94" s="9" t="str">
        <f>IF(I94="Tengo un emprendimiento o quiero iniciar uno",CHOOSE(MOD(COUNTIF($I$2:I94,I94)-1,5)+1,"Falta de financiación","Falta de conocimientos administrativos","Falta de conocimientos financieros","Falta de tiempo","Falta de herramientas"),"")</f>
        <v/>
      </c>
      <c r="Y94" s="9" t="str">
        <f t="shared" si="24"/>
        <v/>
      </c>
      <c r="Z94" t="str">
        <f>IF(I94="Tengo un emprendimiento o quiero iniciar uno",CHOOSE(INT(MOD((COUNTIF($I$2:I94,I94)-1)*7,39)/13)+1,"Sí","No","No conozco programas de ese tipo"),"")</f>
        <v/>
      </c>
      <c r="AA94" t="str">
        <f t="shared" si="25"/>
        <v>Puedo hacerlo con dificultad</v>
      </c>
      <c r="AB94" t="str">
        <f t="shared" si="25"/>
        <v>Puedo hacerlo con dificultad</v>
      </c>
      <c r="AC94" t="str">
        <f t="shared" si="26"/>
        <v>Puedo hacerlo con ayuda</v>
      </c>
      <c r="AD94" s="9" t="str">
        <f t="shared" si="27"/>
        <v>Puedo hacerlo con ayuda</v>
      </c>
      <c r="AE94" t="str">
        <f t="shared" si="28"/>
        <v>Puedo hacerlo con ayuda</v>
      </c>
      <c r="AF94" s="9" t="str">
        <f t="shared" si="29"/>
        <v>Herramientas digitales</v>
      </c>
      <c r="AG94" s="9" t="str">
        <f t="shared" si="30"/>
        <v>Falta de experiencia</v>
      </c>
      <c r="AH94" t="str">
        <f t="shared" si="31"/>
        <v>Ferias de empleo</v>
      </c>
      <c r="AI94" s="9" t="str">
        <f t="shared" si="32"/>
        <v>Presencial y virtual</v>
      </c>
      <c r="AJ94" s="9" t="str">
        <f t="shared" si="33"/>
        <v>Mañana entre semana</v>
      </c>
      <c r="AK94" s="9" t="str">
        <f t="shared" si="34"/>
        <v>Celular</v>
      </c>
    </row>
    <row r="95" spans="1:37">
      <c r="A95" t="str">
        <f t="shared" si="35"/>
        <v>SG094</v>
      </c>
      <c r="B95" t="s">
        <v>418</v>
      </c>
      <c r="C95" s="9" t="s">
        <v>427</v>
      </c>
      <c r="D95" t="str">
        <f t="shared" si="18"/>
        <v>Femenino</v>
      </c>
      <c r="E95" t="str">
        <f t="shared" si="19"/>
        <v>De 24 a 26 años</v>
      </c>
      <c r="F95">
        <f t="shared" si="20"/>
        <v>24</v>
      </c>
      <c r="G95" s="9" t="s">
        <v>428</v>
      </c>
      <c r="H95" s="9" t="str">
        <f t="shared" si="21"/>
        <v>Posgrado</v>
      </c>
      <c r="I95" s="9" t="str">
        <f t="shared" si="22"/>
        <v>Actualmente no trabajo y estoy buscando empleo</v>
      </c>
      <c r="J95" s="13" t="str">
        <f>IF(I95="Trabajo actualmente como empleado",IF(MOD((COUNTIF($I$2:I95,"Trabajo actualmente como empleado")-1)*37,150)&lt;100,"Empleado con contrato","Empleado sin contrato formal"),IF(I95="Trabajo de manera independiente","Trabajo independiente",""))</f>
        <v/>
      </c>
      <c r="K95" s="9" t="str">
        <f>IF(OR(I95="Trabajo actualmente como empleado",I95="Trabajo de manera independiente"),CHOOSE(MOD(COUNTIF($I$2:I95,I95)-1,4)+1,"Menos de 3 meses","De 3 a 6 meses","De 7 a 12 meses","Más de un año"),"")</f>
        <v/>
      </c>
      <c r="L95" t="str">
        <f>IF(OR(I95="Trabajo actualmente como empleado",I95="Trabajo de manera independiente"),CHOOSE(MOD(COUNTIF($I$2:I95,I95)-1,3)+1,"Sí, completamente","Parcialmente","No"),"")</f>
        <v/>
      </c>
      <c r="M95" t="str">
        <f>IF(OR(I95="Trabajo actualmente como empleado",I95="Trabajo de manera independiente"),CHOOSE(MOD(INT((COUNTIF($I$2:I95,I95)-1)/3),4)+1,"1- Muy satisfecho/a","2- Satisfecho/a","3- Insatisfecho/a","4- Muy insatisfecho/a"),"")</f>
        <v/>
      </c>
      <c r="N95" t="str">
        <f>IF(OR(I95="Trabajo actualmente como empleado",I95="Trabajo de manera independiente"),_xlfn.LET(_xlpm.opcion,MOD(INT((COUNTIF($I$2:I95,I95)-1)/5),6)+1,CHOOSE(IF(AND(_xlpm.opcion=6,L95="Sí, completamente"),5,_xlpm.opcion),"Salario","Estabilidad laboral","Horario","Acceso a prestaciones","Oportunidades de crecimiento","Trabajar en un área relacionada con mi formación")),"")</f>
        <v/>
      </c>
      <c r="O95" s="9" t="str">
        <f>IF(OR(I95="Trabajo actualmente como empleado",I95="Trabajo de manera independiente"),_xlfn.LET(_xlpm.turno,MOD(COUNTIF($I$2:I95,I95)-1,5),_xlpm.nivel,VALUE(LEFT(M95,1)),IF(_xlpm.turno=4,"No estoy seguro/a",IF(_xlpm.turno&lt;IF(_xlpm.nivel&lt;=2,1,3),"Sí","No"))),"")</f>
        <v/>
      </c>
      <c r="P95" s="9" t="str">
        <f>_xlfn.LET(_xlpm.perfil,I95,_xlpm.turno,COUNTIF($I$2:I95,_xlpm.perfil)-1,_xlpm.busca,OR(_xlpm.perfil="Actualmente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trabajar"),IF(AND(_xlpm.trabaja,O95="No"),"Todavía no he iniciado una búsqueda activa",CHOOSE(MOD(_xlpm.turno*3,5)+1,"Menos de 1 mes","Entre 1 y 3 meses","Entre 4 y 6 meses","Más de 6 meses","Todavía no he iniciado una búsqueda activa")),"")))</f>
        <v>Entre 1 y 3 meses</v>
      </c>
      <c r="Q95" t="str">
        <f>IF(I95="Tengo un emprendimiento o quiero iniciar uno","",CHOOSE(MOD(INT((COUNTIF($I$2:I95,I95)-1)/7),3)+1,"Sí","No","Tengo una pero necesito actualizarla"))</f>
        <v>Tengo una pero necesito actualizarla</v>
      </c>
      <c r="R95" s="9" t="str">
        <f>IF(I95="Tengo un emprendimiento o quiero iniciar uno","",IF(I95="Busco mi primer empleo","No",IF(MOD(COUNTIF($I$2:I95,I95)-1,2)=0,"Sí","No")))</f>
        <v>No</v>
      </c>
      <c r="S95" t="str">
        <f>IF(I95="Tengo un emprendimiento o quiero iniciar uno","",CHOOSE(MOD(INT((COUNTIF($I$2:I95,I95)-1)/3),10)+1,"Portales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95" t="str">
        <f>IF(I95="Tengo un emprendimiento o quiero iniciar uno","",_xlfn.LET(_xlpm.opcion,MOD(INT((COUNTIF($I$2:I95,I95)-1)/4),6)+1,CHOOSE(IF(AND(_xlpm.opcion=3,Q95="Sí"),1,_xlpm.opcion),"Falta de experiencia","Falta de formación","Dificultades con la hoja de vida","Horarios disponibles","Transporte","Internet")))</f>
        <v>Horarios disponibles</v>
      </c>
      <c r="U95" s="9" t="str">
        <f>IF(I95="Tengo un emprendimiento o quiero iniciar uno","",IF(MOD(INT((COUNTIF($I$2:I95,I95)-1)/3),2)=0,"Sí","No"))</f>
        <v>No</v>
      </c>
      <c r="V95" s="9" t="str">
        <f>IF(I95="Tengo un emprendimiento o quiero iniciar uno",CHOOSE(MOD(COUNTIF($I$2:I95,I95)-1,3)+1,"Tengo un emprendimiento","Estoy iniciando un emprendimiento","Me interesa emprender"),"")</f>
        <v/>
      </c>
      <c r="W95" t="str">
        <f t="shared" si="23"/>
        <v/>
      </c>
      <c r="X95" s="9" t="str">
        <f>IF(I95="Tengo un emprendimiento o quiero iniciar uno",CHOOSE(MOD(COUNTIF($I$2:I95,I95)-1,5)+1,"Falta de financiación","Falta de conocimientos administrativos","Falta de conocimientos financieros","Falta de tiempo","Falta de herramientas"),"")</f>
        <v/>
      </c>
      <c r="Y95" s="9" t="str">
        <f t="shared" si="24"/>
        <v/>
      </c>
      <c r="Z95" t="str">
        <f>IF(I95="Tengo un emprendimiento o quiero iniciar uno",CHOOSE(INT(MOD((COUNTIF($I$2:I95,I95)-1)*7,39)/13)+1,"Sí","No","No conozco programas de ese tipo"),"")</f>
        <v/>
      </c>
      <c r="AA95" t="str">
        <f t="shared" si="25"/>
        <v>No puedo hacerlo</v>
      </c>
      <c r="AB95" t="str">
        <f t="shared" si="25"/>
        <v>No puedo hacerlo</v>
      </c>
      <c r="AC95" t="str">
        <f t="shared" si="26"/>
        <v>Puedo hacerlo con dificultad</v>
      </c>
      <c r="AD95" s="9" t="str">
        <f t="shared" si="27"/>
        <v>Puedo hacerlo con dificultad</v>
      </c>
      <c r="AE95" t="str">
        <f t="shared" si="28"/>
        <v>Puedo hacerlo con dificultad</v>
      </c>
      <c r="AF95" s="9" t="str">
        <f t="shared" si="29"/>
        <v>Educación financiera</v>
      </c>
      <c r="AG95" s="9" t="str">
        <f t="shared" si="30"/>
        <v>Distancia</v>
      </c>
      <c r="AH95" t="str">
        <f t="shared" si="31"/>
        <v>No conozco ninguno</v>
      </c>
      <c r="AI95" s="9" t="str">
        <f t="shared" si="32"/>
        <v>Me es indiferente</v>
      </c>
      <c r="AJ95" s="9" t="str">
        <f t="shared" si="33"/>
        <v>Fines de semana</v>
      </c>
      <c r="AK95" s="9" t="str">
        <f t="shared" si="34"/>
        <v>Correo electrónico</v>
      </c>
    </row>
    <row r="96" spans="1:37">
      <c r="A96" t="str">
        <f t="shared" si="35"/>
        <v>SG095</v>
      </c>
      <c r="B96" t="s">
        <v>418</v>
      </c>
      <c r="C96" s="9" t="s">
        <v>427</v>
      </c>
      <c r="D96" t="str">
        <f t="shared" si="18"/>
        <v>Femenino</v>
      </c>
      <c r="E96" t="str">
        <f t="shared" si="19"/>
        <v>De 26 a 28 años</v>
      </c>
      <c r="F96">
        <f t="shared" si="20"/>
        <v>26</v>
      </c>
      <c r="G96" s="9" t="s">
        <v>428</v>
      </c>
      <c r="H96" s="9" t="str">
        <f t="shared" si="21"/>
        <v>Bachiller</v>
      </c>
      <c r="I96" s="9" t="str">
        <f t="shared" si="22"/>
        <v>Tengo un emprendimiento o quiero iniciar uno</v>
      </c>
      <c r="J96" s="13" t="str">
        <f>IF(I96="Trabajo actualmente como empleado",IF(MOD((COUNTIF($I$2:I96,"Trabajo actualmente como empleado")-1)*37,150)&lt;100,"Empleado con contrato","Empleado sin contrato formal"),IF(I96="Trabajo de manera independiente","Trabajo independiente",""))</f>
        <v/>
      </c>
      <c r="K96" s="9" t="str">
        <f>IF(OR(I96="Trabajo actualmente como empleado",I96="Trabajo de manera independiente"),CHOOSE(MOD(COUNTIF($I$2:I96,I96)-1,4)+1,"Menos de 3 meses","De 3 a 6 meses","De 7 a 12 meses","Más de un año"),"")</f>
        <v/>
      </c>
      <c r="L96" t="str">
        <f>IF(OR(I96="Trabajo actualmente como empleado",I96="Trabajo de manera independiente"),CHOOSE(MOD(COUNTIF($I$2:I96,I96)-1,3)+1,"Sí, completamente","Parcialmente","No"),"")</f>
        <v/>
      </c>
      <c r="M96" t="str">
        <f>IF(OR(I96="Trabajo actualmente como empleado",I96="Trabajo de manera independiente"),CHOOSE(MOD(INT((COUNTIF($I$2:I96,I96)-1)/3),4)+1,"1- Muy satisfecho/a","2- Satisfecho/a","3- Insatisfecho/a","4- Muy insatisfecho/a"),"")</f>
        <v/>
      </c>
      <c r="N96" t="str">
        <f>IF(OR(I96="Trabajo actualmente como empleado",I96="Trabajo de manera independiente"),_xlfn.LET(_xlpm.opcion,MOD(INT((COUNTIF($I$2:I96,I96)-1)/5),6)+1,CHOOSE(IF(AND(_xlpm.opcion=6,L96="Sí, completamente"),5,_xlpm.opcion),"Salario","Estabilidad laboral","Horario","Acceso a prestaciones","Oportunidades de crecimiento","Trabajar en un área relacionada con mi formación")),"")</f>
        <v/>
      </c>
      <c r="O96" s="9" t="str">
        <f>IF(OR(I96="Trabajo actualmente como empleado",I96="Trabajo de manera independiente"),_xlfn.LET(_xlpm.turno,MOD(COUNTIF($I$2:I96,I96)-1,5),_xlpm.nivel,VALUE(LEFT(M96,1)),IF(_xlpm.turno=4,"No estoy seguro/a",IF(_xlpm.turno&lt;IF(_xlpm.nivel&lt;=2,1,3),"Sí","No"))),"")</f>
        <v/>
      </c>
      <c r="P96" s="9" t="str">
        <f>_xlfn.LET(_xlpm.perfil,I96,_xlpm.turno,COUNTIF($I$2:I96,_xlpm.perfil)-1,_xlpm.busca,OR(_xlpm.perfil="Actualmente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trabajar"),IF(AND(_xlpm.trabaja,O96="No"),"Todavía no he iniciado una búsqueda activa",CHOOSE(MOD(_xlpm.turno*3,5)+1,"Menos de 1 mes","Entre 1 y 3 meses","Entre 4 y 6 meses","Más de 6 meses","Todavía no he iniciado una búsqueda activa")),"")))</f>
        <v/>
      </c>
      <c r="Q96" t="str">
        <f>IF(I96="Tengo un emprendimiento o quiero iniciar uno","",CHOOSE(MOD(INT((COUNTIF($I$2:I96,I96)-1)/7),3)+1,"Sí","No","Tengo una pero necesito actualizarla"))</f>
        <v/>
      </c>
      <c r="R96" s="9" t="str">
        <f>IF(I96="Tengo un emprendimiento o quiero iniciar uno","",IF(I96="Busco mi primer empleo","No",IF(MOD(COUNTIF($I$2:I96,I96)-1,2)=0,"Sí","No")))</f>
        <v/>
      </c>
      <c r="S96" t="str">
        <f>IF(I96="Tengo un emprendimiento o quiero iniciar uno","",CHOOSE(MOD(INT((COUNTIF($I$2:I96,I96)-1)/3),10)+1,"Portales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96" t="str">
        <f>IF(I96="Tengo un emprendimiento o quiero iniciar uno","",_xlfn.LET(_xlpm.opcion,MOD(INT((COUNTIF($I$2:I96,I96)-1)/4),6)+1,CHOOSE(IF(AND(_xlpm.opcion=3,Q96="Sí"),1,_xlpm.opcion),"Falta de experiencia","Falta de formación","Dificultades con la hoja de vida","Horarios disponibles","Transporte","Internet")))</f>
        <v/>
      </c>
      <c r="U96" s="9" t="str">
        <f>IF(I96="Tengo un emprendimiento o quiero iniciar uno","",IF(MOD(INT((COUNTIF($I$2:I96,I96)-1)/3),2)=0,"Sí","No"))</f>
        <v/>
      </c>
      <c r="V96" s="9" t="str">
        <f>IF(I96="Tengo un emprendimiento o quiero iniciar uno",CHOOSE(MOD(COUNTIF($I$2:I96,I96)-1,3)+1,"Tengo un emprendimiento","Estoy iniciando un emprendimiento","Me interesa emprender"),"")</f>
        <v>Estoy iniciando un emprendimiento</v>
      </c>
      <c r="W96" t="str">
        <f t="shared" si="23"/>
        <v>Inicio</v>
      </c>
      <c r="X96" s="9" t="str">
        <f>IF(I96="Tengo un emprendimiento o quiero iniciar uno",CHOOSE(MOD(COUNTIF($I$2:I96,I96)-1,5)+1,"Falta de financiación","Falta de conocimientos administrativos","Falta de conocimientos financieros","Falta de tiempo","Falta de herramientas"),"")</f>
        <v>Falta de conocimientos financieros</v>
      </c>
      <c r="Y96" s="9" t="str">
        <f t="shared" si="24"/>
        <v>Falta de conocimientos financieros</v>
      </c>
      <c r="Z96" t="str">
        <f>IF(I96="Tengo un emprendimiento o quiero iniciar uno",CHOOSE(INT(MOD((COUNTIF($I$2:I96,I96)-1)*7,39)/13)+1,"Sí","No","No conozco programas de ese tipo"),"")</f>
        <v>Sí</v>
      </c>
      <c r="AA96" t="str">
        <f t="shared" si="25"/>
        <v>Puedo hacerlo con ayuda</v>
      </c>
      <c r="AB96" t="str">
        <f t="shared" si="25"/>
        <v>Puedo hacerlo con ayuda</v>
      </c>
      <c r="AC96" t="str">
        <f t="shared" si="26"/>
        <v>Puedo hacerlo sin ayuda</v>
      </c>
      <c r="AD96" s="9" t="str">
        <f t="shared" si="27"/>
        <v>Puedo hacerlo con dificultad</v>
      </c>
      <c r="AE96" t="str">
        <f t="shared" si="28"/>
        <v>Puedo hacerlo con dificultad</v>
      </c>
      <c r="AF96" s="9" t="str">
        <f t="shared" si="29"/>
        <v>Crear una hoja de vida;Preparación para entrevista</v>
      </c>
      <c r="AG96" s="9" t="str">
        <f t="shared" si="30"/>
        <v>Distancia</v>
      </c>
      <c r="AH96" t="str">
        <f t="shared" si="31"/>
        <v>Oficina de orientación laboral</v>
      </c>
      <c r="AI96" s="9" t="str">
        <f t="shared" si="32"/>
        <v>Presencial</v>
      </c>
      <c r="AJ96" s="9" t="str">
        <f t="shared" si="33"/>
        <v>Diurno</v>
      </c>
      <c r="AK96" s="9" t="str">
        <f t="shared" si="34"/>
        <v>Redes sociales</v>
      </c>
    </row>
    <row r="97" spans="1:37">
      <c r="A97" t="str">
        <f t="shared" si="35"/>
        <v>SG096</v>
      </c>
      <c r="B97" t="s">
        <v>418</v>
      </c>
      <c r="C97" s="9" t="s">
        <v>427</v>
      </c>
      <c r="D97" t="str">
        <f t="shared" si="18"/>
        <v>Masculino</v>
      </c>
      <c r="E97" t="str">
        <f t="shared" si="19"/>
        <v>De 18 a 20 años</v>
      </c>
      <c r="F97">
        <f t="shared" si="20"/>
        <v>19</v>
      </c>
      <c r="G97" s="9" t="s">
        <v>428</v>
      </c>
      <c r="H97" s="9" t="str">
        <f t="shared" si="21"/>
        <v>Bachiller</v>
      </c>
      <c r="I97" s="9" t="str">
        <f t="shared" si="22"/>
        <v>Trabajo actualmente como empleado</v>
      </c>
      <c r="J97" s="13" t="str">
        <f>IF(I97="Trabajo actualmente como empleado",IF(MOD((COUNTIF($I$2:I97,"Trabajo actualmente como empleado")-1)*37,150)&lt;100,"Empleado con contrato","Empleado sin contrato formal"),IF(I97="Trabajo de manera independiente","Trabajo independiente",""))</f>
        <v>Empleado con contrato</v>
      </c>
      <c r="K97" s="9" t="str">
        <f>IF(OR(I97="Trabajo actualmente como empleado",I97="Trabajo de manera independiente"),CHOOSE(MOD(COUNTIF($I$2:I97,I97)-1,4)+1,"Menos de 3 meses","De 3 a 6 meses","De 7 a 12 meses","Más de un año"),"")</f>
        <v>Más de un año</v>
      </c>
      <c r="L97" t="str">
        <f>IF(OR(I97="Trabajo actualmente como empleado",I97="Trabajo de manera independiente"),CHOOSE(MOD(COUNTIF($I$2:I97,I97)-1,3)+1,"Sí, completamente","Parcialmente","No"),"")</f>
        <v>Parcialmente</v>
      </c>
      <c r="M97" t="str">
        <f>IF(OR(I97="Trabajo actualmente como empleado",I97="Trabajo de manera independiente"),CHOOSE(MOD(INT((COUNTIF($I$2:I97,I97)-1)/3),4)+1,"1- Muy satisfecho/a","2- Satisfecho/a","3- Insatisfecho/a","4- Muy insatisfecho/a"),"")</f>
        <v>3- Insatisfecho/a</v>
      </c>
      <c r="N97" t="str">
        <f>IF(OR(I97="Trabajo actualmente como empleado",I97="Trabajo de manera independiente"),_xlfn.LET(_xlpm.opcion,MOD(INT((COUNTIF($I$2:I97,I97)-1)/5),6)+1,CHOOSE(IF(AND(_xlpm.opcion=6,L97="Sí, completamente"),5,_xlpm.opcion),"Salario","Estabilidad laboral","Horario","Acceso a prestaciones","Oportunidades de crecimiento","Trabajar en un área relacionada con mi formación")),"")</f>
        <v>Salario</v>
      </c>
      <c r="O97" s="9" t="str">
        <f>IF(OR(I97="Trabajo actualmente como empleado",I97="Trabajo de manera independiente"),_xlfn.LET(_xlpm.turno,MOD(COUNTIF($I$2:I97,I97)-1,5),_xlpm.nivel,VALUE(LEFT(M97,1)),IF(_xlpm.turno=4,"No estoy seguro/a",IF(_xlpm.turno&lt;IF(_xlpm.nivel&lt;=2,1,3),"Sí","No"))),"")</f>
        <v>Sí</v>
      </c>
      <c r="P97" s="9" t="str">
        <f>_xlfn.LET(_xlpm.perfil,I97,_xlpm.turno,COUNTIF($I$2:I97,_xlpm.perfil)-1,_xlpm.busca,OR(_xlpm.perfil="Actualmente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trabajar"),IF(AND(_xlpm.trabaja,O97="No"),"Todavía no he iniciado una búsqueda activa",CHOOSE(MOD(_xlpm.turno*3,5)+1,"Menos de 1 mes","Entre 1 y 3 meses","Entre 4 y 6 meses","Más de 6 meses","Todavía no he iniciado una búsqueda activa")),"")))</f>
        <v>Más de 6 meses</v>
      </c>
      <c r="Q97" t="str">
        <f>IF(I97="Tengo un emprendimiento o quiero iniciar uno","",CHOOSE(MOD(INT((COUNTIF($I$2:I97,I97)-1)/7),3)+1,"Sí","No","Tengo una pero necesito actualizarla"))</f>
        <v>No</v>
      </c>
      <c r="R97" s="9" t="str">
        <f>IF(I97="Tengo un emprendimiento o quiero iniciar uno","",IF(I97="Busco mi primer empleo","No",IF(MOD(COUNTIF($I$2:I97,I97)-1,2)=0,"Sí","No")))</f>
        <v>No</v>
      </c>
      <c r="S97" t="str">
        <f>IF(I97="Tengo un emprendimiento o quiero iniciar uno","",CHOOSE(MOD(INT((COUNTIF($I$2:I97,I97)-1)/3),10)+1,"Portales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97" t="str">
        <f>IF(I97="Tengo un emprendimiento o quiero iniciar uno","",_xlfn.LET(_xlpm.opcion,MOD(INT((COUNTIF($I$2:I97,I97)-1)/4),6)+1,CHOOSE(IF(AND(_xlpm.opcion=3,Q97="Sí"),1,_xlpm.opcion),"Falta de experiencia","Falta de formación","Dificultades con la hoja de vida","Horarios disponibles","Transporte","Internet")))</f>
        <v>Falta de formación</v>
      </c>
      <c r="U97" s="9" t="str">
        <f>IF(I97="Tengo un emprendimiento o quiero iniciar uno","",IF(MOD(INT((COUNTIF($I$2:I97,I97)-1)/3),2)=0,"Sí","No"))</f>
        <v>Sí</v>
      </c>
      <c r="V97" s="9" t="str">
        <f>IF(I97="Tengo un emprendimiento o quiero iniciar uno",CHOOSE(MOD(COUNTIF($I$2:I97,I97)-1,3)+1,"Tengo un emprendimiento","Estoy iniciando un emprendimiento","Me interesa emprender"),"")</f>
        <v/>
      </c>
      <c r="W97" t="str">
        <f t="shared" si="23"/>
        <v/>
      </c>
      <c r="X97" s="9" t="str">
        <f>IF(I97="Tengo un emprendimiento o quiero iniciar uno",CHOOSE(MOD(COUNTIF($I$2:I97,I97)-1,5)+1,"Falta de financiación","Falta de conocimientos administrativos","Falta de conocimientos financieros","Falta de tiempo","Falta de herramientas"),"")</f>
        <v/>
      </c>
      <c r="Y97" s="9" t="str">
        <f t="shared" si="24"/>
        <v/>
      </c>
      <c r="Z97" t="str">
        <f>IF(I97="Tengo un emprendimiento o quiero iniciar uno",CHOOSE(INT(MOD((COUNTIF($I$2:I97,I97)-1)*7,39)/13)+1,"Sí","No","No conozco programas de ese tipo"),"")</f>
        <v/>
      </c>
      <c r="AA97" t="str">
        <f t="shared" si="25"/>
        <v>Puedo hacerlo sin ayuda</v>
      </c>
      <c r="AB97" t="str">
        <f t="shared" si="25"/>
        <v>Puedo hacerlo sin ayuda</v>
      </c>
      <c r="AC97" t="str">
        <f t="shared" si="26"/>
        <v>Puedo hacerlo con ayuda</v>
      </c>
      <c r="AD97" s="9" t="str">
        <f t="shared" si="27"/>
        <v>Puedo hacerlo sin ayuda</v>
      </c>
      <c r="AE97" t="str">
        <f t="shared" si="28"/>
        <v>Puedo hacerlo sin ayuda</v>
      </c>
      <c r="AF97" s="9" t="str">
        <f t="shared" si="29"/>
        <v>Comunicación;Liderazgo</v>
      </c>
      <c r="AG97" s="9" t="str">
        <f t="shared" si="30"/>
        <v>Distancia</v>
      </c>
      <c r="AH97" t="str">
        <f t="shared" si="31"/>
        <v>Programas de emprendimiento</v>
      </c>
      <c r="AI97" s="9" t="str">
        <f t="shared" si="32"/>
        <v>Virtual</v>
      </c>
      <c r="AJ97" s="9" t="str">
        <f t="shared" si="33"/>
        <v>Mañana entre semana</v>
      </c>
      <c r="AK97" s="9" t="str">
        <f t="shared" si="34"/>
        <v>WhatsApp</v>
      </c>
    </row>
    <row r="98" spans="1:37">
      <c r="A98" t="str">
        <f t="shared" si="35"/>
        <v>SG097</v>
      </c>
      <c r="B98" t="s">
        <v>418</v>
      </c>
      <c r="C98" s="9" t="s">
        <v>427</v>
      </c>
      <c r="D98" t="str">
        <f t="shared" si="18"/>
        <v>Masculino</v>
      </c>
      <c r="E98" t="str">
        <f t="shared" si="19"/>
        <v>De 20 a 22 años</v>
      </c>
      <c r="F98">
        <f t="shared" si="20"/>
        <v>21</v>
      </c>
      <c r="G98" s="9" t="s">
        <v>428</v>
      </c>
      <c r="H98" s="9" t="str">
        <f t="shared" si="21"/>
        <v>Bachiller</v>
      </c>
      <c r="I98" s="9" t="str">
        <f t="shared" si="22"/>
        <v>Busco mi primer empleo</v>
      </c>
      <c r="J98" s="13" t="str">
        <f>IF(I98="Trabajo actualmente como empleado",IF(MOD((COUNTIF($I$2:I98,"Trabajo actualmente como empleado")-1)*37,150)&lt;100,"Empleado con contrato","Empleado sin contrato formal"),IF(I98="Trabajo de manera independiente","Trabajo independiente",""))</f>
        <v/>
      </c>
      <c r="K98" s="9" t="str">
        <f>IF(OR(I98="Trabajo actualmente como empleado",I98="Trabajo de manera independiente"),CHOOSE(MOD(COUNTIF($I$2:I98,I98)-1,4)+1,"Menos de 3 meses","De 3 a 6 meses","De 7 a 12 meses","Más de un año"),"")</f>
        <v/>
      </c>
      <c r="L98" t="str">
        <f>IF(OR(I98="Trabajo actualmente como empleado",I98="Trabajo de manera independiente"),CHOOSE(MOD(COUNTIF($I$2:I98,I98)-1,3)+1,"Sí, completamente","Parcialmente","No"),"")</f>
        <v/>
      </c>
      <c r="M98" t="str">
        <f>IF(OR(I98="Trabajo actualmente como empleado",I98="Trabajo de manera independiente"),CHOOSE(MOD(INT((COUNTIF($I$2:I98,I98)-1)/3),4)+1,"1- Muy satisfecho/a","2- Satisfecho/a","3- Insatisfecho/a","4- Muy insatisfecho/a"),"")</f>
        <v/>
      </c>
      <c r="N98" t="str">
        <f>IF(OR(I98="Trabajo actualmente como empleado",I98="Trabajo de manera independiente"),_xlfn.LET(_xlpm.opcion,MOD(INT((COUNTIF($I$2:I98,I98)-1)/5),6)+1,CHOOSE(IF(AND(_xlpm.opcion=6,L98="Sí, completamente"),5,_xlpm.opcion),"Salario","Estabilidad laboral","Horario","Acceso a prestaciones","Oportunidades de crecimiento","Trabajar en un área relacionada con mi formación")),"")</f>
        <v/>
      </c>
      <c r="O98" s="9" t="str">
        <f>IF(OR(I98="Trabajo actualmente como empleado",I98="Trabajo de manera independiente"),_xlfn.LET(_xlpm.turno,MOD(COUNTIF($I$2:I98,I98)-1,5),_xlpm.nivel,VALUE(LEFT(M98,1)),IF(_xlpm.turno=4,"No estoy seguro/a",IF(_xlpm.turno&lt;IF(_xlpm.nivel&lt;=2,1,3),"Sí","No"))),"")</f>
        <v/>
      </c>
      <c r="P98" s="9" t="str">
        <f>_xlfn.LET(_xlpm.perfil,I98,_xlpm.turno,COUNTIF($I$2:I98,_xlpm.perfil)-1,_xlpm.busca,OR(_xlpm.perfil="Actualmente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trabajar"),IF(AND(_xlpm.trabaja,O98="No"),"Todavía no he iniciado una búsqueda activa",CHOOSE(MOD(_xlpm.turno*3,5)+1,"Menos de 1 mes","Entre 1 y 3 meses","Entre 4 y 6 meses","Más de 6 meses","Todavía no he iniciado una búsqueda activa")),"")))</f>
        <v>Más de 6 meses</v>
      </c>
      <c r="Q98" t="str">
        <f>IF(I98="Tengo un emprendimiento o quiero iniciar uno","",CHOOSE(MOD(INT((COUNTIF($I$2:I98,I98)-1)/7),3)+1,"Sí","No","Tengo una pero necesito actualizarla"))</f>
        <v>No</v>
      </c>
      <c r="R98" s="9" t="str">
        <f>IF(I98="Tengo un emprendimiento o quiero iniciar uno","",IF(I98="Busco mi primer empleo","No",IF(MOD(COUNTIF($I$2:I98,I98)-1,2)=0,"Sí","No")))</f>
        <v>No</v>
      </c>
      <c r="S98" t="str">
        <f>IF(I98="Tengo un emprendimiento o quiero iniciar uno","",CHOOSE(MOD(INT((COUNTIF($I$2:I98,I98)-1)/3),10)+1,"Portales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98" t="str">
        <f>IF(I98="Tengo un emprendimiento o quiero iniciar uno","",_xlfn.LET(_xlpm.opcion,MOD(INT((COUNTIF($I$2:I98,I98)-1)/4),6)+1,CHOOSE(IF(AND(_xlpm.opcion=3,Q98="Sí"),1,_xlpm.opcion),"Falta de experiencia","Falta de formación","Dificultades con la hoja de vida","Horarios disponibles","Transporte","Internet")))</f>
        <v>Horarios disponibles</v>
      </c>
      <c r="U98" s="9" t="str">
        <f>IF(I98="Tengo un emprendimiento o quiero iniciar uno","",IF(MOD(INT((COUNTIF($I$2:I98,I98)-1)/3),2)=0,"Sí","No"))</f>
        <v>Sí</v>
      </c>
      <c r="V98" s="9" t="str">
        <f>IF(I98="Tengo un emprendimiento o quiero iniciar uno",CHOOSE(MOD(COUNTIF($I$2:I98,I98)-1,3)+1,"Tengo un emprendimiento","Estoy iniciando un emprendimiento","Me interesa emprender"),"")</f>
        <v/>
      </c>
      <c r="W98" t="str">
        <f t="shared" si="23"/>
        <v/>
      </c>
      <c r="X98" s="9" t="str">
        <f>IF(I98="Tengo un emprendimiento o quiero iniciar uno",CHOOSE(MOD(COUNTIF($I$2:I98,I98)-1,5)+1,"Falta de financiación","Falta de conocimientos administrativos","Falta de conocimientos financieros","Falta de tiempo","Falta de herramientas"),"")</f>
        <v/>
      </c>
      <c r="Y98" s="9" t="str">
        <f t="shared" si="24"/>
        <v/>
      </c>
      <c r="Z98" t="str">
        <f>IF(I98="Tengo un emprendimiento o quiero iniciar uno",CHOOSE(INT(MOD((COUNTIF($I$2:I98,I98)-1)*7,39)/13)+1,"Sí","No","No conozco programas de ese tipo"),"")</f>
        <v/>
      </c>
      <c r="AA98" t="str">
        <f t="shared" si="25"/>
        <v>Puedo hacerlo con ayuda</v>
      </c>
      <c r="AB98" t="str">
        <f t="shared" si="25"/>
        <v>Puedo hacerlo con ayuda</v>
      </c>
      <c r="AC98" t="str">
        <f t="shared" si="26"/>
        <v>Puedo hacerlo con dificultad</v>
      </c>
      <c r="AD98" s="9" t="str">
        <f t="shared" si="27"/>
        <v>No puedo hacerlo</v>
      </c>
      <c r="AE98" t="str">
        <f t="shared" si="28"/>
        <v>No puedo hacerlo</v>
      </c>
      <c r="AF98" s="9" t="str">
        <f t="shared" si="29"/>
        <v>Herramientas digitales;Educación financiera</v>
      </c>
      <c r="AG98" s="9" t="str">
        <f t="shared" si="30"/>
        <v>Falta de experiencia;Falta de información</v>
      </c>
      <c r="AH98" t="str">
        <f t="shared" si="31"/>
        <v>Oficina de orientación laboral</v>
      </c>
      <c r="AI98" s="9" t="str">
        <f t="shared" si="32"/>
        <v>Presencial y virtual</v>
      </c>
      <c r="AJ98" s="9" t="str">
        <f t="shared" si="33"/>
        <v>Fines de semana</v>
      </c>
      <c r="AK98" s="9" t="str">
        <f t="shared" si="34"/>
        <v>Redes sociales</v>
      </c>
    </row>
    <row r="99" spans="1:37">
      <c r="A99" t="str">
        <f t="shared" si="35"/>
        <v>SG098</v>
      </c>
      <c r="B99" t="s">
        <v>418</v>
      </c>
      <c r="C99" s="9" t="s">
        <v>427</v>
      </c>
      <c r="D99" t="str">
        <f t="shared" si="18"/>
        <v>Femenino</v>
      </c>
      <c r="E99" t="str">
        <f t="shared" si="19"/>
        <v>De 22 a 24 años</v>
      </c>
      <c r="F99">
        <f t="shared" si="20"/>
        <v>23</v>
      </c>
      <c r="G99" s="9" t="s">
        <v>428</v>
      </c>
      <c r="H99" s="9" t="str">
        <f t="shared" si="21"/>
        <v>Técnico</v>
      </c>
      <c r="I99" s="9" t="str">
        <f t="shared" si="22"/>
        <v>Trabajo actualmente como empleado</v>
      </c>
      <c r="J99" s="13" t="str">
        <f>IF(I99="Trabajo actualmente como empleado",IF(MOD((COUNTIF($I$2:I99,"Trabajo actualmente como empleado")-1)*37,150)&lt;100,"Empleado con contrato","Empleado sin contrato formal"),IF(I99="Trabajo de manera independiente","Trabajo independiente",""))</f>
        <v>Empleado sin contrato formal</v>
      </c>
      <c r="K99" s="9" t="str">
        <f>IF(OR(I99="Trabajo actualmente como empleado",I99="Trabajo de manera independiente"),CHOOSE(MOD(COUNTIF($I$2:I99,I99)-1,4)+1,"Menos de 3 meses","De 3 a 6 meses","De 7 a 12 meses","Más de un año"),"")</f>
        <v>Menos de 3 meses</v>
      </c>
      <c r="L99" t="str">
        <f>IF(OR(I99="Trabajo actualmente como empleado",I99="Trabajo de manera independiente"),CHOOSE(MOD(COUNTIF($I$2:I99,I99)-1,3)+1,"Sí, completamente","Parcialmente","No"),"")</f>
        <v>No</v>
      </c>
      <c r="M99" t="str">
        <f>IF(OR(I99="Trabajo actualmente como empleado",I99="Trabajo de manera independiente"),CHOOSE(MOD(INT((COUNTIF($I$2:I99,I99)-1)/3),4)+1,"1- Muy satisfecho/a","2- Satisfecho/a","3- Insatisfecho/a","4- Muy insatisfecho/a"),"")</f>
        <v>3- Insatisfecho/a</v>
      </c>
      <c r="N99" t="str">
        <f>IF(OR(I99="Trabajo actualmente como empleado",I99="Trabajo de manera independiente"),_xlfn.LET(_xlpm.opcion,MOD(INT((COUNTIF($I$2:I99,I99)-1)/5),6)+1,CHOOSE(IF(AND(_xlpm.opcion=6,L99="Sí, completamente"),5,_xlpm.opcion),"Salario","Estabilidad laboral","Horario","Acceso a prestaciones","Oportunidades de crecimiento","Trabajar en un área relacionada con mi formación")),"")</f>
        <v>Salario</v>
      </c>
      <c r="O99" s="9" t="str">
        <f>IF(OR(I99="Trabajo actualmente como empleado",I99="Trabajo de manera independiente"),_xlfn.LET(_xlpm.turno,MOD(COUNTIF($I$2:I99,I99)-1,5),_xlpm.nivel,VALUE(LEFT(M99,1)),IF(_xlpm.turno=4,"No estoy seguro/a",IF(_xlpm.turno&lt;IF(_xlpm.nivel&lt;=2,1,3),"Sí","No"))),"")</f>
        <v>Sí</v>
      </c>
      <c r="P99" s="9" t="str">
        <f>_xlfn.LET(_xlpm.perfil,I99,_xlpm.turno,COUNTIF($I$2:I99,_xlpm.perfil)-1,_xlpm.busca,OR(_xlpm.perfil="Actualmente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trabajar"),IF(AND(_xlpm.trabaja,O99="No"),"Todavía no he iniciado una búsqueda activa",CHOOSE(MOD(_xlpm.turno*3,5)+1,"Menos de 1 mes","Entre 1 y 3 meses","Entre 4 y 6 meses","Más de 6 meses","Todavía no he iniciado una búsqueda activa")),"")))</f>
        <v>Entre 1 y 3 meses</v>
      </c>
      <c r="Q99" t="str">
        <f>IF(I99="Tengo un emprendimiento o quiero iniciar uno","",CHOOSE(MOD(INT((COUNTIF($I$2:I99,I99)-1)/7),3)+1,"Sí","No","Tengo una pero necesito actualizarla"))</f>
        <v>No</v>
      </c>
      <c r="R99" s="9" t="str">
        <f>IF(I99="Tengo un emprendimiento o quiero iniciar uno","",IF(I99="Busco mi primer empleo","No",IF(MOD(COUNTIF($I$2:I99,I99)-1,2)=0,"Sí","No")))</f>
        <v>Sí</v>
      </c>
      <c r="S99" t="str">
        <f>IF(I99="Tengo un emprendimiento o quiero iniciar uno","",CHOOSE(MOD(INT((COUNTIF($I$2:I99,I99)-1)/3),10)+1,"Portales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99" t="str">
        <f>IF(I99="Tengo un emprendimiento o quiero iniciar uno","",_xlfn.LET(_xlpm.opcion,MOD(INT((COUNTIF($I$2:I99,I99)-1)/4),6)+1,CHOOSE(IF(AND(_xlpm.opcion=3,Q99="Sí"),1,_xlpm.opcion),"Falta de experiencia","Falta de formación","Dificultades con la hoja de vida","Horarios disponibles","Transporte","Internet")))</f>
        <v>Dificultades con la hoja de vida</v>
      </c>
      <c r="U99" s="9" t="str">
        <f>IF(I99="Tengo un emprendimiento o quiero iniciar uno","",IF(MOD(INT((COUNTIF($I$2:I99,I99)-1)/3),2)=0,"Sí","No"))</f>
        <v>Sí</v>
      </c>
      <c r="V99" s="9" t="str">
        <f>IF(I99="Tengo un emprendimiento o quiero iniciar uno",CHOOSE(MOD(COUNTIF($I$2:I99,I99)-1,3)+1,"Tengo un emprendimiento","Estoy iniciando un emprendimiento","Me interesa emprender"),"")</f>
        <v/>
      </c>
      <c r="W99" t="str">
        <f t="shared" si="23"/>
        <v/>
      </c>
      <c r="X99" s="9" t="str">
        <f>IF(I99="Tengo un emprendimiento o quiero iniciar uno",CHOOSE(MOD(COUNTIF($I$2:I99,I99)-1,5)+1,"Falta de financiación","Falta de conocimientos administrativos","Falta de conocimientos financieros","Falta de tiempo","Falta de herramientas"),"")</f>
        <v/>
      </c>
      <c r="Y99" s="9" t="str">
        <f t="shared" si="24"/>
        <v/>
      </c>
      <c r="Z99" t="str">
        <f>IF(I99="Tengo un emprendimiento o quiero iniciar uno",CHOOSE(INT(MOD((COUNTIF($I$2:I99,I99)-1)*7,39)/13)+1,"Sí","No","No conozco programas de ese tipo"),"")</f>
        <v/>
      </c>
      <c r="AA99" t="str">
        <f t="shared" si="25"/>
        <v>Puedo hacerlo con dificultad</v>
      </c>
      <c r="AB99" t="str">
        <f t="shared" si="25"/>
        <v>Puedo hacerlo con dificultad</v>
      </c>
      <c r="AC99" t="str">
        <f t="shared" si="26"/>
        <v>Puedo hacerlo sin ayuda</v>
      </c>
      <c r="AD99" s="9" t="str">
        <f t="shared" si="27"/>
        <v>Puedo hacerlo con ayuda</v>
      </c>
      <c r="AE99" t="str">
        <f t="shared" si="28"/>
        <v>No puedo hacerlo</v>
      </c>
      <c r="AF99" s="9" t="str">
        <f t="shared" si="29"/>
        <v>Crear una hoja de vida</v>
      </c>
      <c r="AG99" s="9" t="str">
        <f t="shared" si="30"/>
        <v>Falta de experiencia;Falta de información</v>
      </c>
      <c r="AH99" t="str">
        <f t="shared" si="31"/>
        <v>Ferias de empleo</v>
      </c>
      <c r="AI99" s="9" t="str">
        <f t="shared" si="32"/>
        <v>Me es indiferente</v>
      </c>
      <c r="AJ99" s="9" t="str">
        <f t="shared" si="33"/>
        <v>Diurno</v>
      </c>
      <c r="AK99" s="9" t="str">
        <f t="shared" si="34"/>
        <v>Celular</v>
      </c>
    </row>
    <row r="100" spans="1:37">
      <c r="A100" t="str">
        <f t="shared" si="35"/>
        <v>SG099</v>
      </c>
      <c r="B100" t="s">
        <v>418</v>
      </c>
      <c r="C100" s="9" t="s">
        <v>427</v>
      </c>
      <c r="D100" t="str">
        <f t="shared" si="18"/>
        <v>Masculino</v>
      </c>
      <c r="E100" t="str">
        <f t="shared" si="19"/>
        <v>De 24 a 26 años</v>
      </c>
      <c r="F100">
        <f t="shared" si="20"/>
        <v>25</v>
      </c>
      <c r="G100" s="9" t="s">
        <v>428</v>
      </c>
      <c r="H100" s="9" t="str">
        <f t="shared" si="21"/>
        <v>Tecnólogo</v>
      </c>
      <c r="I100" s="9" t="str">
        <f t="shared" si="22"/>
        <v>Trabajo de manera independiente</v>
      </c>
      <c r="J100" s="13" t="str">
        <f>IF(I100="Trabajo actualmente como empleado",IF(MOD((COUNTIF($I$2:I100,"Trabajo actualmente como empleado")-1)*37,150)&lt;100,"Empleado con contrato","Empleado sin contrato formal"),IF(I100="Trabajo de manera independiente","Trabajo independiente",""))</f>
        <v>Trabajo independiente</v>
      </c>
      <c r="K100" s="9" t="str">
        <f>IF(OR(I100="Trabajo actualmente como empleado",I100="Trabajo de manera independiente"),CHOOSE(MOD(COUNTIF($I$2:I100,I100)-1,4)+1,"Menos de 3 meses","De 3 a 6 meses","De 7 a 12 meses","Más de un año"),"")</f>
        <v>Menos de 3 meses</v>
      </c>
      <c r="L100" t="str">
        <f>IF(OR(I100="Trabajo actualmente como empleado",I100="Trabajo de manera independiente"),CHOOSE(MOD(COUNTIF($I$2:I100,I100)-1,3)+1,"Sí, completamente","Parcialmente","No"),"")</f>
        <v>Parcialmente</v>
      </c>
      <c r="M100" t="str">
        <f>IF(OR(I100="Trabajo actualmente como empleado",I100="Trabajo de manera independiente"),CHOOSE(MOD(INT((COUNTIF($I$2:I100,I100)-1)/3),4)+1,"1- Muy satisfecho/a","2- Satisfecho/a","3- Insatisfecho/a","4- Muy insatisfecho/a"),"")</f>
        <v>2- Satisfecho/a</v>
      </c>
      <c r="N100" t="str">
        <f>IF(OR(I100="Trabajo actualmente como empleado",I100="Trabajo de manera independiente"),_xlfn.LET(_xlpm.opcion,MOD(INT((COUNTIF($I$2:I100,I100)-1)/5),6)+1,CHOOSE(IF(AND(_xlpm.opcion=6,L100="Sí, completamente"),5,_xlpm.opcion),"Salario","Estabilidad laboral","Horario","Acceso a prestaciones","Oportunidades de crecimiento","Trabajar en un área relacionada con mi formación")),"")</f>
        <v>Acceso a prestaciones</v>
      </c>
      <c r="O100" s="9" t="str">
        <f>IF(OR(I100="Trabajo actualmente como empleado",I100="Trabajo de manera independiente"),_xlfn.LET(_xlpm.turno,MOD(COUNTIF($I$2:I100,I100)-1,5),_xlpm.nivel,VALUE(LEFT(M100,1)),IF(_xlpm.turno=4,"No estoy seguro/a",IF(_xlpm.turno&lt;IF(_xlpm.nivel&lt;=2,1,3),"Sí","No"))),"")</f>
        <v>No</v>
      </c>
      <c r="P100" s="9" t="str">
        <f>_xlfn.LET(_xlpm.perfil,I100,_xlpm.turno,COUNTIF($I$2:I100,_xlpm.perfil)-1,_xlpm.busca,OR(_xlpm.perfil="Actualmente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00" t="str">
        <f>IF(I100="Tengo un emprendimiento o quiero iniciar uno","",CHOOSE(MOD(INT((COUNTIF($I$2:I100,I100)-1)/7),3)+1,"Sí","No","Tengo una pero necesito actualizarla"))</f>
        <v>Tengo una pero necesito actualizarla</v>
      </c>
      <c r="R100" s="9" t="str">
        <f>IF(I100="Tengo un emprendimiento o quiero iniciar uno","",IF(I100="Busco mi primer empleo","No",IF(MOD(COUNTIF($I$2:I100,I100)-1,2)=0,"Sí","No")))</f>
        <v>Sí</v>
      </c>
      <c r="S100" t="str">
        <f>IF(I100="Tengo un emprendimiento o quiero iniciar uno","",CHOOSE(MOD(INT((COUNTIF($I$2:I100,I100)-1)/3),10)+1,"Portales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00" t="str">
        <f>IF(I100="Tengo un emprendimiento o quiero iniciar uno","",_xlfn.LET(_xlpm.opcion,MOD(INT((COUNTIF($I$2:I100,I100)-1)/4),6)+1,CHOOSE(IF(AND(_xlpm.opcion=3,Q100="Sí"),1,_xlpm.opcion),"Falta de experiencia","Falta de formación","Dificultades con la hoja de vida","Horarios disponibles","Transporte","Internet")))</f>
        <v>Transporte</v>
      </c>
      <c r="U100" s="9" t="str">
        <f>IF(I100="Tengo un emprendimiento o quiero iniciar uno","",IF(MOD(INT((COUNTIF($I$2:I100,I100)-1)/3),2)=0,"Sí","No"))</f>
        <v>No</v>
      </c>
      <c r="V100" s="9" t="str">
        <f>IF(I100="Tengo un emprendimiento o quiero iniciar uno",CHOOSE(MOD(COUNTIF($I$2:I100,I100)-1,3)+1,"Tengo un emprendimiento","Estoy iniciando un emprendimiento","Me interesa emprender"),"")</f>
        <v/>
      </c>
      <c r="W100" t="str">
        <f t="shared" si="23"/>
        <v/>
      </c>
      <c r="X100" s="9" t="str">
        <f>IF(I100="Tengo un emprendimiento o quiero iniciar uno",CHOOSE(MOD(COUNTIF($I$2:I100,I100)-1,5)+1,"Falta de financiación","Falta de conocimientos administrativos","Falta de conocimientos financieros","Falta de tiempo","Falta de herramientas"),"")</f>
        <v/>
      </c>
      <c r="Y100" s="9" t="str">
        <f t="shared" si="24"/>
        <v/>
      </c>
      <c r="Z100" t="str">
        <f>IF(I100="Tengo un emprendimiento o quiero iniciar uno",CHOOSE(INT(MOD((COUNTIF($I$2:I100,I100)-1)*7,39)/13)+1,"Sí","No","No conozco programas de ese tipo"),"")</f>
        <v/>
      </c>
      <c r="AA100" t="str">
        <f t="shared" si="25"/>
        <v>No puedo hacerlo</v>
      </c>
      <c r="AB100" t="str">
        <f t="shared" si="25"/>
        <v>No puedo hacerlo</v>
      </c>
      <c r="AC100" t="str">
        <f t="shared" si="26"/>
        <v>Puedo hacerlo con ayuda</v>
      </c>
      <c r="AD100" s="9" t="str">
        <f t="shared" si="27"/>
        <v>Puedo hacerlo con ayuda</v>
      </c>
      <c r="AE100" t="str">
        <f t="shared" si="28"/>
        <v>Puedo hacerlo con ayuda</v>
      </c>
      <c r="AF100" s="9" t="str">
        <f t="shared" si="29"/>
        <v>Preparación para entrevista</v>
      </c>
      <c r="AG100" s="9" t="str">
        <f t="shared" si="30"/>
        <v>Falta de experiencia;Falta de información</v>
      </c>
      <c r="AH100" t="str">
        <f t="shared" si="31"/>
        <v>No conozco ninguno</v>
      </c>
      <c r="AI100" s="9" t="str">
        <f t="shared" si="32"/>
        <v>Presencial</v>
      </c>
      <c r="AJ100" s="9" t="str">
        <f t="shared" si="33"/>
        <v>Mañana entre semana</v>
      </c>
      <c r="AK100" s="9" t="str">
        <f t="shared" si="34"/>
        <v>Correo electrónico</v>
      </c>
    </row>
    <row r="101" spans="1:37">
      <c r="A101" t="str">
        <f t="shared" si="35"/>
        <v>SG100</v>
      </c>
      <c r="B101" t="s">
        <v>418</v>
      </c>
      <c r="C101" s="9" t="s">
        <v>427</v>
      </c>
      <c r="D101" t="str">
        <f t="shared" si="18"/>
        <v>Masculino</v>
      </c>
      <c r="E101" t="str">
        <f t="shared" si="19"/>
        <v>De 26 a 28 años</v>
      </c>
      <c r="F101">
        <f t="shared" si="20"/>
        <v>27</v>
      </c>
      <c r="G101" s="9" t="s">
        <v>428</v>
      </c>
      <c r="H101" s="9" t="str">
        <f t="shared" si="21"/>
        <v>Tecnólogo</v>
      </c>
      <c r="I101" s="9" t="str">
        <f t="shared" si="22"/>
        <v>Busco mi primer empleo</v>
      </c>
      <c r="J101" s="13" t="str">
        <f>IF(I101="Trabajo actualmente como empleado",IF(MOD((COUNTIF($I$2:I101,"Trabajo actualmente como empleado")-1)*37,150)&lt;100,"Empleado con contrato","Empleado sin contrato formal"),IF(I101="Trabajo de manera independiente","Trabajo independiente",""))</f>
        <v/>
      </c>
      <c r="K101" s="9" t="str">
        <f>IF(OR(I101="Trabajo actualmente como empleado",I101="Trabajo de manera independiente"),CHOOSE(MOD(COUNTIF($I$2:I101,I101)-1,4)+1,"Menos de 3 meses","De 3 a 6 meses","De 7 a 12 meses","Más de un año"),"")</f>
        <v/>
      </c>
      <c r="L101" t="str">
        <f>IF(OR(I101="Trabajo actualmente como empleado",I101="Trabajo de manera independiente"),CHOOSE(MOD(COUNTIF($I$2:I101,I101)-1,3)+1,"Sí, completamente","Parcialmente","No"),"")</f>
        <v/>
      </c>
      <c r="M101" t="str">
        <f>IF(OR(I101="Trabajo actualmente como empleado",I101="Trabajo de manera independiente"),CHOOSE(MOD(INT((COUNTIF($I$2:I101,I101)-1)/3),4)+1,"1- Muy satisfecho/a","2- Satisfecho/a","3- Insatisfecho/a","4- Muy insatisfecho/a"),"")</f>
        <v/>
      </c>
      <c r="N101" t="str">
        <f>IF(OR(I101="Trabajo actualmente como empleado",I101="Trabajo de manera independiente"),_xlfn.LET(_xlpm.opcion,MOD(INT((COUNTIF($I$2:I101,I101)-1)/5),6)+1,CHOOSE(IF(AND(_xlpm.opcion=6,L101="Sí, completamente"),5,_xlpm.opcion),"Salario","Estabilidad laboral","Horario","Acceso a prestaciones","Oportunidades de crecimiento","Trabajar en un área relacionada con mi formación")),"")</f>
        <v/>
      </c>
      <c r="O101" s="9" t="str">
        <f>IF(OR(I101="Trabajo actualmente como empleado",I101="Trabajo de manera independiente"),_xlfn.LET(_xlpm.turno,MOD(COUNTIF($I$2:I101,I101)-1,5),_xlpm.nivel,VALUE(LEFT(M101,1)),IF(_xlpm.turno=4,"No estoy seguro/a",IF(_xlpm.turno&lt;IF(_xlpm.nivel&lt;=2,1,3),"Sí","No"))),"")</f>
        <v/>
      </c>
      <c r="P101" s="9" t="str">
        <f>_xlfn.LET(_xlpm.perfil,I101,_xlpm.turno,COUNTIF($I$2:I101,_xlpm.perfil)-1,_xlpm.busca,OR(_xlpm.perfil="Actualmente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trabajar"),IF(AND(_xlpm.trabaja,O101="No"),"Todavía no he iniciado una búsqueda activa",CHOOSE(MOD(_xlpm.turno*3,5)+1,"Menos de 1 mes","Entre 1 y 3 meses","Entre 4 y 6 meses","Más de 6 meses","Todavía no he iniciado una búsqueda activa")),"")))</f>
        <v>Entre 4 y 6 meses</v>
      </c>
      <c r="Q101" t="str">
        <f>IF(I101="Tengo un emprendimiento o quiero iniciar uno","",CHOOSE(MOD(INT((COUNTIF($I$2:I101,I101)-1)/7),3)+1,"Sí","No","Tengo una pero necesito actualizarla"))</f>
        <v>Tengo una pero necesito actualizarla</v>
      </c>
      <c r="R101" s="9" t="str">
        <f>IF(I101="Tengo un emprendimiento o quiero iniciar uno","",IF(I101="Busco mi primer empleo","No",IF(MOD(COUNTIF($I$2:I101,I101)-1,2)=0,"Sí","No")))</f>
        <v>No</v>
      </c>
      <c r="S101" t="str">
        <f>IF(I101="Tengo un emprendimiento o quiero iniciar uno","",CHOOSE(MOD(INT((COUNTIF($I$2:I101,I101)-1)/3),10)+1,"Portales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101" t="str">
        <f>IF(I101="Tengo un emprendimiento o quiero iniciar uno","",_xlfn.LET(_xlpm.opcion,MOD(INT((COUNTIF($I$2:I101,I101)-1)/4),6)+1,CHOOSE(IF(AND(_xlpm.opcion=3,Q101="Sí"),1,_xlpm.opcion),"Falta de experiencia","Falta de formación","Dificultades con la hoja de vida","Horarios disponibles","Transporte","Internet")))</f>
        <v>Horarios disponibles</v>
      </c>
      <c r="U101" s="9" t="str">
        <f>IF(I101="Tengo un emprendimiento o quiero iniciar uno","",IF(MOD(INT((COUNTIF($I$2:I101,I101)-1)/3),2)=0,"Sí","No"))</f>
        <v>Sí</v>
      </c>
      <c r="V101" s="9" t="str">
        <f>IF(I101="Tengo un emprendimiento o quiero iniciar uno",CHOOSE(MOD(COUNTIF($I$2:I101,I101)-1,3)+1,"Tengo un emprendimiento","Estoy iniciando un emprendimiento","Me interesa emprender"),"")</f>
        <v/>
      </c>
      <c r="W101" t="str">
        <f t="shared" si="23"/>
        <v/>
      </c>
      <c r="X101" s="9" t="str">
        <f>IF(I101="Tengo un emprendimiento o quiero iniciar uno",CHOOSE(MOD(COUNTIF($I$2:I101,I101)-1,5)+1,"Falta de financiación","Falta de conocimientos administrativos","Falta de conocimientos financieros","Falta de tiempo","Falta de herramientas"),"")</f>
        <v/>
      </c>
      <c r="Y101" s="9" t="str">
        <f t="shared" si="24"/>
        <v/>
      </c>
      <c r="Z101" t="str">
        <f>IF(I101="Tengo un emprendimiento o quiero iniciar uno",CHOOSE(INT(MOD((COUNTIF($I$2:I101,I101)-1)*7,39)/13)+1,"Sí","No","No conozco programas de ese tipo"),"")</f>
        <v/>
      </c>
      <c r="AA101" t="str">
        <f t="shared" si="25"/>
        <v>Puedo hacerlo con ayuda</v>
      </c>
      <c r="AB101" t="str">
        <f t="shared" si="25"/>
        <v>Puedo hacerlo con ayuda</v>
      </c>
      <c r="AC101" t="str">
        <f t="shared" si="26"/>
        <v>Puedo hacerlo con dificultad</v>
      </c>
      <c r="AD101" s="9" t="str">
        <f t="shared" si="27"/>
        <v>Puedo hacerlo con dificultad</v>
      </c>
      <c r="AE101" t="str">
        <f t="shared" si="28"/>
        <v>Puedo hacerlo con ayuda</v>
      </c>
      <c r="AF101" s="9" t="str">
        <f t="shared" si="29"/>
        <v>Comunicación</v>
      </c>
      <c r="AG101" s="9" t="str">
        <f t="shared" si="30"/>
        <v>Costos de transporte;Distancia</v>
      </c>
      <c r="AH101" t="str">
        <f t="shared" si="31"/>
        <v>Ferias de empleo</v>
      </c>
      <c r="AI101" s="9" t="str">
        <f t="shared" si="32"/>
        <v>Virtual</v>
      </c>
      <c r="AJ101" s="9" t="str">
        <f t="shared" si="33"/>
        <v>Fines de semana</v>
      </c>
      <c r="AK101" s="9" t="str">
        <f t="shared" si="34"/>
        <v>Redes sociales</v>
      </c>
    </row>
    <row r="102" spans="1:37">
      <c r="A102" t="str">
        <f t="shared" si="35"/>
        <v>SG101</v>
      </c>
      <c r="B102" t="s">
        <v>418</v>
      </c>
      <c r="C102" s="9" t="s">
        <v>427</v>
      </c>
      <c r="D102" t="str">
        <f t="shared" si="18"/>
        <v>Femenino</v>
      </c>
      <c r="E102" t="str">
        <f t="shared" si="19"/>
        <v>De 18 a 20 años</v>
      </c>
      <c r="F102">
        <f t="shared" si="20"/>
        <v>18</v>
      </c>
      <c r="G102" s="9" t="s">
        <v>428</v>
      </c>
      <c r="H102" s="9" t="str">
        <f t="shared" si="21"/>
        <v>Técnico</v>
      </c>
      <c r="I102" s="9" t="str">
        <f t="shared" si="22"/>
        <v>Trabajo actualmente como empleado</v>
      </c>
      <c r="J102" s="13" t="str">
        <f>IF(I102="Trabajo actualmente como empleado",IF(MOD((COUNTIF($I$2:I102,"Trabajo actualmente como empleado")-1)*37,150)&lt;100,"Empleado con contrato","Empleado sin contrato formal"),IF(I102="Trabajo de manera independiente","Trabajo independiente",""))</f>
        <v>Empleado con contrato</v>
      </c>
      <c r="K102" s="9" t="str">
        <f>IF(OR(I102="Trabajo actualmente como empleado",I102="Trabajo de manera independiente"),CHOOSE(MOD(COUNTIF($I$2:I102,I102)-1,4)+1,"Menos de 3 meses","De 3 a 6 meses","De 7 a 12 meses","Más de un año"),"")</f>
        <v>De 3 a 6 meses</v>
      </c>
      <c r="L102" t="str">
        <f>IF(OR(I102="Trabajo actualmente como empleado",I102="Trabajo de manera independiente"),CHOOSE(MOD(COUNTIF($I$2:I102,I102)-1,3)+1,"Sí, completamente","Parcialmente","No"),"")</f>
        <v>Sí, completamente</v>
      </c>
      <c r="M102" t="str">
        <f>IF(OR(I102="Trabajo actualmente como empleado",I102="Trabajo de manera independiente"),CHOOSE(MOD(INT((COUNTIF($I$2:I102,I102)-1)/3),4)+1,"1- Muy satisfecho/a","2- Satisfecho/a","3- Insatisfecho/a","4- Muy insatisfecho/a"),"")</f>
        <v>4- Muy insatisfecho/a</v>
      </c>
      <c r="N102" t="str">
        <f>IF(OR(I102="Trabajo actualmente como empleado",I102="Trabajo de manera independiente"),_xlfn.LET(_xlpm.opcion,MOD(INT((COUNTIF($I$2:I102,I102)-1)/5),6)+1,CHOOSE(IF(AND(_xlpm.opcion=6,L102="Sí, completamente"),5,_xlpm.opcion),"Salario","Estabilidad laboral","Horario","Acceso a prestaciones","Oportunidades de crecimiento","Trabajar en un área relacionada con mi formación")),"")</f>
        <v>Salario</v>
      </c>
      <c r="O102" s="9" t="str">
        <f>IF(OR(I102="Trabajo actualmente como empleado",I102="Trabajo de manera independiente"),_xlfn.LET(_xlpm.turno,MOD(COUNTIF($I$2:I102,I102)-1,5),_xlpm.nivel,VALUE(LEFT(M102,1)),IF(_xlpm.turno=4,"No estoy seguro/a",IF(_xlpm.turno&lt;IF(_xlpm.nivel&lt;=2,1,3),"Sí","No"))),"")</f>
        <v>No</v>
      </c>
      <c r="P102" s="9" t="str">
        <f>_xlfn.LET(_xlpm.perfil,I102,_xlpm.turno,COUNTIF($I$2:I102,_xlpm.perfil)-1,_xlpm.busca,OR(_xlpm.perfil="Actualmente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02" t="str">
        <f>IF(I102="Tengo un emprendimiento o quiero iniciar uno","",CHOOSE(MOD(INT((COUNTIF($I$2:I102,I102)-1)/7),3)+1,"Sí","No","Tengo una pero necesito actualizarla"))</f>
        <v>No</v>
      </c>
      <c r="R102" s="9" t="str">
        <f>IF(I102="Tengo un emprendimiento o quiero iniciar uno","",IF(I102="Busco mi primer empleo","No",IF(MOD(COUNTIF($I$2:I102,I102)-1,2)=0,"Sí","No")))</f>
        <v>No</v>
      </c>
      <c r="S102" t="str">
        <f>IF(I102="Tengo un emprendimiento o quiero iniciar uno","",CHOOSE(MOD(INT((COUNTIF($I$2:I102,I102)-1)/3),10)+1,"Portales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02" t="str">
        <f>IF(I102="Tengo un emprendimiento o quiero iniciar uno","",_xlfn.LET(_xlpm.opcion,MOD(INT((COUNTIF($I$2:I102,I102)-1)/4),6)+1,CHOOSE(IF(AND(_xlpm.opcion=3,Q102="Sí"),1,_xlpm.opcion),"Falta de experiencia","Falta de formación","Dificultades con la hoja de vida","Horarios disponibles","Transporte","Internet")))</f>
        <v>Dificultades con la hoja de vida</v>
      </c>
      <c r="U102" s="9" t="str">
        <f>IF(I102="Tengo un emprendimiento o quiero iniciar uno","",IF(MOD(INT((COUNTIF($I$2:I102,I102)-1)/3),2)=0,"Sí","No"))</f>
        <v>No</v>
      </c>
      <c r="V102" s="9" t="str">
        <f>IF(I102="Tengo un emprendimiento o quiero iniciar uno",CHOOSE(MOD(COUNTIF($I$2:I102,I102)-1,3)+1,"Tengo un emprendimiento","Estoy iniciando un emprendimiento","Me interesa emprender"),"")</f>
        <v/>
      </c>
      <c r="W102" t="str">
        <f t="shared" si="23"/>
        <v/>
      </c>
      <c r="X102" s="9" t="str">
        <f>IF(I102="Tengo un emprendimiento o quiero iniciar uno",CHOOSE(MOD(COUNTIF($I$2:I102,I102)-1,5)+1,"Falta de financiación","Falta de conocimientos administrativos","Falta de conocimientos financieros","Falta de tiempo","Falta de herramientas"),"")</f>
        <v/>
      </c>
      <c r="Y102" s="9" t="str">
        <f t="shared" si="24"/>
        <v/>
      </c>
      <c r="Z102" t="str">
        <f>IF(I102="Tengo un emprendimiento o quiero iniciar uno",CHOOSE(INT(MOD((COUNTIF($I$2:I102,I102)-1)*7,39)/13)+1,"Sí","No","No conozco programas de ese tipo"),"")</f>
        <v/>
      </c>
      <c r="AA102" t="str">
        <f t="shared" si="25"/>
        <v>Puedo hacerlo sin ayuda</v>
      </c>
      <c r="AB102" t="str">
        <f t="shared" si="25"/>
        <v>Puedo hacerlo sin ayuda</v>
      </c>
      <c r="AC102" t="str">
        <f t="shared" si="26"/>
        <v>Puedo hacerlo sin ayuda</v>
      </c>
      <c r="AD102" s="9" t="str">
        <f t="shared" si="27"/>
        <v>Puedo hacerlo sin ayuda</v>
      </c>
      <c r="AE102" t="str">
        <f t="shared" si="28"/>
        <v>Puedo hacerlo con dificultad</v>
      </c>
      <c r="AF102" s="9" t="str">
        <f t="shared" si="29"/>
        <v>Liderazgo</v>
      </c>
      <c r="AG102" s="9" t="str">
        <f t="shared" si="30"/>
        <v>Costos de transporte;Distancia</v>
      </c>
      <c r="AH102" t="str">
        <f t="shared" si="31"/>
        <v>Programas de emprendimiento</v>
      </c>
      <c r="AI102" s="9" t="str">
        <f t="shared" si="32"/>
        <v>Presencial y virtual</v>
      </c>
      <c r="AJ102" s="9" t="str">
        <f t="shared" si="33"/>
        <v>Diurno</v>
      </c>
      <c r="AK102" s="9" t="str">
        <f t="shared" si="34"/>
        <v>WhatsApp</v>
      </c>
    </row>
    <row r="103" spans="1:37">
      <c r="A103" t="str">
        <f t="shared" si="35"/>
        <v>SG102</v>
      </c>
      <c r="B103" t="s">
        <v>418</v>
      </c>
      <c r="C103" s="9" t="s">
        <v>427</v>
      </c>
      <c r="D103" t="str">
        <f t="shared" si="18"/>
        <v>Femenino</v>
      </c>
      <c r="E103" t="str">
        <f t="shared" si="19"/>
        <v>De 20 a 22 años</v>
      </c>
      <c r="F103">
        <f t="shared" si="20"/>
        <v>20</v>
      </c>
      <c r="G103" s="9" t="s">
        <v>428</v>
      </c>
      <c r="H103" s="9" t="str">
        <f t="shared" si="21"/>
        <v>Tecnólogo</v>
      </c>
      <c r="I103" s="9" t="str">
        <f t="shared" si="22"/>
        <v>Trabajo de manera independiente</v>
      </c>
      <c r="J103" s="13" t="str">
        <f>IF(I103="Trabajo actualmente como empleado",IF(MOD((COUNTIF($I$2:I103,"Trabajo actualmente como empleado")-1)*37,150)&lt;100,"Empleado con contrato","Empleado sin contrato formal"),IF(I103="Trabajo de manera independiente","Trabajo independiente",""))</f>
        <v>Trabajo independiente</v>
      </c>
      <c r="K103" s="9" t="str">
        <f>IF(OR(I103="Trabajo actualmente como empleado",I103="Trabajo de manera independiente"),CHOOSE(MOD(COUNTIF($I$2:I103,I103)-1,4)+1,"Menos de 3 meses","De 3 a 6 meses","De 7 a 12 meses","Más de un año"),"")</f>
        <v>De 3 a 6 meses</v>
      </c>
      <c r="L103" t="str">
        <f>IF(OR(I103="Trabajo actualmente como empleado",I103="Trabajo de manera independiente"),CHOOSE(MOD(COUNTIF($I$2:I103,I103)-1,3)+1,"Sí, completamente","Parcialmente","No"),"")</f>
        <v>No</v>
      </c>
      <c r="M103" t="str">
        <f>IF(OR(I103="Trabajo actualmente como empleado",I103="Trabajo de manera independiente"),CHOOSE(MOD(INT((COUNTIF($I$2:I103,I103)-1)/3),4)+1,"1- Muy satisfecho/a","2- Satisfecho/a","3- Insatisfecho/a","4- Muy insatisfecho/a"),"")</f>
        <v>2- Satisfecho/a</v>
      </c>
      <c r="N103" t="str">
        <f>IF(OR(I103="Trabajo actualmente como empleado",I103="Trabajo de manera independiente"),_xlfn.LET(_xlpm.opcion,MOD(INT((COUNTIF($I$2:I103,I103)-1)/5),6)+1,CHOOSE(IF(AND(_xlpm.opcion=6,L103="Sí, completamente"),5,_xlpm.opcion),"Salario","Estabilidad laboral","Horario","Acceso a prestaciones","Oportunidades de crecimiento","Trabajar en un área relacionada con mi formación")),"")</f>
        <v>Acceso a prestaciones</v>
      </c>
      <c r="O103" s="9" t="str">
        <f>IF(OR(I103="Trabajo actualmente como empleado",I103="Trabajo de manera independiente"),_xlfn.LET(_xlpm.turno,MOD(COUNTIF($I$2:I103,I103)-1,5),_xlpm.nivel,VALUE(LEFT(M103,1)),IF(_xlpm.turno=4,"No estoy seguro/a",IF(_xlpm.turno&lt;IF(_xlpm.nivel&lt;=2,1,3),"Sí","No"))),"")</f>
        <v>No</v>
      </c>
      <c r="P103" s="9" t="str">
        <f>_xlfn.LET(_xlpm.perfil,I103,_xlpm.turno,COUNTIF($I$2:I103,_xlpm.perfil)-1,_xlpm.busca,OR(_xlpm.perfil="Actualmente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03" t="str">
        <f>IF(I103="Tengo un emprendimiento o quiero iniciar uno","",CHOOSE(MOD(INT((COUNTIF($I$2:I103,I103)-1)/7),3)+1,"Sí","No","Tengo una pero necesito actualizarla"))</f>
        <v>Tengo una pero necesito actualizarla</v>
      </c>
      <c r="R103" s="9" t="str">
        <f>IF(I103="Tengo un emprendimiento o quiero iniciar uno","",IF(I103="Busco mi primer empleo","No",IF(MOD(COUNTIF($I$2:I103,I103)-1,2)=0,"Sí","No")))</f>
        <v>No</v>
      </c>
      <c r="S103" t="str">
        <f>IF(I103="Tengo un emprendimiento o quiero iniciar uno","",CHOOSE(MOD(INT((COUNTIF($I$2:I103,I103)-1)/3),10)+1,"Portales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03" t="str">
        <f>IF(I103="Tengo un emprendimiento o quiero iniciar uno","",_xlfn.LET(_xlpm.opcion,MOD(INT((COUNTIF($I$2:I103,I103)-1)/4),6)+1,CHOOSE(IF(AND(_xlpm.opcion=3,Q103="Sí"),1,_xlpm.opcion),"Falta de experiencia","Falta de formación","Dificultades con la hoja de vida","Horarios disponibles","Transporte","Internet")))</f>
        <v>Transporte</v>
      </c>
      <c r="U103" s="9" t="str">
        <f>IF(I103="Tengo un emprendimiento o quiero iniciar uno","",IF(MOD(INT((COUNTIF($I$2:I103,I103)-1)/3),2)=0,"Sí","No"))</f>
        <v>No</v>
      </c>
      <c r="V103" s="9" t="str">
        <f>IF(I103="Tengo un emprendimiento o quiero iniciar uno",CHOOSE(MOD(COUNTIF($I$2:I103,I103)-1,3)+1,"Tengo un emprendimiento","Estoy iniciando un emprendimiento","Me interesa emprender"),"")</f>
        <v/>
      </c>
      <c r="W103" t="str">
        <f t="shared" si="23"/>
        <v/>
      </c>
      <c r="X103" s="9" t="str">
        <f>IF(I103="Tengo un emprendimiento o quiero iniciar uno",CHOOSE(MOD(COUNTIF($I$2:I103,I103)-1,5)+1,"Falta de financiación","Falta de conocimientos administrativos","Falta de conocimientos financieros","Falta de tiempo","Falta de herramientas"),"")</f>
        <v/>
      </c>
      <c r="Y103" s="9" t="str">
        <f t="shared" si="24"/>
        <v/>
      </c>
      <c r="Z103" t="str">
        <f>IF(I103="Tengo un emprendimiento o quiero iniciar uno",CHOOSE(INT(MOD((COUNTIF($I$2:I103,I103)-1)*7,39)/13)+1,"Sí","No","No conozco programas de ese tipo"),"")</f>
        <v/>
      </c>
      <c r="AA103" t="str">
        <f t="shared" si="25"/>
        <v>Puedo hacerlo con ayuda</v>
      </c>
      <c r="AB103" t="str">
        <f t="shared" si="25"/>
        <v>Puedo hacerlo con ayuda</v>
      </c>
      <c r="AC103" t="str">
        <f t="shared" si="26"/>
        <v>Puedo hacerlo con ayuda</v>
      </c>
      <c r="AD103" s="9" t="str">
        <f t="shared" si="27"/>
        <v>No puedo hacerlo</v>
      </c>
      <c r="AE103" t="str">
        <f t="shared" si="28"/>
        <v>Puedo hacerlo sin ayuda</v>
      </c>
      <c r="AF103" s="9" t="str">
        <f t="shared" si="29"/>
        <v>Emprendimiento</v>
      </c>
      <c r="AG103" s="9" t="str">
        <f t="shared" si="30"/>
        <v>Costos de transporte;Distancia</v>
      </c>
      <c r="AH103" t="str">
        <f t="shared" si="31"/>
        <v>Oficina de orientación laboral</v>
      </c>
      <c r="AI103" s="9" t="str">
        <f t="shared" si="32"/>
        <v>Me es indiferente</v>
      </c>
      <c r="AJ103" s="9" t="str">
        <f t="shared" si="33"/>
        <v>Mañana entre semana</v>
      </c>
      <c r="AK103" s="9" t="str">
        <f t="shared" si="34"/>
        <v>Correo electrónico</v>
      </c>
    </row>
    <row r="104" spans="1:37">
      <c r="A104" t="str">
        <f t="shared" si="35"/>
        <v>SG103</v>
      </c>
      <c r="B104" t="s">
        <v>418</v>
      </c>
      <c r="C104" s="9" t="s">
        <v>427</v>
      </c>
      <c r="D104" t="str">
        <f t="shared" si="18"/>
        <v>Masculino</v>
      </c>
      <c r="E104" t="str">
        <f t="shared" si="19"/>
        <v>De 22 a 24 años</v>
      </c>
      <c r="F104">
        <f t="shared" si="20"/>
        <v>22</v>
      </c>
      <c r="G104" s="9" t="s">
        <v>428</v>
      </c>
      <c r="H104" s="9" t="str">
        <f t="shared" si="21"/>
        <v>Tecnólogo</v>
      </c>
      <c r="I104" s="9" t="str">
        <f t="shared" si="22"/>
        <v>Estudio y quiero comenzar a trabajar</v>
      </c>
      <c r="J104" s="13" t="str">
        <f>IF(I104="Trabajo actualmente como empleado",IF(MOD((COUNTIF($I$2:I104,"Trabajo actualmente como empleado")-1)*37,150)&lt;100,"Empleado con contrato","Empleado sin contrato formal"),IF(I104="Trabajo de manera independiente","Trabajo independiente",""))</f>
        <v/>
      </c>
      <c r="K104" s="9" t="str">
        <f>IF(OR(I104="Trabajo actualmente como empleado",I104="Trabajo de manera independiente"),CHOOSE(MOD(COUNTIF($I$2:I104,I104)-1,4)+1,"Menos de 3 meses","De 3 a 6 meses","De 7 a 12 meses","Más de un año"),"")</f>
        <v/>
      </c>
      <c r="L104" t="str">
        <f>IF(OR(I104="Trabajo actualmente como empleado",I104="Trabajo de manera independiente"),CHOOSE(MOD(COUNTIF($I$2:I104,I104)-1,3)+1,"Sí, completamente","Parcialmente","No"),"")</f>
        <v/>
      </c>
      <c r="M104" t="str">
        <f>IF(OR(I104="Trabajo actualmente como empleado",I104="Trabajo de manera independiente"),CHOOSE(MOD(INT((COUNTIF($I$2:I104,I104)-1)/3),4)+1,"1- Muy satisfecho/a","2- Satisfecho/a","3- Insatisfecho/a","4- Muy insatisfecho/a"),"")</f>
        <v/>
      </c>
      <c r="N104" t="str">
        <f>IF(OR(I104="Trabajo actualmente como empleado",I104="Trabajo de manera independiente"),_xlfn.LET(_xlpm.opcion,MOD(INT((COUNTIF($I$2:I104,I104)-1)/5),6)+1,CHOOSE(IF(AND(_xlpm.opcion=6,L104="Sí, completamente"),5,_xlpm.opcion),"Salario","Estabilidad laboral","Horario","Acceso a prestaciones","Oportunidades de crecimiento","Trabajar en un área relacionada con mi formación")),"")</f>
        <v/>
      </c>
      <c r="O104" s="9" t="str">
        <f>IF(OR(I104="Trabajo actualmente como empleado",I104="Trabajo de manera independiente"),_xlfn.LET(_xlpm.turno,MOD(COUNTIF($I$2:I104,I104)-1,5),_xlpm.nivel,VALUE(LEFT(M104,1)),IF(_xlpm.turno=4,"No estoy seguro/a",IF(_xlpm.turno&lt;IF(_xlpm.nivel&lt;=2,1,3),"Sí","No"))),"")</f>
        <v/>
      </c>
      <c r="P104" s="9" t="str">
        <f>_xlfn.LET(_xlpm.perfil,I104,_xlpm.turno,COUNTIF($I$2:I104,_xlpm.perfil)-1,_xlpm.busca,OR(_xlpm.perfil="Actualmente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trabajar"),IF(AND(_xlpm.trabaja,O104="No"),"Todavía no he iniciado una búsqueda activa",CHOOSE(MOD(_xlpm.turno*3,5)+1,"Menos de 1 mes","Entre 1 y 3 meses","Entre 4 y 6 meses","Más de 6 meses","Todavía no he iniciado una búsqueda activa")),"")))</f>
        <v>Más de 6 meses</v>
      </c>
      <c r="Q104" t="str">
        <f>IF(I104="Tengo un emprendimiento o quiero iniciar uno","",CHOOSE(MOD(INT((COUNTIF($I$2:I104,I104)-1)/7),3)+1,"Sí","No","Tengo una pero necesito actualizarla"))</f>
        <v>No</v>
      </c>
      <c r="R104" s="9" t="str">
        <f>IF(I104="Tengo un emprendimiento o quiero iniciar uno","",IF(I104="Busco mi primer empleo","No",IF(MOD(COUNTIF($I$2:I104,I104)-1,2)=0,"Sí","No")))</f>
        <v>No</v>
      </c>
      <c r="S104" t="str">
        <f>IF(I104="Tengo un emprendimiento o quiero iniciar uno","",CHOOSE(MOD(INT((COUNTIF($I$2:I104,I104)-1)/3),10)+1,"Portales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104" t="str">
        <f>IF(I104="Tengo un emprendimiento o quiero iniciar uno","",_xlfn.LET(_xlpm.opcion,MOD(INT((COUNTIF($I$2:I104,I104)-1)/4),6)+1,CHOOSE(IF(AND(_xlpm.opcion=3,Q104="Sí"),1,_xlpm.opcion),"Falta de experiencia","Falta de formación","Dificultades con la hoja de vida","Horarios disponibles","Transporte","Internet")))</f>
        <v>Dificultades con la hoja de vida</v>
      </c>
      <c r="U104" s="9" t="str">
        <f>IF(I104="Tengo un emprendimiento o quiero iniciar uno","",IF(MOD(INT((COUNTIF($I$2:I104,I104)-1)/3),2)=0,"Sí","No"))</f>
        <v>No</v>
      </c>
      <c r="V104" s="9" t="str">
        <f>IF(I104="Tengo un emprendimiento o quiero iniciar uno",CHOOSE(MOD(COUNTIF($I$2:I104,I104)-1,3)+1,"Tengo un emprendimiento","Estoy iniciando un emprendimiento","Me interesa emprender"),"")</f>
        <v/>
      </c>
      <c r="W104" t="str">
        <f t="shared" si="23"/>
        <v/>
      </c>
      <c r="X104" s="9" t="str">
        <f>IF(I104="Tengo un emprendimiento o quiero iniciar uno",CHOOSE(MOD(COUNTIF($I$2:I104,I104)-1,5)+1,"Falta de financiación","Falta de conocimientos administrativos","Falta de conocimientos financieros","Falta de tiempo","Falta de herramientas"),"")</f>
        <v/>
      </c>
      <c r="Y104" s="9" t="str">
        <f t="shared" si="24"/>
        <v/>
      </c>
      <c r="Z104" t="str">
        <f>IF(I104="Tengo un emprendimiento o quiero iniciar uno",CHOOSE(INT(MOD((COUNTIF($I$2:I104,I104)-1)*7,39)/13)+1,"Sí","No","No conozco programas de ese tipo"),"")</f>
        <v/>
      </c>
      <c r="AA104" t="str">
        <f t="shared" si="25"/>
        <v>Puedo hacerlo con dificultad</v>
      </c>
      <c r="AB104" t="str">
        <f t="shared" si="25"/>
        <v>Puedo hacerlo con dificultad</v>
      </c>
      <c r="AC104" t="str">
        <f t="shared" si="26"/>
        <v>Puedo hacerlo con dificultad</v>
      </c>
      <c r="AD104" s="9" t="str">
        <f t="shared" si="27"/>
        <v>No puedo hacerlo</v>
      </c>
      <c r="AE104" t="str">
        <f t="shared" si="28"/>
        <v>Puedo hacerlo sin ayuda</v>
      </c>
      <c r="AF104" s="9" t="str">
        <f t="shared" si="29"/>
        <v>Herramientas digitales</v>
      </c>
      <c r="AG104" s="9" t="str">
        <f t="shared" si="30"/>
        <v>Falta de información</v>
      </c>
      <c r="AH104" t="str">
        <f t="shared" si="31"/>
        <v>Ferias de empleo</v>
      </c>
      <c r="AI104" s="9" t="str">
        <f t="shared" si="32"/>
        <v>Presencial</v>
      </c>
      <c r="AJ104" s="9" t="str">
        <f t="shared" si="33"/>
        <v>Fines de semana</v>
      </c>
      <c r="AK104" s="9" t="str">
        <f t="shared" si="34"/>
        <v>Celular</v>
      </c>
    </row>
    <row r="105" spans="1:37">
      <c r="A105" t="str">
        <f t="shared" si="35"/>
        <v>SG104</v>
      </c>
      <c r="B105" t="s">
        <v>418</v>
      </c>
      <c r="C105" s="9" t="s">
        <v>427</v>
      </c>
      <c r="D105" t="str">
        <f t="shared" si="18"/>
        <v>Masculino</v>
      </c>
      <c r="E105" t="str">
        <f t="shared" si="19"/>
        <v>De 24 a 26 años</v>
      </c>
      <c r="F105">
        <f t="shared" si="20"/>
        <v>24</v>
      </c>
      <c r="G105" s="9" t="s">
        <v>428</v>
      </c>
      <c r="H105" s="9" t="str">
        <f t="shared" si="21"/>
        <v>Profesional</v>
      </c>
      <c r="I105" s="9" t="str">
        <f t="shared" si="22"/>
        <v>Trabajo actualmente como empleado</v>
      </c>
      <c r="J105" s="13" t="str">
        <f>IF(I105="Trabajo actualmente como empleado",IF(MOD((COUNTIF($I$2:I105,"Trabajo actualmente como empleado")-1)*37,150)&lt;100,"Empleado con contrato","Empleado sin contrato formal"),IF(I105="Trabajo de manera independiente","Trabajo independiente",""))</f>
        <v>Empleado con contrato</v>
      </c>
      <c r="K105" s="9" t="str">
        <f>IF(OR(I105="Trabajo actualmente como empleado",I105="Trabajo de manera independiente"),CHOOSE(MOD(COUNTIF($I$2:I105,I105)-1,4)+1,"Menos de 3 meses","De 3 a 6 meses","De 7 a 12 meses","Más de un año"),"")</f>
        <v>De 7 a 12 meses</v>
      </c>
      <c r="L105" t="str">
        <f>IF(OR(I105="Trabajo actualmente como empleado",I105="Trabajo de manera independiente"),CHOOSE(MOD(COUNTIF($I$2:I105,I105)-1,3)+1,"Sí, completamente","Parcialmente","No"),"")</f>
        <v>Parcialmente</v>
      </c>
      <c r="M105" t="str">
        <f>IF(OR(I105="Trabajo actualmente como empleado",I105="Trabajo de manera independiente"),CHOOSE(MOD(INT((COUNTIF($I$2:I105,I105)-1)/3),4)+1,"1- Muy satisfecho/a","2- Satisfecho/a","3- Insatisfecho/a","4- Muy insatisfecho/a"),"")</f>
        <v>4- Muy insatisfecho/a</v>
      </c>
      <c r="N105" t="str">
        <f>IF(OR(I105="Trabajo actualmente como empleado",I105="Trabajo de manera independiente"),_xlfn.LET(_xlpm.opcion,MOD(INT((COUNTIF($I$2:I105,I105)-1)/5),6)+1,CHOOSE(IF(AND(_xlpm.opcion=6,L105="Sí, completamente"),5,_xlpm.opcion),"Salario","Estabilidad laboral","Horario","Acceso a prestaciones","Oportunidades de crecimiento","Trabajar en un área relacionada con mi formación")),"")</f>
        <v>Salario</v>
      </c>
      <c r="O105" s="9" t="str">
        <f>IF(OR(I105="Trabajo actualmente como empleado",I105="Trabajo de manera independiente"),_xlfn.LET(_xlpm.turno,MOD(COUNTIF($I$2:I105,I105)-1,5),_xlpm.nivel,VALUE(LEFT(M105,1)),IF(_xlpm.turno=4,"No estoy seguro/a",IF(_xlpm.turno&lt;IF(_xlpm.nivel&lt;=2,1,3),"Sí","No"))),"")</f>
        <v>No estoy seguro/a</v>
      </c>
      <c r="P105" s="9" t="str">
        <f>_xlfn.LET(_xlpm.perfil,I105,_xlpm.turno,COUNTIF($I$2:I105,_xlpm.perfil)-1,_xlpm.busca,OR(_xlpm.perfil="Actualmente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trabajar"),IF(AND(_xlpm.trabaja,O105="No"),"Todavía no he iniciado una búsqueda activa",CHOOSE(MOD(_xlpm.turno*3,5)+1,"Menos de 1 mes","Entre 1 y 3 meses","Entre 4 y 6 meses","Más de 6 meses","Todavía no he iniciado una búsqueda activa")),"")))</f>
        <v>Entre 4 y 6 meses</v>
      </c>
      <c r="Q105" t="str">
        <f>IF(I105="Tengo un emprendimiento o quiero iniciar uno","",CHOOSE(MOD(INT((COUNTIF($I$2:I105,I105)-1)/7),3)+1,"Sí","No","Tengo una pero necesito actualizarla"))</f>
        <v>No</v>
      </c>
      <c r="R105" s="9" t="str">
        <f>IF(I105="Tengo un emprendimiento o quiero iniciar uno","",IF(I105="Busco mi primer empleo","No",IF(MOD(COUNTIF($I$2:I105,I105)-1,2)=0,"Sí","No")))</f>
        <v>Sí</v>
      </c>
      <c r="S105" t="str">
        <f>IF(I105="Tengo un emprendimiento o quiero iniciar uno","",CHOOSE(MOD(INT((COUNTIF($I$2:I105,I105)-1)/3),10)+1,"Portales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05" t="str">
        <f>IF(I105="Tengo un emprendimiento o quiero iniciar uno","",_xlfn.LET(_xlpm.opcion,MOD(INT((COUNTIF($I$2:I105,I105)-1)/4),6)+1,CHOOSE(IF(AND(_xlpm.opcion=3,Q105="Sí"),1,_xlpm.opcion),"Falta de experiencia","Falta de formación","Dificultades con la hoja de vida","Horarios disponibles","Transporte","Internet")))</f>
        <v>Dificultades con la hoja de vida</v>
      </c>
      <c r="U105" s="9" t="str">
        <f>IF(I105="Tengo un emprendimiento o quiero iniciar uno","",IF(MOD(INT((COUNTIF($I$2:I105,I105)-1)/3),2)=0,"Sí","No"))</f>
        <v>No</v>
      </c>
      <c r="V105" s="9" t="str">
        <f>IF(I105="Tengo un emprendimiento o quiero iniciar uno",CHOOSE(MOD(COUNTIF($I$2:I105,I105)-1,3)+1,"Tengo un emprendimiento","Estoy iniciando un emprendimiento","Me interesa emprender"),"")</f>
        <v/>
      </c>
      <c r="W105" t="str">
        <f t="shared" si="23"/>
        <v/>
      </c>
      <c r="X105" s="9" t="str">
        <f>IF(I105="Tengo un emprendimiento o quiero iniciar uno",CHOOSE(MOD(COUNTIF($I$2:I105,I105)-1,5)+1,"Falta de financiación","Falta de conocimientos administrativos","Falta de conocimientos financieros","Falta de tiempo","Falta de herramientas"),"")</f>
        <v/>
      </c>
      <c r="Y105" s="9" t="str">
        <f t="shared" si="24"/>
        <v/>
      </c>
      <c r="Z105" t="str">
        <f>IF(I105="Tengo un emprendimiento o quiero iniciar uno",CHOOSE(INT(MOD((COUNTIF($I$2:I105,I105)-1)*7,39)/13)+1,"Sí","No","No conozco programas de ese tipo"),"")</f>
        <v/>
      </c>
      <c r="AA105" t="str">
        <f t="shared" si="25"/>
        <v>No puedo hacerlo</v>
      </c>
      <c r="AB105" t="str">
        <f t="shared" si="25"/>
        <v>No puedo hacerlo</v>
      </c>
      <c r="AC105" t="str">
        <f t="shared" si="26"/>
        <v>Puedo hacerlo sin ayuda</v>
      </c>
      <c r="AD105" s="9" t="str">
        <f t="shared" si="27"/>
        <v>Puedo hacerlo con ayuda</v>
      </c>
      <c r="AE105" t="str">
        <f t="shared" si="28"/>
        <v>No puedo hacerlo</v>
      </c>
      <c r="AF105" s="9" t="str">
        <f t="shared" si="29"/>
        <v>Educación financiera</v>
      </c>
      <c r="AG105" s="9" t="str">
        <f t="shared" si="30"/>
        <v>Falta de información</v>
      </c>
      <c r="AH105" t="str">
        <f t="shared" si="31"/>
        <v>No conozco ninguno</v>
      </c>
      <c r="AI105" s="9" t="str">
        <f t="shared" si="32"/>
        <v>Virtual</v>
      </c>
      <c r="AJ105" s="9" t="str">
        <f t="shared" si="33"/>
        <v>Nocturno</v>
      </c>
      <c r="AK105" s="9" t="str">
        <f t="shared" si="34"/>
        <v>WhatsApp</v>
      </c>
    </row>
    <row r="106" spans="1:37">
      <c r="A106" t="str">
        <f t="shared" si="35"/>
        <v>SG105</v>
      </c>
      <c r="B106" t="s">
        <v>418</v>
      </c>
      <c r="C106" s="9" t="s">
        <v>427</v>
      </c>
      <c r="D106" t="str">
        <f t="shared" si="18"/>
        <v>Femenino</v>
      </c>
      <c r="E106" t="str">
        <f t="shared" si="19"/>
        <v>De 26 a 28 años</v>
      </c>
      <c r="F106">
        <f t="shared" si="20"/>
        <v>28</v>
      </c>
      <c r="G106" s="9" t="s">
        <v>428</v>
      </c>
      <c r="H106" s="9" t="str">
        <f t="shared" si="21"/>
        <v>Profesional</v>
      </c>
      <c r="I106" s="9" t="str">
        <f t="shared" si="22"/>
        <v>Actualmente no trabajo y estoy buscando empleo</v>
      </c>
      <c r="J106" s="13" t="str">
        <f>IF(I106="Trabajo actualmente como empleado",IF(MOD((COUNTIF($I$2:I106,"Trabajo actualmente como empleado")-1)*37,150)&lt;100,"Empleado con contrato","Empleado sin contrato formal"),IF(I106="Trabajo de manera independiente","Trabajo independiente",""))</f>
        <v/>
      </c>
      <c r="K106" s="9" t="str">
        <f>IF(OR(I106="Trabajo actualmente como empleado",I106="Trabajo de manera independiente"),CHOOSE(MOD(COUNTIF($I$2:I106,I106)-1,4)+1,"Menos de 3 meses","De 3 a 6 meses","De 7 a 12 meses","Más de un año"),"")</f>
        <v/>
      </c>
      <c r="L106" t="str">
        <f>IF(OR(I106="Trabajo actualmente como empleado",I106="Trabajo de manera independiente"),CHOOSE(MOD(COUNTIF($I$2:I106,I106)-1,3)+1,"Sí, completamente","Parcialmente","No"),"")</f>
        <v/>
      </c>
      <c r="M106" t="str">
        <f>IF(OR(I106="Trabajo actualmente como empleado",I106="Trabajo de manera independiente"),CHOOSE(MOD(INT((COUNTIF($I$2:I106,I106)-1)/3),4)+1,"1- Muy satisfecho/a","2- Satisfecho/a","3- Insatisfecho/a","4- Muy insatisfecho/a"),"")</f>
        <v/>
      </c>
      <c r="N106" t="str">
        <f>IF(OR(I106="Trabajo actualmente como empleado",I106="Trabajo de manera independiente"),_xlfn.LET(_xlpm.opcion,MOD(INT((COUNTIF($I$2:I106,I106)-1)/5),6)+1,CHOOSE(IF(AND(_xlpm.opcion=6,L106="Sí, completamente"),5,_xlpm.opcion),"Salario","Estabilidad laboral","Horario","Acceso a prestaciones","Oportunidades de crecimiento","Trabajar en un área relacionada con mi formación")),"")</f>
        <v/>
      </c>
      <c r="O106" s="9" t="str">
        <f>IF(OR(I106="Trabajo actualmente como empleado",I106="Trabajo de manera independiente"),_xlfn.LET(_xlpm.turno,MOD(COUNTIF($I$2:I106,I106)-1,5),_xlpm.nivel,VALUE(LEFT(M106,1)),IF(_xlpm.turno=4,"No estoy seguro/a",IF(_xlpm.turno&lt;IF(_xlpm.nivel&lt;=2,1,3),"Sí","No"))),"")</f>
        <v/>
      </c>
      <c r="P106" s="9" t="str">
        <f>_xlfn.LET(_xlpm.perfil,I106,_xlpm.turno,COUNTIF($I$2:I106,_xlpm.perfil)-1,_xlpm.busca,OR(_xlpm.perfil="Actualmente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trabajar"),IF(AND(_xlpm.trabaja,O106="No"),"Todavía no he iniciado una búsqueda activa",CHOOSE(MOD(_xlpm.turno*3,5)+1,"Menos de 1 mes","Entre 1 y 3 meses","Entre 4 y 6 meses","Más de 6 meses","Todavía no he iniciado una búsqueda activa")),"")))</f>
        <v>Menos de 1 mes</v>
      </c>
      <c r="Q106" t="str">
        <f>IF(I106="Tengo un emprendimiento o quiero iniciar uno","",CHOOSE(MOD(INT((COUNTIF($I$2:I106,I106)-1)/7),3)+1,"Sí","No","Tengo una pero necesito actualizarla"))</f>
        <v>Tengo una pero necesito actualizarla</v>
      </c>
      <c r="R106" s="9" t="str">
        <f>IF(I106="Tengo un emprendimiento o quiero iniciar uno","",IF(I106="Busco mi primer empleo","No",IF(MOD(COUNTIF($I$2:I106,I106)-1,2)=0,"Sí","No")))</f>
        <v>Sí</v>
      </c>
      <c r="S106" t="str">
        <f>IF(I106="Tengo un emprendimiento o quiero iniciar uno","",CHOOSE(MOD(INT((COUNTIF($I$2:I106,I106)-1)/3),10)+1,"Portales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06" t="str">
        <f>IF(I106="Tengo un emprendimiento o quiero iniciar uno","",_xlfn.LET(_xlpm.opcion,MOD(INT((COUNTIF($I$2:I106,I106)-1)/4),6)+1,CHOOSE(IF(AND(_xlpm.opcion=3,Q106="Sí"),1,_xlpm.opcion),"Falta de experiencia","Falta de formación","Dificultades con la hoja de vida","Horarios disponibles","Transporte","Internet")))</f>
        <v>Transporte</v>
      </c>
      <c r="U106" s="9" t="str">
        <f>IF(I106="Tengo un emprendimiento o quiero iniciar uno","",IF(MOD(INT((COUNTIF($I$2:I106,I106)-1)/3),2)=0,"Sí","No"))</f>
        <v>No</v>
      </c>
      <c r="V106" s="9" t="str">
        <f>IF(I106="Tengo un emprendimiento o quiero iniciar uno",CHOOSE(MOD(COUNTIF($I$2:I106,I106)-1,3)+1,"Tengo un emprendimiento","Estoy iniciando un emprendimiento","Me interesa emprender"),"")</f>
        <v/>
      </c>
      <c r="W106" t="str">
        <f t="shared" si="23"/>
        <v/>
      </c>
      <c r="X106" s="9" t="str">
        <f>IF(I106="Tengo un emprendimiento o quiero iniciar uno",CHOOSE(MOD(COUNTIF($I$2:I106,I106)-1,5)+1,"Falta de financiación","Falta de conocimientos administrativos","Falta de conocimientos financieros","Falta de tiempo","Falta de herramientas"),"")</f>
        <v/>
      </c>
      <c r="Y106" s="9" t="str">
        <f t="shared" si="24"/>
        <v/>
      </c>
      <c r="Z106" t="str">
        <f>IF(I106="Tengo un emprendimiento o quiero iniciar uno",CHOOSE(INT(MOD((COUNTIF($I$2:I106,I106)-1)*7,39)/13)+1,"Sí","No","No conozco programas de ese tipo"),"")</f>
        <v/>
      </c>
      <c r="AA106" t="str">
        <f t="shared" si="25"/>
        <v>Puedo hacerlo con ayuda</v>
      </c>
      <c r="AB106" t="str">
        <f t="shared" si="25"/>
        <v>Puedo hacerlo con ayuda</v>
      </c>
      <c r="AC106" t="str">
        <f t="shared" si="26"/>
        <v>Puedo hacerlo con ayuda</v>
      </c>
      <c r="AD106" s="9" t="str">
        <f t="shared" si="27"/>
        <v>Puedo hacerlo con dificultad</v>
      </c>
      <c r="AE106" t="str">
        <f t="shared" si="28"/>
        <v>No puedo hacerlo</v>
      </c>
      <c r="AF106" s="9" t="str">
        <f t="shared" si="29"/>
        <v>Crear una hoja de vida;Preparación para entrevista</v>
      </c>
      <c r="AG106" s="9" t="str">
        <f t="shared" si="30"/>
        <v>Falta de información</v>
      </c>
      <c r="AH106" t="str">
        <f t="shared" si="31"/>
        <v>Ferias de empleo</v>
      </c>
      <c r="AI106" s="9" t="str">
        <f t="shared" si="32"/>
        <v>Presencial y virtual</v>
      </c>
      <c r="AJ106" s="9" t="str">
        <f t="shared" si="33"/>
        <v>Mañana entre semana</v>
      </c>
      <c r="AK106" s="9" t="str">
        <f t="shared" si="34"/>
        <v>Redes sociales</v>
      </c>
    </row>
    <row r="107" spans="1:37">
      <c r="A107" t="str">
        <f t="shared" si="35"/>
        <v>SG106</v>
      </c>
      <c r="B107" t="s">
        <v>418</v>
      </c>
      <c r="C107" s="9" t="s">
        <v>427</v>
      </c>
      <c r="D107" t="str">
        <f t="shared" si="18"/>
        <v>Masculino</v>
      </c>
      <c r="E107" t="str">
        <f t="shared" si="19"/>
        <v>De 18 a 20 años</v>
      </c>
      <c r="F107">
        <f t="shared" si="20"/>
        <v>19</v>
      </c>
      <c r="G107" s="9" t="s">
        <v>428</v>
      </c>
      <c r="H107" s="9" t="str">
        <f t="shared" si="21"/>
        <v>Bachiller</v>
      </c>
      <c r="I107" s="9" t="str">
        <f t="shared" si="22"/>
        <v>Tengo un emprendimiento o quiero iniciar uno</v>
      </c>
      <c r="J107" s="13" t="str">
        <f>IF(I107="Trabajo actualmente como empleado",IF(MOD((COUNTIF($I$2:I107,"Trabajo actualmente como empleado")-1)*37,150)&lt;100,"Empleado con contrato","Empleado sin contrato formal"),IF(I107="Trabajo de manera independiente","Trabajo independiente",""))</f>
        <v/>
      </c>
      <c r="K107" s="9" t="str">
        <f>IF(OR(I107="Trabajo actualmente como empleado",I107="Trabajo de manera independiente"),CHOOSE(MOD(COUNTIF($I$2:I107,I107)-1,4)+1,"Menos de 3 meses","De 3 a 6 meses","De 7 a 12 meses","Más de un año"),"")</f>
        <v/>
      </c>
      <c r="L107" t="str">
        <f>IF(OR(I107="Trabajo actualmente como empleado",I107="Trabajo de manera independiente"),CHOOSE(MOD(COUNTIF($I$2:I107,I107)-1,3)+1,"Sí, completamente","Parcialmente","No"),"")</f>
        <v/>
      </c>
      <c r="M107" t="str">
        <f>IF(OR(I107="Trabajo actualmente como empleado",I107="Trabajo de manera independiente"),CHOOSE(MOD(INT((COUNTIF($I$2:I107,I107)-1)/3),4)+1,"1- Muy satisfecho/a","2- Satisfecho/a","3- Insatisfecho/a","4- Muy insatisfecho/a"),"")</f>
        <v/>
      </c>
      <c r="N107" t="str">
        <f>IF(OR(I107="Trabajo actualmente como empleado",I107="Trabajo de manera independiente"),_xlfn.LET(_xlpm.opcion,MOD(INT((COUNTIF($I$2:I107,I107)-1)/5),6)+1,CHOOSE(IF(AND(_xlpm.opcion=6,L107="Sí, completamente"),5,_xlpm.opcion),"Salario","Estabilidad laboral","Horario","Acceso a prestaciones","Oportunidades de crecimiento","Trabajar en un área relacionada con mi formación")),"")</f>
        <v/>
      </c>
      <c r="O107" s="9" t="str">
        <f>IF(OR(I107="Trabajo actualmente como empleado",I107="Trabajo de manera independiente"),_xlfn.LET(_xlpm.turno,MOD(COUNTIF($I$2:I107,I107)-1,5),_xlpm.nivel,VALUE(LEFT(M107,1)),IF(_xlpm.turno=4,"No estoy seguro/a",IF(_xlpm.turno&lt;IF(_xlpm.nivel&lt;=2,1,3),"Sí","No"))),"")</f>
        <v/>
      </c>
      <c r="P107" s="9" t="str">
        <f>_xlfn.LET(_xlpm.perfil,I107,_xlpm.turno,COUNTIF($I$2:I107,_xlpm.perfil)-1,_xlpm.busca,OR(_xlpm.perfil="Actualmente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trabajar"),IF(AND(_xlpm.trabaja,O107="No"),"Todavía no he iniciado una búsqueda activa",CHOOSE(MOD(_xlpm.turno*3,5)+1,"Menos de 1 mes","Entre 1 y 3 meses","Entre 4 y 6 meses","Más de 6 meses","Todavía no he iniciado una búsqueda activa")),"")))</f>
        <v/>
      </c>
      <c r="Q107" t="str">
        <f>IF(I107="Tengo un emprendimiento o quiero iniciar uno","",CHOOSE(MOD(INT((COUNTIF($I$2:I107,I107)-1)/7),3)+1,"Sí","No","Tengo una pero necesito actualizarla"))</f>
        <v/>
      </c>
      <c r="R107" s="9" t="str">
        <f>IF(I107="Tengo un emprendimiento o quiero iniciar uno","",IF(I107="Busco mi primer empleo","No",IF(MOD(COUNTIF($I$2:I107,I107)-1,2)=0,"Sí","No")))</f>
        <v/>
      </c>
      <c r="S107" t="str">
        <f>IF(I107="Tengo un emprendimiento o quiero iniciar uno","",CHOOSE(MOD(INT((COUNTIF($I$2:I107,I107)-1)/3),10)+1,"Portales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07" t="str">
        <f>IF(I107="Tengo un emprendimiento o quiero iniciar uno","",_xlfn.LET(_xlpm.opcion,MOD(INT((COUNTIF($I$2:I107,I107)-1)/4),6)+1,CHOOSE(IF(AND(_xlpm.opcion=3,Q107="Sí"),1,_xlpm.opcion),"Falta de experiencia","Falta de formación","Dificultades con la hoja de vida","Horarios disponibles","Transporte","Internet")))</f>
        <v/>
      </c>
      <c r="U107" s="9" t="str">
        <f>IF(I107="Tengo un emprendimiento o quiero iniciar uno","",IF(MOD(INT((COUNTIF($I$2:I107,I107)-1)/3),2)=0,"Sí","No"))</f>
        <v/>
      </c>
      <c r="V107" s="9" t="str">
        <f>IF(I107="Tengo un emprendimiento o quiero iniciar uno",CHOOSE(MOD(COUNTIF($I$2:I107,I107)-1,3)+1,"Tengo un emprendimiento","Estoy iniciando un emprendimiento","Me interesa emprender"),"")</f>
        <v>Me interesa emprender</v>
      </c>
      <c r="W107" t="str">
        <f t="shared" si="23"/>
        <v/>
      </c>
      <c r="X107" s="9" t="str">
        <f>IF(I107="Tengo un emprendimiento o quiero iniciar uno",CHOOSE(MOD(COUNTIF($I$2:I107,I107)-1,5)+1,"Falta de financiación","Falta de conocimientos administrativos","Falta de conocimientos financieros","Falta de tiempo","Falta de herramientas"),"")</f>
        <v>Falta de tiempo</v>
      </c>
      <c r="Y107" s="9" t="str">
        <f t="shared" si="24"/>
        <v>Falta de tiempo</v>
      </c>
      <c r="Z107" t="str">
        <f>IF(I107="Tengo un emprendimiento o quiero iniciar uno",CHOOSE(INT(MOD((COUNTIF($I$2:I107,I107)-1)*7,39)/13)+1,"Sí","No","No conozco programas de ese tipo"),"")</f>
        <v>No</v>
      </c>
      <c r="AA107" t="str">
        <f t="shared" si="25"/>
        <v>Puedo hacerlo sin ayuda</v>
      </c>
      <c r="AB107" t="str">
        <f t="shared" si="25"/>
        <v>Puedo hacerlo sin ayuda</v>
      </c>
      <c r="AC107" t="str">
        <f t="shared" si="26"/>
        <v>Puedo hacerlo con dificultad</v>
      </c>
      <c r="AD107" s="9" t="str">
        <f t="shared" si="27"/>
        <v>Puedo hacerlo sin ayuda</v>
      </c>
      <c r="AE107" t="str">
        <f t="shared" si="28"/>
        <v>Puedo hacerlo con ayuda</v>
      </c>
      <c r="AF107" s="9" t="str">
        <f t="shared" si="29"/>
        <v>Comunicación;Liderazgo</v>
      </c>
      <c r="AG107" s="9" t="str">
        <f t="shared" si="30"/>
        <v>Horarios</v>
      </c>
      <c r="AH107" t="str">
        <f t="shared" si="31"/>
        <v>Programas de emprendimiento</v>
      </c>
      <c r="AI107" s="9" t="str">
        <f t="shared" si="32"/>
        <v>Me es indiferente</v>
      </c>
      <c r="AJ107" s="9" t="str">
        <f t="shared" si="33"/>
        <v>Fines de semana</v>
      </c>
      <c r="AK107" s="9" t="str">
        <f t="shared" si="34"/>
        <v>Celular</v>
      </c>
    </row>
    <row r="108" spans="1:37">
      <c r="A108" t="str">
        <f t="shared" si="35"/>
        <v>SG107</v>
      </c>
      <c r="B108" t="s">
        <v>418</v>
      </c>
      <c r="C108" s="9" t="s">
        <v>427</v>
      </c>
      <c r="D108" t="str">
        <f t="shared" si="18"/>
        <v>Masculino</v>
      </c>
      <c r="E108" t="str">
        <f t="shared" si="19"/>
        <v>De 20 a 22 años</v>
      </c>
      <c r="F108">
        <f t="shared" si="20"/>
        <v>21</v>
      </c>
      <c r="G108" s="9" t="s">
        <v>428</v>
      </c>
      <c r="H108" s="9" t="str">
        <f t="shared" si="21"/>
        <v>Bachiller</v>
      </c>
      <c r="I108" s="9" t="str">
        <f t="shared" si="22"/>
        <v>Trabajo actualmente como empleado</v>
      </c>
      <c r="J108" s="13" t="str">
        <f>IF(I108="Trabajo actualmente como empleado",IF(MOD((COUNTIF($I$2:I108,"Trabajo actualmente como empleado")-1)*37,150)&lt;100,"Empleado con contrato","Empleado sin contrato formal"),IF(I108="Trabajo de manera independiente","Trabajo independiente",""))</f>
        <v>Empleado con contrato</v>
      </c>
      <c r="K108" s="9" t="str">
        <f>IF(OR(I108="Trabajo actualmente como empleado",I108="Trabajo de manera independiente"),CHOOSE(MOD(COUNTIF($I$2:I108,I108)-1,4)+1,"Menos de 3 meses","De 3 a 6 meses","De 7 a 12 meses","Más de un año"),"")</f>
        <v>Más de un año</v>
      </c>
      <c r="L108" t="str">
        <f>IF(OR(I108="Trabajo actualmente como empleado",I108="Trabajo de manera independiente"),CHOOSE(MOD(COUNTIF($I$2:I108,I108)-1,3)+1,"Sí, completamente","Parcialmente","No"),"")</f>
        <v>No</v>
      </c>
      <c r="M108" t="str">
        <f>IF(OR(I108="Trabajo actualmente como empleado",I108="Trabajo de manera independiente"),CHOOSE(MOD(INT((COUNTIF($I$2:I108,I108)-1)/3),4)+1,"1- Muy satisfecho/a","2- Satisfecho/a","3- Insatisfecho/a","4- Muy insatisfecho/a"),"")</f>
        <v>4- Muy insatisfecho/a</v>
      </c>
      <c r="N108" t="str">
        <f>IF(OR(I108="Trabajo actualmente como empleado",I108="Trabajo de manera independiente"),_xlfn.LET(_xlpm.opcion,MOD(INT((COUNTIF($I$2:I108,I108)-1)/5),6)+1,CHOOSE(IF(AND(_xlpm.opcion=6,L108="Sí, completamente"),5,_xlpm.opcion),"Salario","Estabilidad laboral","Horario","Acceso a prestaciones","Oportunidades de crecimiento","Trabajar en un área relacionada con mi formación")),"")</f>
        <v>Estabilidad laboral</v>
      </c>
      <c r="O108" s="9" t="str">
        <f>IF(OR(I108="Trabajo actualmente como empleado",I108="Trabajo de manera independiente"),_xlfn.LET(_xlpm.turno,MOD(COUNTIF($I$2:I108,I108)-1,5),_xlpm.nivel,VALUE(LEFT(M108,1)),IF(_xlpm.turno=4,"No estoy seguro/a",IF(_xlpm.turno&lt;IF(_xlpm.nivel&lt;=2,1,3),"Sí","No"))),"")</f>
        <v>Sí</v>
      </c>
      <c r="P108" s="9" t="str">
        <f>_xlfn.LET(_xlpm.perfil,I108,_xlpm.turno,COUNTIF($I$2:I108,_xlpm.perfil)-1,_xlpm.busca,OR(_xlpm.perfil="Actualmente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trabajar"),IF(AND(_xlpm.trabaja,O108="No"),"Todavía no he iniciado una búsqueda activa",CHOOSE(MOD(_xlpm.turno*3,5)+1,"Menos de 1 mes","Entre 1 y 3 meses","Entre 4 y 6 meses","Más de 6 meses","Todavía no he iniciado una búsqueda activa")),"")))</f>
        <v>Menos de 1 mes</v>
      </c>
      <c r="Q108" t="str">
        <f>IF(I108="Tengo un emprendimiento o quiero iniciar uno","",CHOOSE(MOD(INT((COUNTIF($I$2:I108,I108)-1)/7),3)+1,"Sí","No","Tengo una pero necesito actualizarla"))</f>
        <v>Tengo una pero necesito actualizarla</v>
      </c>
      <c r="R108" s="9" t="str">
        <f>IF(I108="Tengo un emprendimiento o quiero iniciar uno","",IF(I108="Busco mi primer empleo","No",IF(MOD(COUNTIF($I$2:I108,I108)-1,2)=0,"Sí","No")))</f>
        <v>No</v>
      </c>
      <c r="S108" t="str">
        <f>IF(I108="Tengo un emprendimiento o quiero iniciar uno","",CHOOSE(MOD(INT((COUNTIF($I$2:I108,I108)-1)/3),10)+1,"Portales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08" t="str">
        <f>IF(I108="Tengo un emprendimiento o quiero iniciar uno","",_xlfn.LET(_xlpm.opcion,MOD(INT((COUNTIF($I$2:I108,I108)-1)/4),6)+1,CHOOSE(IF(AND(_xlpm.opcion=3,Q108="Sí"),1,_xlpm.opcion),"Falta de experiencia","Falta de formación","Dificultades con la hoja de vida","Horarios disponibles","Transporte","Internet")))</f>
        <v>Dificultades con la hoja de vida</v>
      </c>
      <c r="U108" s="9" t="str">
        <f>IF(I108="Tengo un emprendimiento o quiero iniciar uno","",IF(MOD(INT((COUNTIF($I$2:I108,I108)-1)/3),2)=0,"Sí","No"))</f>
        <v>No</v>
      </c>
      <c r="V108" s="9" t="str">
        <f>IF(I108="Tengo un emprendimiento o quiero iniciar uno",CHOOSE(MOD(COUNTIF($I$2:I108,I108)-1,3)+1,"Tengo un emprendimiento","Estoy iniciando un emprendimiento","Me interesa emprender"),"")</f>
        <v/>
      </c>
      <c r="W108" t="str">
        <f t="shared" si="23"/>
        <v/>
      </c>
      <c r="X108" s="9" t="str">
        <f>IF(I108="Tengo un emprendimiento o quiero iniciar uno",CHOOSE(MOD(COUNTIF($I$2:I108,I108)-1,5)+1,"Falta de financiación","Falta de conocimientos administrativos","Falta de conocimientos financieros","Falta de tiempo","Falta de herramientas"),"")</f>
        <v/>
      </c>
      <c r="Y108" s="9" t="str">
        <f t="shared" si="24"/>
        <v/>
      </c>
      <c r="Z108" t="str">
        <f>IF(I108="Tengo un emprendimiento o quiero iniciar uno",CHOOSE(INT(MOD((COUNTIF($I$2:I108,I108)-1)*7,39)/13)+1,"Sí","No","No conozco programas de ese tipo"),"")</f>
        <v/>
      </c>
      <c r="AA108" t="str">
        <f t="shared" si="25"/>
        <v>Puedo hacerlo con ayuda</v>
      </c>
      <c r="AB108" t="str">
        <f t="shared" si="25"/>
        <v>Puedo hacerlo con ayuda</v>
      </c>
      <c r="AC108" t="str">
        <f t="shared" si="26"/>
        <v>Puedo hacerlo sin ayuda</v>
      </c>
      <c r="AD108" s="9" t="str">
        <f t="shared" si="27"/>
        <v>Puedo hacerlo sin ayuda</v>
      </c>
      <c r="AE108" t="str">
        <f t="shared" si="28"/>
        <v>Puedo hacerlo con dificultad</v>
      </c>
      <c r="AF108" s="9" t="str">
        <f t="shared" si="29"/>
        <v>Herramientas digitales;Educación financiera</v>
      </c>
      <c r="AG108" s="9" t="str">
        <f t="shared" si="30"/>
        <v>Horarios</v>
      </c>
      <c r="AH108" t="str">
        <f t="shared" si="31"/>
        <v>Oficina de orientación laboral</v>
      </c>
      <c r="AI108" s="9" t="str">
        <f t="shared" si="32"/>
        <v>Virtual</v>
      </c>
      <c r="AJ108" s="9" t="str">
        <f t="shared" si="33"/>
        <v>Nocturno</v>
      </c>
      <c r="AK108" s="9" t="str">
        <f t="shared" si="34"/>
        <v>Correo electrónico</v>
      </c>
    </row>
    <row r="109" spans="1:37">
      <c r="A109" t="str">
        <f t="shared" si="35"/>
        <v>SG108</v>
      </c>
      <c r="B109" t="s">
        <v>418</v>
      </c>
      <c r="C109" s="9" t="s">
        <v>427</v>
      </c>
      <c r="D109" t="str">
        <f t="shared" si="18"/>
        <v>Femenino</v>
      </c>
      <c r="E109" t="str">
        <f t="shared" si="19"/>
        <v>De 22 a 24 años</v>
      </c>
      <c r="F109">
        <f t="shared" si="20"/>
        <v>23</v>
      </c>
      <c r="G109" s="9" t="s">
        <v>428</v>
      </c>
      <c r="H109" s="9" t="str">
        <f t="shared" si="21"/>
        <v>Bachiller</v>
      </c>
      <c r="I109" s="9" t="str">
        <f t="shared" si="22"/>
        <v>Actualmente no trabajo y estoy buscando empleo</v>
      </c>
      <c r="J109" s="13" t="str">
        <f>IF(I109="Trabajo actualmente como empleado",IF(MOD((COUNTIF($I$2:I109,"Trabajo actualmente como empleado")-1)*37,150)&lt;100,"Empleado con contrato","Empleado sin contrato formal"),IF(I109="Trabajo de manera independiente","Trabajo independiente",""))</f>
        <v/>
      </c>
      <c r="K109" s="9" t="str">
        <f>IF(OR(I109="Trabajo actualmente como empleado",I109="Trabajo de manera independiente"),CHOOSE(MOD(COUNTIF($I$2:I109,I109)-1,4)+1,"Menos de 3 meses","De 3 a 6 meses","De 7 a 12 meses","Más de un año"),"")</f>
        <v/>
      </c>
      <c r="L109" t="str">
        <f>IF(OR(I109="Trabajo actualmente como empleado",I109="Trabajo de manera independiente"),CHOOSE(MOD(COUNTIF($I$2:I109,I109)-1,3)+1,"Sí, completamente","Parcialmente","No"),"")</f>
        <v/>
      </c>
      <c r="M109" t="str">
        <f>IF(OR(I109="Trabajo actualmente como empleado",I109="Trabajo de manera independiente"),CHOOSE(MOD(INT((COUNTIF($I$2:I109,I109)-1)/3),4)+1,"1- Muy satisfecho/a","2- Satisfecho/a","3- Insatisfecho/a","4- Muy insatisfecho/a"),"")</f>
        <v/>
      </c>
      <c r="N109" t="str">
        <f>IF(OR(I109="Trabajo actualmente como empleado",I109="Trabajo de manera independiente"),_xlfn.LET(_xlpm.opcion,MOD(INT((COUNTIF($I$2:I109,I109)-1)/5),6)+1,CHOOSE(IF(AND(_xlpm.opcion=6,L109="Sí, completamente"),5,_xlpm.opcion),"Salario","Estabilidad laboral","Horario","Acceso a prestaciones","Oportunidades de crecimiento","Trabajar en un área relacionada con mi formación")),"")</f>
        <v/>
      </c>
      <c r="O109" s="9" t="str">
        <f>IF(OR(I109="Trabajo actualmente como empleado",I109="Trabajo de manera independiente"),_xlfn.LET(_xlpm.turno,MOD(COUNTIF($I$2:I109,I109)-1,5),_xlpm.nivel,VALUE(LEFT(M109,1)),IF(_xlpm.turno=4,"No estoy seguro/a",IF(_xlpm.turno&lt;IF(_xlpm.nivel&lt;=2,1,3),"Sí","No"))),"")</f>
        <v/>
      </c>
      <c r="P109" s="9" t="str">
        <f>_xlfn.LET(_xlpm.perfil,I109,_xlpm.turno,COUNTIF($I$2:I109,_xlpm.perfil)-1,_xlpm.busca,OR(_xlpm.perfil="Actualmente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trabajar"),IF(AND(_xlpm.trabaja,O109="No"),"Todavía no he iniciado una búsqueda activa",CHOOSE(MOD(_xlpm.turno*3,5)+1,"Menos de 1 mes","Entre 1 y 3 meses","Entre 4 y 6 meses","Más de 6 meses","Todavía no he iniciado una búsqueda activa")),"")))</f>
        <v>Más de 6 meses</v>
      </c>
      <c r="Q109" t="str">
        <f>IF(I109="Tengo un emprendimiento o quiero iniciar uno","",CHOOSE(MOD(INT((COUNTIF($I$2:I109,I109)-1)/7),3)+1,"Sí","No","Tengo una pero necesito actualizarla"))</f>
        <v>Tengo una pero necesito actualizarla</v>
      </c>
      <c r="R109" s="9" t="str">
        <f>IF(I109="Tengo un emprendimiento o quiero iniciar uno","",IF(I109="Busco mi primer empleo","No",IF(MOD(COUNTIF($I$2:I109,I109)-1,2)=0,"Sí","No")))</f>
        <v>No</v>
      </c>
      <c r="S109" t="str">
        <f>IF(I109="Tengo un emprendimiento o quiero iniciar uno","",CHOOSE(MOD(INT((COUNTIF($I$2:I109,I109)-1)/3),10)+1,"Portales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09" t="str">
        <f>IF(I109="Tengo un emprendimiento o quiero iniciar uno","",_xlfn.LET(_xlpm.opcion,MOD(INT((COUNTIF($I$2:I109,I109)-1)/4),6)+1,CHOOSE(IF(AND(_xlpm.opcion=3,Q109="Sí"),1,_xlpm.opcion),"Falta de experiencia","Falta de formación","Dificultades con la hoja de vida","Horarios disponibles","Transporte","Internet")))</f>
        <v>Transporte</v>
      </c>
      <c r="U109" s="9" t="str">
        <f>IF(I109="Tengo un emprendimiento o quiero iniciar uno","",IF(MOD(INT((COUNTIF($I$2:I109,I109)-1)/3),2)=0,"Sí","No"))</f>
        <v>No</v>
      </c>
      <c r="V109" s="9" t="str">
        <f>IF(I109="Tengo un emprendimiento o quiero iniciar uno",CHOOSE(MOD(COUNTIF($I$2:I109,I109)-1,3)+1,"Tengo un emprendimiento","Estoy iniciando un emprendimiento","Me interesa emprender"),"")</f>
        <v/>
      </c>
      <c r="W109" t="str">
        <f t="shared" si="23"/>
        <v/>
      </c>
      <c r="X109" s="9" t="str">
        <f>IF(I109="Tengo un emprendimiento o quiero iniciar uno",CHOOSE(MOD(COUNTIF($I$2:I109,I109)-1,5)+1,"Falta de financiación","Falta de conocimientos administrativos","Falta de conocimientos financieros","Falta de tiempo","Falta de herramientas"),"")</f>
        <v/>
      </c>
      <c r="Y109" s="9" t="str">
        <f t="shared" si="24"/>
        <v/>
      </c>
      <c r="Z109" t="str">
        <f>IF(I109="Tengo un emprendimiento o quiero iniciar uno",CHOOSE(INT(MOD((COUNTIF($I$2:I109,I109)-1)*7,39)/13)+1,"Sí","No","No conozco programas de ese tipo"),"")</f>
        <v/>
      </c>
      <c r="AA109" t="str">
        <f t="shared" si="25"/>
        <v>Puedo hacerlo con dificultad</v>
      </c>
      <c r="AB109" t="str">
        <f t="shared" si="25"/>
        <v>Puedo hacerlo con dificultad</v>
      </c>
      <c r="AC109" t="str">
        <f t="shared" si="26"/>
        <v>No puedo hacerlo</v>
      </c>
      <c r="AD109" s="9" t="str">
        <f t="shared" si="27"/>
        <v>No puedo hacerlo</v>
      </c>
      <c r="AE109" t="str">
        <f t="shared" si="28"/>
        <v>Puedo hacerlo con dificultad</v>
      </c>
      <c r="AF109" s="9" t="str">
        <f t="shared" si="29"/>
        <v>Crear una hoja de vida</v>
      </c>
      <c r="AG109" s="9" t="str">
        <f t="shared" si="30"/>
        <v>Horarios</v>
      </c>
      <c r="AH109" t="str">
        <f t="shared" si="31"/>
        <v>Programas de emprendimiento</v>
      </c>
      <c r="AI109" s="9" t="str">
        <f t="shared" si="32"/>
        <v>Presencial y virtual</v>
      </c>
      <c r="AJ109" s="9" t="str">
        <f t="shared" si="33"/>
        <v>Mañana entre semana</v>
      </c>
      <c r="AK109" s="9" t="str">
        <f t="shared" si="34"/>
        <v>Redes sociales</v>
      </c>
    </row>
    <row r="110" spans="1:37">
      <c r="A110" t="str">
        <f t="shared" si="35"/>
        <v>SG109</v>
      </c>
      <c r="B110" t="s">
        <v>418</v>
      </c>
      <c r="C110" s="9" t="s">
        <v>427</v>
      </c>
      <c r="D110" t="str">
        <f t="shared" si="18"/>
        <v>Femenino</v>
      </c>
      <c r="E110" t="str">
        <f t="shared" si="19"/>
        <v>De 24 a 26 años</v>
      </c>
      <c r="F110">
        <f t="shared" si="20"/>
        <v>25</v>
      </c>
      <c r="G110" s="9" t="s">
        <v>428</v>
      </c>
      <c r="H110" s="9" t="str">
        <f t="shared" si="21"/>
        <v>Bachiller</v>
      </c>
      <c r="I110" s="9" t="str">
        <f t="shared" si="22"/>
        <v>Trabajo actualmente como empleado</v>
      </c>
      <c r="J110" s="13" t="str">
        <f>IF(I110="Trabajo actualmente como empleado",IF(MOD((COUNTIF($I$2:I110,"Trabajo actualmente como empleado")-1)*37,150)&lt;100,"Empleado con contrato","Empleado sin contrato formal"),IF(I110="Trabajo de manera independiente","Trabajo independiente",""))</f>
        <v>Empleado sin contrato formal</v>
      </c>
      <c r="K110" s="9" t="str">
        <f>IF(OR(I110="Trabajo actualmente como empleado",I110="Trabajo de manera independiente"),CHOOSE(MOD(COUNTIF($I$2:I110,I110)-1,4)+1,"Menos de 3 meses","De 3 a 6 meses","De 7 a 12 meses","Más de un año"),"")</f>
        <v>Menos de 3 meses</v>
      </c>
      <c r="L110" t="str">
        <f>IF(OR(I110="Trabajo actualmente como empleado",I110="Trabajo de manera independiente"),CHOOSE(MOD(COUNTIF($I$2:I110,I110)-1,3)+1,"Sí, completamente","Parcialmente","No"),"")</f>
        <v>Sí, completamente</v>
      </c>
      <c r="M110" t="str">
        <f>IF(OR(I110="Trabajo actualmente como empleado",I110="Trabajo de manera independiente"),CHOOSE(MOD(INT((COUNTIF($I$2:I110,I110)-1)/3),4)+1,"1- Muy satisfecho/a","2- Satisfecho/a","3- Insatisfecho/a","4- Muy insatisfecho/a"),"")</f>
        <v>1- Muy satisfecho/a</v>
      </c>
      <c r="N110" t="str">
        <f>IF(OR(I110="Trabajo actualmente como empleado",I110="Trabajo de manera independiente"),_xlfn.LET(_xlpm.opcion,MOD(INT((COUNTIF($I$2:I110,I110)-1)/5),6)+1,CHOOSE(IF(AND(_xlpm.opcion=6,L110="Sí, completamente"),5,_xlpm.opcion),"Salario","Estabilidad laboral","Horario","Acceso a prestaciones","Oportunidades de crecimiento","Trabajar en un área relacionada con mi formación")),"")</f>
        <v>Estabilidad laboral</v>
      </c>
      <c r="O110" s="9" t="str">
        <f>IF(OR(I110="Trabajo actualmente como empleado",I110="Trabajo de manera independiente"),_xlfn.LET(_xlpm.turno,MOD(COUNTIF($I$2:I110,I110)-1,5),_xlpm.nivel,VALUE(LEFT(M110,1)),IF(_xlpm.turno=4,"No estoy seguro/a",IF(_xlpm.turno&lt;IF(_xlpm.nivel&lt;=2,1,3),"Sí","No"))),"")</f>
        <v>No</v>
      </c>
      <c r="P110" s="9" t="str">
        <f>_xlfn.LET(_xlpm.perfil,I110,_xlpm.turno,COUNTIF($I$2:I110,_xlpm.perfil)-1,_xlpm.busca,OR(_xlpm.perfil="Actualmente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10" t="str">
        <f>IF(I110="Tengo un emprendimiento o quiero iniciar uno","",CHOOSE(MOD(INT((COUNTIF($I$2:I110,I110)-1)/7),3)+1,"Sí","No","Tengo una pero necesito actualizarla"))</f>
        <v>Tengo una pero necesito actualizarla</v>
      </c>
      <c r="R110" s="9" t="str">
        <f>IF(I110="Tengo un emprendimiento o quiero iniciar uno","",IF(I110="Busco mi primer empleo","No",IF(MOD(COUNTIF($I$2:I110,I110)-1,2)=0,"Sí","No")))</f>
        <v>Sí</v>
      </c>
      <c r="S110" t="str">
        <f>IF(I110="Tengo un emprendimiento o quiero iniciar uno","",CHOOSE(MOD(INT((COUNTIF($I$2:I110,I110)-1)/3),10)+1,"Portales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110" t="str">
        <f>IF(I110="Tengo un emprendimiento o quiero iniciar uno","",_xlfn.LET(_xlpm.opcion,MOD(INT((COUNTIF($I$2:I110,I110)-1)/4),6)+1,CHOOSE(IF(AND(_xlpm.opcion=3,Q110="Sí"),1,_xlpm.opcion),"Falta de experiencia","Falta de formación","Dificultades con la hoja de vida","Horarios disponibles","Transporte","Internet")))</f>
        <v>Horarios disponibles</v>
      </c>
      <c r="U110" s="9" t="str">
        <f>IF(I110="Tengo un emprendimiento o quiero iniciar uno","",IF(MOD(INT((COUNTIF($I$2:I110,I110)-1)/3),2)=0,"Sí","No"))</f>
        <v>Sí</v>
      </c>
      <c r="V110" s="9" t="str">
        <f>IF(I110="Tengo un emprendimiento o quiero iniciar uno",CHOOSE(MOD(COUNTIF($I$2:I110,I110)-1,3)+1,"Tengo un emprendimiento","Estoy iniciando un emprendimiento","Me interesa emprender"),"")</f>
        <v/>
      </c>
      <c r="W110" t="str">
        <f t="shared" si="23"/>
        <v/>
      </c>
      <c r="X110" s="9" t="str">
        <f>IF(I110="Tengo un emprendimiento o quiero iniciar uno",CHOOSE(MOD(COUNTIF($I$2:I110,I110)-1,5)+1,"Falta de financiación","Falta de conocimientos administrativos","Falta de conocimientos financieros","Falta de tiempo","Falta de herramientas"),"")</f>
        <v/>
      </c>
      <c r="Y110" s="9" t="str">
        <f t="shared" si="24"/>
        <v/>
      </c>
      <c r="Z110" t="str">
        <f>IF(I110="Tengo un emprendimiento o quiero iniciar uno",CHOOSE(INT(MOD((COUNTIF($I$2:I110,I110)-1)*7,39)/13)+1,"Sí","No","No conozco programas de ese tipo"),"")</f>
        <v/>
      </c>
      <c r="AA110" t="str">
        <f t="shared" si="25"/>
        <v>No puedo hacerlo</v>
      </c>
      <c r="AB110" t="str">
        <f t="shared" si="25"/>
        <v>No puedo hacerlo</v>
      </c>
      <c r="AC110" t="str">
        <f t="shared" si="26"/>
        <v>Puedo hacerlo con dificultad</v>
      </c>
      <c r="AD110" s="9" t="str">
        <f t="shared" si="27"/>
        <v>Puedo hacerlo con ayuda</v>
      </c>
      <c r="AE110" t="str">
        <f t="shared" si="28"/>
        <v>Puedo hacerlo sin ayuda</v>
      </c>
      <c r="AF110" s="9" t="str">
        <f t="shared" si="29"/>
        <v>Preparación para entrevista</v>
      </c>
      <c r="AG110" s="9" t="str">
        <f t="shared" si="30"/>
        <v>Costos de transporte</v>
      </c>
      <c r="AH110" t="str">
        <f t="shared" si="31"/>
        <v>No conozco ninguno</v>
      </c>
      <c r="AI110" s="9" t="str">
        <f t="shared" si="32"/>
        <v>Me es indiferente</v>
      </c>
      <c r="AJ110" s="9" t="str">
        <f t="shared" si="33"/>
        <v>Fines de semana</v>
      </c>
      <c r="AK110" s="9" t="str">
        <f t="shared" si="34"/>
        <v>WhatsApp</v>
      </c>
    </row>
    <row r="111" spans="1:37">
      <c r="A111" t="str">
        <f t="shared" si="35"/>
        <v>SG110</v>
      </c>
      <c r="B111" t="s">
        <v>418</v>
      </c>
      <c r="C111" s="9" t="s">
        <v>427</v>
      </c>
      <c r="D111" t="str">
        <f t="shared" si="18"/>
        <v>Masculino</v>
      </c>
      <c r="E111" t="str">
        <f t="shared" si="19"/>
        <v>De 26 a 28 años</v>
      </c>
      <c r="F111">
        <f t="shared" si="20"/>
        <v>26</v>
      </c>
      <c r="G111" s="9" t="s">
        <v>428</v>
      </c>
      <c r="H111" s="9" t="str">
        <f t="shared" si="21"/>
        <v>Técnico</v>
      </c>
      <c r="I111" s="9" t="str">
        <f t="shared" si="22"/>
        <v>Trabajo de manera independiente</v>
      </c>
      <c r="J111" s="13" t="str">
        <f>IF(I111="Trabajo actualmente como empleado",IF(MOD((COUNTIF($I$2:I111,"Trabajo actualmente como empleado")-1)*37,150)&lt;100,"Empleado con contrato","Empleado sin contrato formal"),IF(I111="Trabajo de manera independiente","Trabajo independiente",""))</f>
        <v>Trabajo independiente</v>
      </c>
      <c r="K111" s="9" t="str">
        <f>IF(OR(I111="Trabajo actualmente como empleado",I111="Trabajo de manera independiente"),CHOOSE(MOD(COUNTIF($I$2:I111,I111)-1,4)+1,"Menos de 3 meses","De 3 a 6 meses","De 7 a 12 meses","Más de un año"),"")</f>
        <v>De 7 a 12 meses</v>
      </c>
      <c r="L111" t="str">
        <f>IF(OR(I111="Trabajo actualmente como empleado",I111="Trabajo de manera independiente"),CHOOSE(MOD(COUNTIF($I$2:I111,I111)-1,3)+1,"Sí, completamente","Parcialmente","No"),"")</f>
        <v>Sí, completamente</v>
      </c>
      <c r="M111" t="str">
        <f>IF(OR(I111="Trabajo actualmente como empleado",I111="Trabajo de manera independiente"),CHOOSE(MOD(INT((COUNTIF($I$2:I111,I111)-1)/3),4)+1,"1- Muy satisfecho/a","2- Satisfecho/a","3- Insatisfecho/a","4- Muy insatisfecho/a"),"")</f>
        <v>3- Insatisfecho/a</v>
      </c>
      <c r="N111" t="str">
        <f>IF(OR(I111="Trabajo actualmente como empleado",I111="Trabajo de manera independiente"),_xlfn.LET(_xlpm.opcion,MOD(INT((COUNTIF($I$2:I111,I111)-1)/5),6)+1,CHOOSE(IF(AND(_xlpm.opcion=6,L111="Sí, completamente"),5,_xlpm.opcion),"Salario","Estabilidad laboral","Horario","Acceso a prestaciones","Oportunidades de crecimiento","Trabajar en un área relacionada con mi formación")),"")</f>
        <v>Acceso a prestaciones</v>
      </c>
      <c r="O111" s="9" t="str">
        <f>IF(OR(I111="Trabajo actualmente como empleado",I111="Trabajo de manera independiente"),_xlfn.LET(_xlpm.turno,MOD(COUNTIF($I$2:I111,I111)-1,5),_xlpm.nivel,VALUE(LEFT(M111,1)),IF(_xlpm.turno=4,"No estoy seguro/a",IF(_xlpm.turno&lt;IF(_xlpm.nivel&lt;=2,1,3),"Sí","No"))),"")</f>
        <v>No</v>
      </c>
      <c r="P111" s="9" t="str">
        <f>_xlfn.LET(_xlpm.perfil,I111,_xlpm.turno,COUNTIF($I$2:I111,_xlpm.perfil)-1,_xlpm.busca,OR(_xlpm.perfil="Actualmente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11" t="str">
        <f>IF(I111="Tengo un emprendimiento o quiero iniciar uno","",CHOOSE(MOD(INT((COUNTIF($I$2:I111,I111)-1)/7),3)+1,"Sí","No","Tengo una pero necesito actualizarla"))</f>
        <v>Tengo una pero necesito actualizarla</v>
      </c>
      <c r="R111" s="9" t="str">
        <f>IF(I111="Tengo un emprendimiento o quiero iniciar uno","",IF(I111="Busco mi primer empleo","No",IF(MOD(COUNTIF($I$2:I111,I111)-1,2)=0,"Sí","No")))</f>
        <v>Sí</v>
      </c>
      <c r="S111" t="str">
        <f>IF(I111="Tengo un emprendimiento o quiero iniciar uno","",CHOOSE(MOD(INT((COUNTIF($I$2:I111,I111)-1)/3),10)+1,"Portales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11" t="str">
        <f>IF(I111="Tengo un emprendimiento o quiero iniciar uno","",_xlfn.LET(_xlpm.opcion,MOD(INT((COUNTIF($I$2:I111,I111)-1)/4),6)+1,CHOOSE(IF(AND(_xlpm.opcion=3,Q111="Sí"),1,_xlpm.opcion),"Falta de experiencia","Falta de formación","Dificultades con la hoja de vida","Horarios disponibles","Transporte","Internet")))</f>
        <v>Transporte</v>
      </c>
      <c r="U111" s="9" t="str">
        <f>IF(I111="Tengo un emprendimiento o quiero iniciar uno","",IF(MOD(INT((COUNTIF($I$2:I111,I111)-1)/3),2)=0,"Sí","No"))</f>
        <v>Sí</v>
      </c>
      <c r="V111" s="9" t="str">
        <f>IF(I111="Tengo un emprendimiento o quiero iniciar uno",CHOOSE(MOD(COUNTIF($I$2:I111,I111)-1,3)+1,"Tengo un emprendimiento","Estoy iniciando un emprendimiento","Me interesa emprender"),"")</f>
        <v/>
      </c>
      <c r="W111" t="str">
        <f t="shared" si="23"/>
        <v/>
      </c>
      <c r="X111" s="9" t="str">
        <f>IF(I111="Tengo un emprendimiento o quiero iniciar uno",CHOOSE(MOD(COUNTIF($I$2:I111,I111)-1,5)+1,"Falta de financiación","Falta de conocimientos administrativos","Falta de conocimientos financieros","Falta de tiempo","Falta de herramientas"),"")</f>
        <v/>
      </c>
      <c r="Y111" s="9" t="str">
        <f t="shared" si="24"/>
        <v/>
      </c>
      <c r="Z111" t="str">
        <f>IF(I111="Tengo un emprendimiento o quiero iniciar uno",CHOOSE(INT(MOD((COUNTIF($I$2:I111,I111)-1)*7,39)/13)+1,"Sí","No","No conozco programas de ese tipo"),"")</f>
        <v/>
      </c>
      <c r="AA111" t="str">
        <f t="shared" si="25"/>
        <v>Puedo hacerlo con ayuda</v>
      </c>
      <c r="AB111" t="str">
        <f t="shared" si="25"/>
        <v>Puedo hacerlo con ayuda</v>
      </c>
      <c r="AC111" t="str">
        <f t="shared" si="26"/>
        <v>Puedo hacerlo sin ayuda</v>
      </c>
      <c r="AD111" s="9" t="str">
        <f t="shared" si="27"/>
        <v>Puedo hacerlo con dificultad</v>
      </c>
      <c r="AE111" t="str">
        <f t="shared" si="28"/>
        <v>Puedo hacerlo sin ayuda</v>
      </c>
      <c r="AF111" s="9" t="str">
        <f t="shared" si="29"/>
        <v>Comunicación</v>
      </c>
      <c r="AG111" s="9" t="str">
        <f t="shared" si="30"/>
        <v>Costos de transporte</v>
      </c>
      <c r="AH111" t="str">
        <f t="shared" si="31"/>
        <v>Ferias de empleo</v>
      </c>
      <c r="AI111" s="9" t="str">
        <f t="shared" si="32"/>
        <v>Presencial</v>
      </c>
      <c r="AJ111" s="9" t="str">
        <f t="shared" si="33"/>
        <v>Nocturno</v>
      </c>
      <c r="AK111" s="9" t="str">
        <f t="shared" si="34"/>
        <v>Correo electrónico</v>
      </c>
    </row>
    <row r="112" spans="1:37">
      <c r="A112" t="str">
        <f t="shared" si="35"/>
        <v>SG111</v>
      </c>
      <c r="B112" t="s">
        <v>418</v>
      </c>
      <c r="C112" s="9" t="s">
        <v>427</v>
      </c>
      <c r="D112" t="str">
        <f t="shared" si="18"/>
        <v>Masculino</v>
      </c>
      <c r="E112" t="str">
        <f t="shared" si="19"/>
        <v>De 18 a 20 años</v>
      </c>
      <c r="F112">
        <f t="shared" si="20"/>
        <v>18</v>
      </c>
      <c r="G112" s="9" t="s">
        <v>428</v>
      </c>
      <c r="H112" s="9" t="str">
        <f t="shared" si="21"/>
        <v>Bachiller</v>
      </c>
      <c r="I112" s="9" t="str">
        <f t="shared" si="22"/>
        <v>Busco mi primer empleo</v>
      </c>
      <c r="J112" s="13" t="str">
        <f>IF(I112="Trabajo actualmente como empleado",IF(MOD((COUNTIF($I$2:I112,"Trabajo actualmente como empleado")-1)*37,150)&lt;100,"Empleado con contrato","Empleado sin contrato formal"),IF(I112="Trabajo de manera independiente","Trabajo independiente",""))</f>
        <v/>
      </c>
      <c r="K112" s="9" t="str">
        <f>IF(OR(I112="Trabajo actualmente como empleado",I112="Trabajo de manera independiente"),CHOOSE(MOD(COUNTIF($I$2:I112,I112)-1,4)+1,"Menos de 3 meses","De 3 a 6 meses","De 7 a 12 meses","Más de un año"),"")</f>
        <v/>
      </c>
      <c r="L112" t="str">
        <f>IF(OR(I112="Trabajo actualmente como empleado",I112="Trabajo de manera independiente"),CHOOSE(MOD(COUNTIF($I$2:I112,I112)-1,3)+1,"Sí, completamente","Parcialmente","No"),"")</f>
        <v/>
      </c>
      <c r="M112" t="str">
        <f>IF(OR(I112="Trabajo actualmente como empleado",I112="Trabajo de manera independiente"),CHOOSE(MOD(INT((COUNTIF($I$2:I112,I112)-1)/3),4)+1,"1- Muy satisfecho/a","2- Satisfecho/a","3- Insatisfecho/a","4- Muy insatisfecho/a"),"")</f>
        <v/>
      </c>
      <c r="N112" t="str">
        <f>IF(OR(I112="Trabajo actualmente como empleado",I112="Trabajo de manera independiente"),_xlfn.LET(_xlpm.opcion,MOD(INT((COUNTIF($I$2:I112,I112)-1)/5),6)+1,CHOOSE(IF(AND(_xlpm.opcion=6,L112="Sí, completamente"),5,_xlpm.opcion),"Salario","Estabilidad laboral","Horario","Acceso a prestaciones","Oportunidades de crecimiento","Trabajar en un área relacionada con mi formación")),"")</f>
        <v/>
      </c>
      <c r="O112" s="9" t="str">
        <f>IF(OR(I112="Trabajo actualmente como empleado",I112="Trabajo de manera independiente"),_xlfn.LET(_xlpm.turno,MOD(COUNTIF($I$2:I112,I112)-1,5),_xlpm.nivel,VALUE(LEFT(M112,1)),IF(_xlpm.turno=4,"No estoy seguro/a",IF(_xlpm.turno&lt;IF(_xlpm.nivel&lt;=2,1,3),"Sí","No"))),"")</f>
        <v/>
      </c>
      <c r="P112" s="9" t="str">
        <f>_xlfn.LET(_xlpm.perfil,I112,_xlpm.turno,COUNTIF($I$2:I112,_xlpm.perfil)-1,_xlpm.busca,OR(_xlpm.perfil="Actualmente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trabajar"),IF(AND(_xlpm.trabaja,O112="No"),"Todavía no he iniciado una búsqueda activa",CHOOSE(MOD(_xlpm.turno*3,5)+1,"Menos de 1 mes","Entre 1 y 3 meses","Entre 4 y 6 meses","Más de 6 meses","Todavía no he iniciado una búsqueda activa")),"")))</f>
        <v>Entre 1 y 3 meses</v>
      </c>
      <c r="Q112" t="str">
        <f>IF(I112="Tengo un emprendimiento o quiero iniciar uno","",CHOOSE(MOD(INT((COUNTIF($I$2:I112,I112)-1)/7),3)+1,"Sí","No","Tengo una pero necesito actualizarla"))</f>
        <v>Tengo una pero necesito actualizarla</v>
      </c>
      <c r="R112" s="9" t="str">
        <f>IF(I112="Tengo un emprendimiento o quiero iniciar uno","",IF(I112="Busco mi primer empleo","No",IF(MOD(COUNTIF($I$2:I112,I112)-1,2)=0,"Sí","No")))</f>
        <v>No</v>
      </c>
      <c r="S112" t="str">
        <f>IF(I112="Tengo un emprendimiento o quiero iniciar uno","",CHOOSE(MOD(INT((COUNTIF($I$2:I112,I112)-1)/3),10)+1,"Portales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12" t="str">
        <f>IF(I112="Tengo un emprendimiento o quiero iniciar uno","",_xlfn.LET(_xlpm.opcion,MOD(INT((COUNTIF($I$2:I112,I112)-1)/4),6)+1,CHOOSE(IF(AND(_xlpm.opcion=3,Q112="Sí"),1,_xlpm.opcion),"Falta de experiencia","Falta de formación","Dificultades con la hoja de vida","Horarios disponibles","Transporte","Internet")))</f>
        <v>Horarios disponibles</v>
      </c>
      <c r="U112" s="9" t="str">
        <f>IF(I112="Tengo un emprendimiento o quiero iniciar uno","",IF(MOD(INT((COUNTIF($I$2:I112,I112)-1)/3),2)=0,"Sí","No"))</f>
        <v>No</v>
      </c>
      <c r="V112" s="9" t="str">
        <f>IF(I112="Tengo un emprendimiento o quiero iniciar uno",CHOOSE(MOD(COUNTIF($I$2:I112,I112)-1,3)+1,"Tengo un emprendimiento","Estoy iniciando un emprendimiento","Me interesa emprender"),"")</f>
        <v/>
      </c>
      <c r="W112" t="str">
        <f t="shared" si="23"/>
        <v/>
      </c>
      <c r="X112" s="9" t="str">
        <f>IF(I112="Tengo un emprendimiento o quiero iniciar uno",CHOOSE(MOD(COUNTIF($I$2:I112,I112)-1,5)+1,"Falta de financiación","Falta de conocimientos administrativos","Falta de conocimientos financieros","Falta de tiempo","Falta de herramientas"),"")</f>
        <v/>
      </c>
      <c r="Y112" s="9" t="str">
        <f t="shared" si="24"/>
        <v/>
      </c>
      <c r="Z112" t="str">
        <f>IF(I112="Tengo un emprendimiento o quiero iniciar uno",CHOOSE(INT(MOD((COUNTIF($I$2:I112,I112)-1)*7,39)/13)+1,"Sí","No","No conozco programas de ese tipo"),"")</f>
        <v/>
      </c>
      <c r="AA112" t="str">
        <f t="shared" si="25"/>
        <v>Puedo hacerlo sin ayuda</v>
      </c>
      <c r="AB112" t="str">
        <f t="shared" si="25"/>
        <v>Puedo hacerlo sin ayuda</v>
      </c>
      <c r="AC112" t="str">
        <f t="shared" si="26"/>
        <v>No puedo hacerlo</v>
      </c>
      <c r="AD112" s="9" t="str">
        <f t="shared" si="27"/>
        <v>Puedo hacerlo con dificultad</v>
      </c>
      <c r="AE112" t="str">
        <f t="shared" si="28"/>
        <v>No puedo hacerlo</v>
      </c>
      <c r="AF112" s="9" t="str">
        <f t="shared" si="29"/>
        <v>Liderazgo</v>
      </c>
      <c r="AG112" s="9" t="str">
        <f t="shared" si="30"/>
        <v>Costos de transporte</v>
      </c>
      <c r="AH112" t="str">
        <f t="shared" si="31"/>
        <v>No conozco ninguno</v>
      </c>
      <c r="AI112" s="9" t="str">
        <f t="shared" si="32"/>
        <v>Virtual</v>
      </c>
      <c r="AJ112" s="9" t="str">
        <f t="shared" si="33"/>
        <v>Mañana entre semana</v>
      </c>
      <c r="AK112" s="9" t="str">
        <f t="shared" si="34"/>
        <v>Celular</v>
      </c>
    </row>
    <row r="113" spans="1:37">
      <c r="A113" t="str">
        <f t="shared" si="35"/>
        <v>SG112</v>
      </c>
      <c r="B113" t="s">
        <v>418</v>
      </c>
      <c r="C113" s="9" t="s">
        <v>427</v>
      </c>
      <c r="D113" t="str">
        <f t="shared" si="18"/>
        <v>Femenino</v>
      </c>
      <c r="E113" t="str">
        <f t="shared" si="19"/>
        <v>De 20 a 22 años</v>
      </c>
      <c r="F113">
        <f t="shared" si="20"/>
        <v>20</v>
      </c>
      <c r="G113" s="9" t="s">
        <v>428</v>
      </c>
      <c r="H113" s="9" t="str">
        <f t="shared" si="21"/>
        <v>Técnico</v>
      </c>
      <c r="I113" s="9" t="str">
        <f t="shared" si="22"/>
        <v>Trabajo actualmente como empleado</v>
      </c>
      <c r="J113" s="13" t="str">
        <f>IF(I113="Trabajo actualmente como empleado",IF(MOD((COUNTIF($I$2:I113,"Trabajo actualmente como empleado")-1)*37,150)&lt;100,"Empleado con contrato","Empleado sin contrato formal"),IF(I113="Trabajo de manera independiente","Trabajo independiente",""))</f>
        <v>Empleado con contrato</v>
      </c>
      <c r="K113" s="9" t="str">
        <f>IF(OR(I113="Trabajo actualmente como empleado",I113="Trabajo de manera independiente"),CHOOSE(MOD(COUNTIF($I$2:I113,I113)-1,4)+1,"Menos de 3 meses","De 3 a 6 meses","De 7 a 12 meses","Más de un año"),"")</f>
        <v>De 3 a 6 meses</v>
      </c>
      <c r="L113" t="str">
        <f>IF(OR(I113="Trabajo actualmente como empleado",I113="Trabajo de manera independiente"),CHOOSE(MOD(COUNTIF($I$2:I113,I113)-1,3)+1,"Sí, completamente","Parcialmente","No"),"")</f>
        <v>Parcialmente</v>
      </c>
      <c r="M113" t="str">
        <f>IF(OR(I113="Trabajo actualmente como empleado",I113="Trabajo de manera independiente"),CHOOSE(MOD(INT((COUNTIF($I$2:I113,I113)-1)/3),4)+1,"1- Muy satisfecho/a","2- Satisfecho/a","3- Insatisfecho/a","4- Muy insatisfecho/a"),"")</f>
        <v>1- Muy satisfecho/a</v>
      </c>
      <c r="N113" t="str">
        <f>IF(OR(I113="Trabajo actualmente como empleado",I113="Trabajo de manera independiente"),_xlfn.LET(_xlpm.opcion,MOD(INT((COUNTIF($I$2:I113,I113)-1)/5),6)+1,CHOOSE(IF(AND(_xlpm.opcion=6,L113="Sí, completamente"),5,_xlpm.opcion),"Salario","Estabilidad laboral","Horario","Acceso a prestaciones","Oportunidades de crecimiento","Trabajar en un área relacionada con mi formación")),"")</f>
        <v>Estabilidad laboral</v>
      </c>
      <c r="O113" s="9" t="str">
        <f>IF(OR(I113="Trabajo actualmente como empleado",I113="Trabajo de manera independiente"),_xlfn.LET(_xlpm.turno,MOD(COUNTIF($I$2:I113,I113)-1,5),_xlpm.nivel,VALUE(LEFT(M113,1)),IF(_xlpm.turno=4,"No estoy seguro/a",IF(_xlpm.turno&lt;IF(_xlpm.nivel&lt;=2,1,3),"Sí","No"))),"")</f>
        <v>No</v>
      </c>
      <c r="P113" s="9" t="str">
        <f>_xlfn.LET(_xlpm.perfil,I113,_xlpm.turno,COUNTIF($I$2:I113,_xlpm.perfil)-1,_xlpm.busca,OR(_xlpm.perfil="Actualmente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13" t="str">
        <f>IF(I113="Tengo un emprendimiento o quiero iniciar uno","",CHOOSE(MOD(INT((COUNTIF($I$2:I113,I113)-1)/7),3)+1,"Sí","No","Tengo una pero necesito actualizarla"))</f>
        <v>Tengo una pero necesito actualizarla</v>
      </c>
      <c r="R113" s="9" t="str">
        <f>IF(I113="Tengo un emprendimiento o quiero iniciar uno","",IF(I113="Busco mi primer empleo","No",IF(MOD(COUNTIF($I$2:I113,I113)-1,2)=0,"Sí","No")))</f>
        <v>No</v>
      </c>
      <c r="S113" t="str">
        <f>IF(I113="Tengo un emprendimiento o quiero iniciar uno","",CHOOSE(MOD(INT((COUNTIF($I$2:I113,I113)-1)/3),10)+1,"Portales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113" t="str">
        <f>IF(I113="Tengo un emprendimiento o quiero iniciar uno","",_xlfn.LET(_xlpm.opcion,MOD(INT((COUNTIF($I$2:I113,I113)-1)/4),6)+1,CHOOSE(IF(AND(_xlpm.opcion=3,Q113="Sí"),1,_xlpm.opcion),"Falta de experiencia","Falta de formación","Dificultades con la hoja de vida","Horarios disponibles","Transporte","Internet")))</f>
        <v>Horarios disponibles</v>
      </c>
      <c r="U113" s="9" t="str">
        <f>IF(I113="Tengo un emprendimiento o quiero iniciar uno","",IF(MOD(INT((COUNTIF($I$2:I113,I113)-1)/3),2)=0,"Sí","No"))</f>
        <v>Sí</v>
      </c>
      <c r="V113" s="9" t="str">
        <f>IF(I113="Tengo un emprendimiento o quiero iniciar uno",CHOOSE(MOD(COUNTIF($I$2:I113,I113)-1,3)+1,"Tengo un emprendimiento","Estoy iniciando un emprendimiento","Me interesa emprender"),"")</f>
        <v/>
      </c>
      <c r="W113" t="str">
        <f t="shared" si="23"/>
        <v/>
      </c>
      <c r="X113" s="9" t="str">
        <f>IF(I113="Tengo un emprendimiento o quiero iniciar uno",CHOOSE(MOD(COUNTIF($I$2:I113,I113)-1,5)+1,"Falta de financiación","Falta de conocimientos administrativos","Falta de conocimientos financieros","Falta de tiempo","Falta de herramientas"),"")</f>
        <v/>
      </c>
      <c r="Y113" s="9" t="str">
        <f t="shared" si="24"/>
        <v/>
      </c>
      <c r="Z113" t="str">
        <f>IF(I113="Tengo un emprendimiento o quiero iniciar uno",CHOOSE(INT(MOD((COUNTIF($I$2:I113,I113)-1)*7,39)/13)+1,"Sí","No","No conozco programas de ese tipo"),"")</f>
        <v/>
      </c>
      <c r="AA113" t="str">
        <f t="shared" si="25"/>
        <v>Puedo hacerlo con ayuda</v>
      </c>
      <c r="AB113" t="str">
        <f t="shared" si="25"/>
        <v>Puedo hacerlo con ayuda</v>
      </c>
      <c r="AC113" t="str">
        <f t="shared" si="26"/>
        <v>Puedo hacerlo con dificultad</v>
      </c>
      <c r="AD113" s="9" t="str">
        <f t="shared" si="27"/>
        <v>Puedo hacerlo sin ayuda</v>
      </c>
      <c r="AE113" t="str">
        <f t="shared" si="28"/>
        <v>Puedo hacerlo con ayuda</v>
      </c>
      <c r="AF113" s="9" t="str">
        <f t="shared" si="29"/>
        <v>Emprendimiento</v>
      </c>
      <c r="AG113" s="9" t="str">
        <f t="shared" si="30"/>
        <v>Horarios;Falta de información</v>
      </c>
      <c r="AH113" t="str">
        <f t="shared" si="31"/>
        <v>Oficina de orientación laboral</v>
      </c>
      <c r="AI113" s="9" t="str">
        <f t="shared" si="32"/>
        <v>Presencial y virtual</v>
      </c>
      <c r="AJ113" s="9" t="str">
        <f t="shared" si="33"/>
        <v>Fines de semana</v>
      </c>
      <c r="AK113" s="9" t="str">
        <f t="shared" si="34"/>
        <v>WhatsApp</v>
      </c>
    </row>
    <row r="114" spans="1:37">
      <c r="A114" t="str">
        <f t="shared" si="35"/>
        <v>SG113</v>
      </c>
      <c r="B114" t="s">
        <v>418</v>
      </c>
      <c r="C114" s="9" t="s">
        <v>427</v>
      </c>
      <c r="D114" t="str">
        <f t="shared" si="18"/>
        <v>Masculino</v>
      </c>
      <c r="E114" t="str">
        <f t="shared" si="19"/>
        <v>De 22 a 24 años</v>
      </c>
      <c r="F114">
        <f t="shared" si="20"/>
        <v>22</v>
      </c>
      <c r="G114" s="9" t="s">
        <v>428</v>
      </c>
      <c r="H114" s="9" t="str">
        <f t="shared" si="21"/>
        <v>Técnico</v>
      </c>
      <c r="I114" s="9" t="str">
        <f t="shared" si="22"/>
        <v>Trabajo de manera independiente</v>
      </c>
      <c r="J114" s="13" t="str">
        <f>IF(I114="Trabajo actualmente como empleado",IF(MOD((COUNTIF($I$2:I114,"Trabajo actualmente como empleado")-1)*37,150)&lt;100,"Empleado con contrato","Empleado sin contrato formal"),IF(I114="Trabajo de manera independiente","Trabajo independiente",""))</f>
        <v>Trabajo independiente</v>
      </c>
      <c r="K114" s="9" t="str">
        <f>IF(OR(I114="Trabajo actualmente como empleado",I114="Trabajo de manera independiente"),CHOOSE(MOD(COUNTIF($I$2:I114,I114)-1,4)+1,"Menos de 3 meses","De 3 a 6 meses","De 7 a 12 meses","Más de un año"),"")</f>
        <v>Más de un año</v>
      </c>
      <c r="L114" t="str">
        <f>IF(OR(I114="Trabajo actualmente como empleado",I114="Trabajo de manera independiente"),CHOOSE(MOD(COUNTIF($I$2:I114,I114)-1,3)+1,"Sí, completamente","Parcialmente","No"),"")</f>
        <v>Parcialmente</v>
      </c>
      <c r="M114" t="str">
        <f>IF(OR(I114="Trabajo actualmente como empleado",I114="Trabajo de manera independiente"),CHOOSE(MOD(INT((COUNTIF($I$2:I114,I114)-1)/3),4)+1,"1- Muy satisfecho/a","2- Satisfecho/a","3- Insatisfecho/a","4- Muy insatisfecho/a"),"")</f>
        <v>3- Insatisfecho/a</v>
      </c>
      <c r="N114" t="str">
        <f>IF(OR(I114="Trabajo actualmente como empleado",I114="Trabajo de manera independiente"),_xlfn.LET(_xlpm.opcion,MOD(INT((COUNTIF($I$2:I114,I114)-1)/5),6)+1,CHOOSE(IF(AND(_xlpm.opcion=6,L114="Sí, completamente"),5,_xlpm.opcion),"Salario","Estabilidad laboral","Horario","Acceso a prestaciones","Oportunidades de crecimiento","Trabajar en un área relacionada con mi formación")),"")</f>
        <v>Acceso a prestaciones</v>
      </c>
      <c r="O114" s="9" t="str">
        <f>IF(OR(I114="Trabajo actualmente como empleado",I114="Trabajo de manera independiente"),_xlfn.LET(_xlpm.turno,MOD(COUNTIF($I$2:I114,I114)-1,5),_xlpm.nivel,VALUE(LEFT(M114,1)),IF(_xlpm.turno=4,"No estoy seguro/a",IF(_xlpm.turno&lt;IF(_xlpm.nivel&lt;=2,1,3),"Sí","No"))),"")</f>
        <v>No estoy seguro/a</v>
      </c>
      <c r="P114" s="9" t="str">
        <f>_xlfn.LET(_xlpm.perfil,I114,_xlpm.turno,COUNTIF($I$2:I114,_xlpm.perfil)-1,_xlpm.busca,OR(_xlpm.perfil="Actualmente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trabajar"),IF(AND(_xlpm.trabaja,O114="No"),"Todavía no he iniciado una búsqueda activa",CHOOSE(MOD(_xlpm.turno*3,5)+1,"Menos de 1 mes","Entre 1 y 3 meses","Entre 4 y 6 meses","Más de 6 meses","Todavía no he iniciado una búsqueda activa")),"")))</f>
        <v>Entre 4 y 6 meses</v>
      </c>
      <c r="Q114" t="str">
        <f>IF(I114="Tengo un emprendimiento o quiero iniciar uno","",CHOOSE(MOD(INT((COUNTIF($I$2:I114,I114)-1)/7),3)+1,"Sí","No","Tengo una pero necesito actualizarla"))</f>
        <v>Tengo una pero necesito actualizarla</v>
      </c>
      <c r="R114" s="9" t="str">
        <f>IF(I114="Tengo un emprendimiento o quiero iniciar uno","",IF(I114="Busco mi primer empleo","No",IF(MOD(COUNTIF($I$2:I114,I114)-1,2)=0,"Sí","No")))</f>
        <v>No</v>
      </c>
      <c r="S114" t="str">
        <f>IF(I114="Tengo un emprendimiento o quiero iniciar uno","",CHOOSE(MOD(INT((COUNTIF($I$2:I114,I114)-1)/3),10)+1,"Portales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14" t="str">
        <f>IF(I114="Tengo un emprendimiento o quiero iniciar uno","",_xlfn.LET(_xlpm.opcion,MOD(INT((COUNTIF($I$2:I114,I114)-1)/4),6)+1,CHOOSE(IF(AND(_xlpm.opcion=3,Q114="Sí"),1,_xlpm.opcion),"Falta de experiencia","Falta de formación","Dificultades con la hoja de vida","Horarios disponibles","Transporte","Internet")))</f>
        <v>Transporte</v>
      </c>
      <c r="U114" s="9" t="str">
        <f>IF(I114="Tengo un emprendimiento o quiero iniciar uno","",IF(MOD(INT((COUNTIF($I$2:I114,I114)-1)/3),2)=0,"Sí","No"))</f>
        <v>Sí</v>
      </c>
      <c r="V114" s="9" t="str">
        <f>IF(I114="Tengo un emprendimiento o quiero iniciar uno",CHOOSE(MOD(COUNTIF($I$2:I114,I114)-1,3)+1,"Tengo un emprendimiento","Estoy iniciando un emprendimiento","Me interesa emprender"),"")</f>
        <v/>
      </c>
      <c r="W114" t="str">
        <f t="shared" si="23"/>
        <v/>
      </c>
      <c r="X114" s="9" t="str">
        <f>IF(I114="Tengo un emprendimiento o quiero iniciar uno",CHOOSE(MOD(COUNTIF($I$2:I114,I114)-1,5)+1,"Falta de financiación","Falta de conocimientos administrativos","Falta de conocimientos financieros","Falta de tiempo","Falta de herramientas"),"")</f>
        <v/>
      </c>
      <c r="Y114" s="9" t="str">
        <f t="shared" si="24"/>
        <v/>
      </c>
      <c r="Z114" t="str">
        <f>IF(I114="Tengo un emprendimiento o quiero iniciar uno",CHOOSE(INT(MOD((COUNTIF($I$2:I114,I114)-1)*7,39)/13)+1,"Sí","No","No conozco programas de ese tipo"),"")</f>
        <v/>
      </c>
      <c r="AA114" t="str">
        <f t="shared" si="25"/>
        <v>Puedo hacerlo con dificultad</v>
      </c>
      <c r="AB114" t="str">
        <f t="shared" si="25"/>
        <v>Puedo hacerlo con dificultad</v>
      </c>
      <c r="AC114" t="str">
        <f t="shared" si="26"/>
        <v>Puedo hacerlo sin ayuda</v>
      </c>
      <c r="AD114" s="9" t="str">
        <f t="shared" si="27"/>
        <v>No puedo hacerlo</v>
      </c>
      <c r="AE114" t="str">
        <f t="shared" si="28"/>
        <v>Puedo hacerlo con ayuda</v>
      </c>
      <c r="AF114" s="9" t="str">
        <f t="shared" si="29"/>
        <v>Herramientas digitales</v>
      </c>
      <c r="AG114" s="9" t="str">
        <f t="shared" si="30"/>
        <v>Horarios;Falta de información</v>
      </c>
      <c r="AH114" t="str">
        <f t="shared" si="31"/>
        <v>Programas de emprendimiento</v>
      </c>
      <c r="AI114" s="9" t="str">
        <f t="shared" si="32"/>
        <v>Me es indiferente</v>
      </c>
      <c r="AJ114" s="9" t="str">
        <f t="shared" si="33"/>
        <v>Nocturno</v>
      </c>
      <c r="AK114" s="9" t="str">
        <f t="shared" si="34"/>
        <v>Redes sociales</v>
      </c>
    </row>
    <row r="115" spans="1:37">
      <c r="A115" t="str">
        <f t="shared" si="35"/>
        <v>SG114</v>
      </c>
      <c r="B115" t="s">
        <v>418</v>
      </c>
      <c r="C115" s="9" t="s">
        <v>427</v>
      </c>
      <c r="D115" t="str">
        <f t="shared" si="18"/>
        <v>Masculino</v>
      </c>
      <c r="E115" t="str">
        <f t="shared" si="19"/>
        <v>De 24 a 26 años</v>
      </c>
      <c r="F115">
        <f t="shared" si="20"/>
        <v>24</v>
      </c>
      <c r="G115" s="9" t="s">
        <v>428</v>
      </c>
      <c r="H115" s="9" t="str">
        <f t="shared" si="21"/>
        <v>Tecnólogo</v>
      </c>
      <c r="I115" s="9" t="str">
        <f t="shared" si="22"/>
        <v>Estudio y quiero comenzar a trabajar</v>
      </c>
      <c r="J115" s="13" t="str">
        <f>IF(I115="Trabajo actualmente como empleado",IF(MOD((COUNTIF($I$2:I115,"Trabajo actualmente como empleado")-1)*37,150)&lt;100,"Empleado con contrato","Empleado sin contrato formal"),IF(I115="Trabajo de manera independiente","Trabajo independiente",""))</f>
        <v/>
      </c>
      <c r="K115" s="9" t="str">
        <f>IF(OR(I115="Trabajo actualmente como empleado",I115="Trabajo de manera independiente"),CHOOSE(MOD(COUNTIF($I$2:I115,I115)-1,4)+1,"Menos de 3 meses","De 3 a 6 meses","De 7 a 12 meses","Más de un año"),"")</f>
        <v/>
      </c>
      <c r="L115" t="str">
        <f>IF(OR(I115="Trabajo actualmente como empleado",I115="Trabajo de manera independiente"),CHOOSE(MOD(COUNTIF($I$2:I115,I115)-1,3)+1,"Sí, completamente","Parcialmente","No"),"")</f>
        <v/>
      </c>
      <c r="M115" t="str">
        <f>IF(OR(I115="Trabajo actualmente como empleado",I115="Trabajo de manera independiente"),CHOOSE(MOD(INT((COUNTIF($I$2:I115,I115)-1)/3),4)+1,"1- Muy satisfecho/a","2- Satisfecho/a","3- Insatisfecho/a","4- Muy insatisfecho/a"),"")</f>
        <v/>
      </c>
      <c r="N115" t="str">
        <f>IF(OR(I115="Trabajo actualmente como empleado",I115="Trabajo de manera independiente"),_xlfn.LET(_xlpm.opcion,MOD(INT((COUNTIF($I$2:I115,I115)-1)/5),6)+1,CHOOSE(IF(AND(_xlpm.opcion=6,L115="Sí, completamente"),5,_xlpm.opcion),"Salario","Estabilidad laboral","Horario","Acceso a prestaciones","Oportunidades de crecimiento","Trabajar en un área relacionada con mi formación")),"")</f>
        <v/>
      </c>
      <c r="O115" s="9" t="str">
        <f>IF(OR(I115="Trabajo actualmente como empleado",I115="Trabajo de manera independiente"),_xlfn.LET(_xlpm.turno,MOD(COUNTIF($I$2:I115,I115)-1,5),_xlpm.nivel,VALUE(LEFT(M115,1)),IF(_xlpm.turno=4,"No estoy seguro/a",IF(_xlpm.turno&lt;IF(_xlpm.nivel&lt;=2,1,3),"Sí","No"))),"")</f>
        <v/>
      </c>
      <c r="P115" s="9" t="str">
        <f>_xlfn.LET(_xlpm.perfil,I115,_xlpm.turno,COUNTIF($I$2:I115,_xlpm.perfil)-1,_xlpm.busca,OR(_xlpm.perfil="Actualmente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trabajar"),IF(AND(_xlpm.trabaja,O115="No"),"Todavía no he iniciado una búsqueda activa",CHOOSE(MOD(_xlpm.turno*3,5)+1,"Menos de 1 mes","Entre 1 y 3 meses","Entre 4 y 6 meses","Más de 6 meses","Todavía no he iniciado una búsqueda activa")),"")))</f>
        <v>Entre 1 y 3 meses</v>
      </c>
      <c r="Q115" t="str">
        <f>IF(I115="Tengo un emprendimiento o quiero iniciar uno","",CHOOSE(MOD(INT((COUNTIF($I$2:I115,I115)-1)/7),3)+1,"Sí","No","Tengo una pero necesito actualizarla"))</f>
        <v>No</v>
      </c>
      <c r="R115" s="9" t="str">
        <f>IF(I115="Tengo un emprendimiento o quiero iniciar uno","",IF(I115="Busco mi primer empleo","No",IF(MOD(COUNTIF($I$2:I115,I115)-1,2)=0,"Sí","No")))</f>
        <v>Sí</v>
      </c>
      <c r="S115" t="str">
        <f>IF(I115="Tengo un emprendimiento o quiero iniciar uno","",CHOOSE(MOD(INT((COUNTIF($I$2:I115,I115)-1)/3),10)+1,"Portales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115" t="str">
        <f>IF(I115="Tengo un emprendimiento o quiero iniciar uno","",_xlfn.LET(_xlpm.opcion,MOD(INT((COUNTIF($I$2:I115,I115)-1)/4),6)+1,CHOOSE(IF(AND(_xlpm.opcion=3,Q115="Sí"),1,_xlpm.opcion),"Falta de experiencia","Falta de formación","Dificultades con la hoja de vida","Horarios disponibles","Transporte","Internet")))</f>
        <v>Horarios disponibles</v>
      </c>
      <c r="U115" s="9" t="str">
        <f>IF(I115="Tengo un emprendimiento o quiero iniciar uno","",IF(MOD(INT((COUNTIF($I$2:I115,I115)-1)/3),2)=0,"Sí","No"))</f>
        <v>Sí</v>
      </c>
      <c r="V115" s="9" t="str">
        <f>IF(I115="Tengo un emprendimiento o quiero iniciar uno",CHOOSE(MOD(COUNTIF($I$2:I115,I115)-1,3)+1,"Tengo un emprendimiento","Estoy iniciando un emprendimiento","Me interesa emprender"),"")</f>
        <v/>
      </c>
      <c r="W115" t="str">
        <f t="shared" si="23"/>
        <v/>
      </c>
      <c r="X115" s="9" t="str">
        <f>IF(I115="Tengo un emprendimiento o quiero iniciar uno",CHOOSE(MOD(COUNTIF($I$2:I115,I115)-1,5)+1,"Falta de financiación","Falta de conocimientos administrativos","Falta de conocimientos financieros","Falta de tiempo","Falta de herramientas"),"")</f>
        <v/>
      </c>
      <c r="Y115" s="9" t="str">
        <f t="shared" si="24"/>
        <v/>
      </c>
      <c r="Z115" t="str">
        <f>IF(I115="Tengo un emprendimiento o quiero iniciar uno",CHOOSE(INT(MOD((COUNTIF($I$2:I115,I115)-1)*7,39)/13)+1,"Sí","No","No conozco programas de ese tipo"),"")</f>
        <v/>
      </c>
      <c r="AA115" t="str">
        <f t="shared" si="25"/>
        <v>No puedo hacerlo</v>
      </c>
      <c r="AB115" t="str">
        <f t="shared" si="25"/>
        <v>No puedo hacerlo</v>
      </c>
      <c r="AC115" t="str">
        <f t="shared" si="26"/>
        <v>No puedo hacerlo</v>
      </c>
      <c r="AD115" s="9" t="str">
        <f t="shared" si="27"/>
        <v>Puedo hacerlo con ayuda</v>
      </c>
      <c r="AE115" t="str">
        <f t="shared" si="28"/>
        <v>Puedo hacerlo con dificultad</v>
      </c>
      <c r="AF115" s="9" t="str">
        <f t="shared" si="29"/>
        <v>Educación financiera</v>
      </c>
      <c r="AG115" s="9" t="str">
        <f t="shared" si="30"/>
        <v>Horarios;Falta de información</v>
      </c>
      <c r="AH115" t="str">
        <f t="shared" si="31"/>
        <v>Oficina de orientación laboral</v>
      </c>
      <c r="AI115" s="9" t="str">
        <f t="shared" si="32"/>
        <v>Presencial</v>
      </c>
      <c r="AJ115" s="9" t="str">
        <f t="shared" si="33"/>
        <v>Mañana entre semana</v>
      </c>
      <c r="AK115" s="9" t="str">
        <f t="shared" si="34"/>
        <v>Celular</v>
      </c>
    </row>
    <row r="116" spans="1:37">
      <c r="A116" t="str">
        <f t="shared" si="35"/>
        <v>SG115</v>
      </c>
      <c r="B116" t="s">
        <v>418</v>
      </c>
      <c r="C116" s="9" t="s">
        <v>427</v>
      </c>
      <c r="D116" t="str">
        <f t="shared" si="18"/>
        <v>Femenino</v>
      </c>
      <c r="E116" t="str">
        <f t="shared" si="19"/>
        <v>De 26 a 28 años</v>
      </c>
      <c r="F116">
        <f t="shared" si="20"/>
        <v>27</v>
      </c>
      <c r="G116" s="9" t="s">
        <v>428</v>
      </c>
      <c r="H116" s="9" t="str">
        <f t="shared" si="21"/>
        <v>Profesional</v>
      </c>
      <c r="I116" s="9" t="str">
        <f t="shared" si="22"/>
        <v>Trabajo actualmente como empleado</v>
      </c>
      <c r="J116" s="13" t="str">
        <f>IF(I116="Trabajo actualmente como empleado",IF(MOD((COUNTIF($I$2:I116,"Trabajo actualmente como empleado")-1)*37,150)&lt;100,"Empleado con contrato","Empleado sin contrato formal"),IF(I116="Trabajo de manera independiente","Trabajo independiente",""))</f>
        <v>Empleado con contrato</v>
      </c>
      <c r="K116" s="9" t="str">
        <f>IF(OR(I116="Trabajo actualmente como empleado",I116="Trabajo de manera independiente"),CHOOSE(MOD(COUNTIF($I$2:I116,I116)-1,4)+1,"Menos de 3 meses","De 3 a 6 meses","De 7 a 12 meses","Más de un año"),"")</f>
        <v>De 7 a 12 meses</v>
      </c>
      <c r="L116" t="str">
        <f>IF(OR(I116="Trabajo actualmente como empleado",I116="Trabajo de manera independiente"),CHOOSE(MOD(COUNTIF($I$2:I116,I116)-1,3)+1,"Sí, completamente","Parcialmente","No"),"")</f>
        <v>No</v>
      </c>
      <c r="M116" t="str">
        <f>IF(OR(I116="Trabajo actualmente como empleado",I116="Trabajo de manera independiente"),CHOOSE(MOD(INT((COUNTIF($I$2:I116,I116)-1)/3),4)+1,"1- Muy satisfecho/a","2- Satisfecho/a","3- Insatisfecho/a","4- Muy insatisfecho/a"),"")</f>
        <v>1- Muy satisfecho/a</v>
      </c>
      <c r="N116" t="str">
        <f>IF(OR(I116="Trabajo actualmente como empleado",I116="Trabajo de manera independiente"),_xlfn.LET(_xlpm.opcion,MOD(INT((COUNTIF($I$2:I116,I116)-1)/5),6)+1,CHOOSE(IF(AND(_xlpm.opcion=6,L116="Sí, completamente"),5,_xlpm.opcion),"Salario","Estabilidad laboral","Horario","Acceso a prestaciones","Oportunidades de crecimiento","Trabajar en un área relacionada con mi formación")),"")</f>
        <v>Estabilidad laboral</v>
      </c>
      <c r="O116" s="9" t="str">
        <f>IF(OR(I116="Trabajo actualmente como empleado",I116="Trabajo de manera independiente"),_xlfn.LET(_xlpm.turno,MOD(COUNTIF($I$2:I116,I116)-1,5),_xlpm.nivel,VALUE(LEFT(M116,1)),IF(_xlpm.turno=4,"No estoy seguro/a",IF(_xlpm.turno&lt;IF(_xlpm.nivel&lt;=2,1,3),"Sí","No"))),"")</f>
        <v>No</v>
      </c>
      <c r="P116" s="9" t="str">
        <f>_xlfn.LET(_xlpm.perfil,I116,_xlpm.turno,COUNTIF($I$2:I116,_xlpm.perfil)-1,_xlpm.busca,OR(_xlpm.perfil="Actualmente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16" t="str">
        <f>IF(I116="Tengo un emprendimiento o quiero iniciar uno","",CHOOSE(MOD(INT((COUNTIF($I$2:I116,I116)-1)/7),3)+1,"Sí","No","Tengo una pero necesito actualizarla"))</f>
        <v>Tengo una pero necesito actualizarla</v>
      </c>
      <c r="R116" s="9" t="str">
        <f>IF(I116="Tengo un emprendimiento o quiero iniciar uno","",IF(I116="Busco mi primer empleo","No",IF(MOD(COUNTIF($I$2:I116,I116)-1,2)=0,"Sí","No")))</f>
        <v>Sí</v>
      </c>
      <c r="S116" t="str">
        <f>IF(I116="Tengo un emprendimiento o quiero iniciar uno","",CHOOSE(MOD(INT((COUNTIF($I$2:I116,I116)-1)/3),10)+1,"Portales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116" t="str">
        <f>IF(I116="Tengo un emprendimiento o quiero iniciar uno","",_xlfn.LET(_xlpm.opcion,MOD(INT((COUNTIF($I$2:I116,I116)-1)/4),6)+1,CHOOSE(IF(AND(_xlpm.opcion=3,Q116="Sí"),1,_xlpm.opcion),"Falta de experiencia","Falta de formación","Dificultades con la hoja de vida","Horarios disponibles","Transporte","Internet")))</f>
        <v>Horarios disponibles</v>
      </c>
      <c r="U116" s="9" t="str">
        <f>IF(I116="Tengo un emprendimiento o quiero iniciar uno","",IF(MOD(INT((COUNTIF($I$2:I116,I116)-1)/3),2)=0,"Sí","No"))</f>
        <v>Sí</v>
      </c>
      <c r="V116" s="9" t="str">
        <f>IF(I116="Tengo un emprendimiento o quiero iniciar uno",CHOOSE(MOD(COUNTIF($I$2:I116,I116)-1,3)+1,"Tengo un emprendimiento","Estoy iniciando un emprendimiento","Me interesa emprender"),"")</f>
        <v/>
      </c>
      <c r="W116" t="str">
        <f t="shared" si="23"/>
        <v/>
      </c>
      <c r="X116" s="9" t="str">
        <f>IF(I116="Tengo un emprendimiento o quiero iniciar uno",CHOOSE(MOD(COUNTIF($I$2:I116,I116)-1,5)+1,"Falta de financiación","Falta de conocimientos administrativos","Falta de conocimientos financieros","Falta de tiempo","Falta de herramientas"),"")</f>
        <v/>
      </c>
      <c r="Y116" s="9" t="str">
        <f t="shared" si="24"/>
        <v/>
      </c>
      <c r="Z116" t="str">
        <f>IF(I116="Tengo un emprendimiento o quiero iniciar uno",CHOOSE(INT(MOD((COUNTIF($I$2:I116,I116)-1)*7,39)/13)+1,"Sí","No","No conozco programas de ese tipo"),"")</f>
        <v/>
      </c>
      <c r="AA116" t="str">
        <f t="shared" si="25"/>
        <v>Puedo hacerlo con ayuda</v>
      </c>
      <c r="AB116" t="str">
        <f t="shared" si="25"/>
        <v>Puedo hacerlo con ayuda</v>
      </c>
      <c r="AC116" t="str">
        <f t="shared" si="26"/>
        <v>Puedo hacerlo con dificultad</v>
      </c>
      <c r="AD116" s="9" t="str">
        <f t="shared" si="27"/>
        <v>Puedo hacerlo con ayuda</v>
      </c>
      <c r="AE116" t="str">
        <f t="shared" si="28"/>
        <v>Puedo hacerlo con dificultad</v>
      </c>
      <c r="AF116" s="9" t="str">
        <f t="shared" si="29"/>
        <v>Crear una hoja de vida;Preparación para entrevista</v>
      </c>
      <c r="AG116" s="9" t="str">
        <f t="shared" si="30"/>
        <v>Ninguna</v>
      </c>
      <c r="AH116" t="str">
        <f t="shared" si="31"/>
        <v>Ferias de empleo</v>
      </c>
      <c r="AI116" s="9" t="str">
        <f t="shared" si="32"/>
        <v>Virtual</v>
      </c>
      <c r="AJ116" s="9" t="str">
        <f t="shared" si="33"/>
        <v>Fines de semana</v>
      </c>
      <c r="AK116" s="9" t="str">
        <f t="shared" si="34"/>
        <v>Correo electrónico</v>
      </c>
    </row>
    <row r="117" spans="1:37">
      <c r="A117" t="str">
        <f t="shared" si="35"/>
        <v>SG116</v>
      </c>
      <c r="B117" t="s">
        <v>418</v>
      </c>
      <c r="C117" s="9" t="s">
        <v>427</v>
      </c>
      <c r="D117" t="str">
        <f t="shared" si="18"/>
        <v>Femenino</v>
      </c>
      <c r="E117" t="str">
        <f t="shared" si="19"/>
        <v>De 18 a 20 años</v>
      </c>
      <c r="F117">
        <f t="shared" si="20"/>
        <v>19</v>
      </c>
      <c r="G117" s="9" t="s">
        <v>428</v>
      </c>
      <c r="H117" s="9" t="str">
        <f t="shared" si="21"/>
        <v>Técnico</v>
      </c>
      <c r="I117" s="9" t="str">
        <f t="shared" si="22"/>
        <v>Actualmente no trabajo y estoy buscando empleo</v>
      </c>
      <c r="J117" s="13" t="str">
        <f>IF(I117="Trabajo actualmente como empleado",IF(MOD((COUNTIF($I$2:I117,"Trabajo actualmente como empleado")-1)*37,150)&lt;100,"Empleado con contrato","Empleado sin contrato formal"),IF(I117="Trabajo de manera independiente","Trabajo independiente",""))</f>
        <v/>
      </c>
      <c r="K117" s="9" t="str">
        <f>IF(OR(I117="Trabajo actualmente como empleado",I117="Trabajo de manera independiente"),CHOOSE(MOD(COUNTIF($I$2:I117,I117)-1,4)+1,"Menos de 3 meses","De 3 a 6 meses","De 7 a 12 meses","Más de un año"),"")</f>
        <v/>
      </c>
      <c r="L117" t="str">
        <f>IF(OR(I117="Trabajo actualmente como empleado",I117="Trabajo de manera independiente"),CHOOSE(MOD(COUNTIF($I$2:I117,I117)-1,3)+1,"Sí, completamente","Parcialmente","No"),"")</f>
        <v/>
      </c>
      <c r="M117" t="str">
        <f>IF(OR(I117="Trabajo actualmente como empleado",I117="Trabajo de manera independiente"),CHOOSE(MOD(INT((COUNTIF($I$2:I117,I117)-1)/3),4)+1,"1- Muy satisfecho/a","2- Satisfecho/a","3- Insatisfecho/a","4- Muy insatisfecho/a"),"")</f>
        <v/>
      </c>
      <c r="N117" t="str">
        <f>IF(OR(I117="Trabajo actualmente como empleado",I117="Trabajo de manera independiente"),_xlfn.LET(_xlpm.opcion,MOD(INT((COUNTIF($I$2:I117,I117)-1)/5),6)+1,CHOOSE(IF(AND(_xlpm.opcion=6,L117="Sí, completamente"),5,_xlpm.opcion),"Salario","Estabilidad laboral","Horario","Acceso a prestaciones","Oportunidades de crecimiento","Trabajar en un área relacionada con mi formación")),"")</f>
        <v/>
      </c>
      <c r="O117" s="9" t="str">
        <f>IF(OR(I117="Trabajo actualmente como empleado",I117="Trabajo de manera independiente"),_xlfn.LET(_xlpm.turno,MOD(COUNTIF($I$2:I117,I117)-1,5),_xlpm.nivel,VALUE(LEFT(M117,1)),IF(_xlpm.turno=4,"No estoy seguro/a",IF(_xlpm.turno&lt;IF(_xlpm.nivel&lt;=2,1,3),"Sí","No"))),"")</f>
        <v/>
      </c>
      <c r="P117" s="9" t="str">
        <f>_xlfn.LET(_xlpm.perfil,I117,_xlpm.turno,COUNTIF($I$2:I117,_xlpm.perfil)-1,_xlpm.busca,OR(_xlpm.perfil="Actualmente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trabajar"),IF(AND(_xlpm.trabaja,O117="No"),"Todavía no he iniciado una búsqueda activa",CHOOSE(MOD(_xlpm.turno*3,5)+1,"Menos de 1 mes","Entre 1 y 3 meses","Entre 4 y 6 meses","Más de 6 meses","Todavía no he iniciado una búsqueda activa")),"")))</f>
        <v>Entre 4 y 6 meses</v>
      </c>
      <c r="Q117" t="str">
        <f>IF(I117="Tengo un emprendimiento o quiero iniciar uno","",CHOOSE(MOD(INT((COUNTIF($I$2:I117,I117)-1)/7),3)+1,"Sí","No","Tengo una pero necesito actualizarla"))</f>
        <v>Tengo una pero necesito actualizarla</v>
      </c>
      <c r="R117" s="9" t="str">
        <f>IF(I117="Tengo un emprendimiento o quiero iniciar uno","",IF(I117="Busco mi primer empleo","No",IF(MOD(COUNTIF($I$2:I117,I117)-1,2)=0,"Sí","No")))</f>
        <v>Sí</v>
      </c>
      <c r="S117" t="str">
        <f>IF(I117="Tengo un emprendimiento o quiero iniciar uno","",CHOOSE(MOD(INT((COUNTIF($I$2:I117,I117)-1)/3),10)+1,"Portales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17" t="str">
        <f>IF(I117="Tengo un emprendimiento o quiero iniciar uno","",_xlfn.LET(_xlpm.opcion,MOD(INT((COUNTIF($I$2:I117,I117)-1)/4),6)+1,CHOOSE(IF(AND(_xlpm.opcion=3,Q117="Sí"),1,_xlpm.opcion),"Falta de experiencia","Falta de formación","Dificultades con la hoja de vida","Horarios disponibles","Transporte","Internet")))</f>
        <v>Transporte</v>
      </c>
      <c r="U117" s="9" t="str">
        <f>IF(I117="Tengo un emprendimiento o quiero iniciar uno","",IF(MOD(INT((COUNTIF($I$2:I117,I117)-1)/3),2)=0,"Sí","No"))</f>
        <v>Sí</v>
      </c>
      <c r="V117" s="9" t="str">
        <f>IF(I117="Tengo un emprendimiento o quiero iniciar uno",CHOOSE(MOD(COUNTIF($I$2:I117,I117)-1,3)+1,"Tengo un emprendimiento","Estoy iniciando un emprendimiento","Me interesa emprender"),"")</f>
        <v/>
      </c>
      <c r="W117" t="str">
        <f t="shared" si="23"/>
        <v/>
      </c>
      <c r="X117" s="9" t="str">
        <f>IF(I117="Tengo un emprendimiento o quiero iniciar uno",CHOOSE(MOD(COUNTIF($I$2:I117,I117)-1,5)+1,"Falta de financiación","Falta de conocimientos administrativos","Falta de conocimientos financieros","Falta de tiempo","Falta de herramientas"),"")</f>
        <v/>
      </c>
      <c r="Y117" s="9" t="str">
        <f t="shared" si="24"/>
        <v/>
      </c>
      <c r="Z117" t="str">
        <f>IF(I117="Tengo un emprendimiento o quiero iniciar uno",CHOOSE(INT(MOD((COUNTIF($I$2:I117,I117)-1)*7,39)/13)+1,"Sí","No","No conozco programas de ese tipo"),"")</f>
        <v/>
      </c>
      <c r="AA117" t="str">
        <f t="shared" si="25"/>
        <v>Puedo hacerlo sin ayuda</v>
      </c>
      <c r="AB117" t="str">
        <f t="shared" si="25"/>
        <v>Puedo hacerlo sin ayuda</v>
      </c>
      <c r="AC117" t="str">
        <f t="shared" si="26"/>
        <v>Puedo hacerlo sin ayuda</v>
      </c>
      <c r="AD117" s="9" t="str">
        <f t="shared" si="27"/>
        <v>Puedo hacerlo con dificultad</v>
      </c>
      <c r="AE117" t="str">
        <f t="shared" si="28"/>
        <v>Puedo hacerlo sin ayuda</v>
      </c>
      <c r="AF117" s="9" t="str">
        <f t="shared" si="29"/>
        <v>Comunicación;Liderazgo</v>
      </c>
      <c r="AG117" s="9" t="str">
        <f t="shared" si="30"/>
        <v>Ninguna</v>
      </c>
      <c r="AH117" t="str">
        <f t="shared" si="31"/>
        <v>No conozco ninguno</v>
      </c>
      <c r="AI117" s="9" t="str">
        <f t="shared" si="32"/>
        <v>Presencial y virtual</v>
      </c>
      <c r="AJ117" s="9" t="str">
        <f t="shared" si="33"/>
        <v>Nocturno</v>
      </c>
      <c r="AK117" s="9" t="str">
        <f t="shared" si="34"/>
        <v>Redes sociales</v>
      </c>
    </row>
    <row r="118" spans="1:37">
      <c r="A118" t="str">
        <f t="shared" si="35"/>
        <v>SG117</v>
      </c>
      <c r="B118" t="s">
        <v>418</v>
      </c>
      <c r="C118" s="9" t="s">
        <v>427</v>
      </c>
      <c r="D118" t="str">
        <f t="shared" si="18"/>
        <v>Masculino</v>
      </c>
      <c r="E118" t="str">
        <f t="shared" si="19"/>
        <v>De 20 a 22 años</v>
      </c>
      <c r="F118">
        <f t="shared" si="20"/>
        <v>21</v>
      </c>
      <c r="G118" s="9" t="s">
        <v>428</v>
      </c>
      <c r="H118" s="9" t="str">
        <f t="shared" si="21"/>
        <v>Tecnólogo</v>
      </c>
      <c r="I118" s="9" t="str">
        <f t="shared" si="22"/>
        <v>Estudio y quiero comenzar a trabajar</v>
      </c>
      <c r="J118" s="13" t="str">
        <f>IF(I118="Trabajo actualmente como empleado",IF(MOD((COUNTIF($I$2:I118,"Trabajo actualmente como empleado")-1)*37,150)&lt;100,"Empleado con contrato","Empleado sin contrato formal"),IF(I118="Trabajo de manera independiente","Trabajo independiente",""))</f>
        <v/>
      </c>
      <c r="K118" s="9" t="str">
        <f>IF(OR(I118="Trabajo actualmente como empleado",I118="Trabajo de manera independiente"),CHOOSE(MOD(COUNTIF($I$2:I118,I118)-1,4)+1,"Menos de 3 meses","De 3 a 6 meses","De 7 a 12 meses","Más de un año"),"")</f>
        <v/>
      </c>
      <c r="L118" t="str">
        <f>IF(OR(I118="Trabajo actualmente como empleado",I118="Trabajo de manera independiente"),CHOOSE(MOD(COUNTIF($I$2:I118,I118)-1,3)+1,"Sí, completamente","Parcialmente","No"),"")</f>
        <v/>
      </c>
      <c r="M118" t="str">
        <f>IF(OR(I118="Trabajo actualmente como empleado",I118="Trabajo de manera independiente"),CHOOSE(MOD(INT((COUNTIF($I$2:I118,I118)-1)/3),4)+1,"1- Muy satisfecho/a","2- Satisfecho/a","3- Insatisfecho/a","4- Muy insatisfecho/a"),"")</f>
        <v/>
      </c>
      <c r="N118" t="str">
        <f>IF(OR(I118="Trabajo actualmente como empleado",I118="Trabajo de manera independiente"),_xlfn.LET(_xlpm.opcion,MOD(INT((COUNTIF($I$2:I118,I118)-1)/5),6)+1,CHOOSE(IF(AND(_xlpm.opcion=6,L118="Sí, completamente"),5,_xlpm.opcion),"Salario","Estabilidad laboral","Horario","Acceso a prestaciones","Oportunidades de crecimiento","Trabajar en un área relacionada con mi formación")),"")</f>
        <v/>
      </c>
      <c r="O118" s="9" t="str">
        <f>IF(OR(I118="Trabajo actualmente como empleado",I118="Trabajo de manera independiente"),_xlfn.LET(_xlpm.turno,MOD(COUNTIF($I$2:I118,I118)-1,5),_xlpm.nivel,VALUE(LEFT(M118,1)),IF(_xlpm.turno=4,"No estoy seguro/a",IF(_xlpm.turno&lt;IF(_xlpm.nivel&lt;=2,1,3),"Sí","No"))),"")</f>
        <v/>
      </c>
      <c r="P118" s="9" t="str">
        <f>_xlfn.LET(_xlpm.perfil,I118,_xlpm.turno,COUNTIF($I$2:I118,_xlpm.perfil)-1,_xlpm.busca,OR(_xlpm.perfil="Actualmente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18" t="str">
        <f>IF(I118="Tengo un emprendimiento o quiero iniciar uno","",CHOOSE(MOD(INT((COUNTIF($I$2:I118,I118)-1)/7),3)+1,"Sí","No","Tengo una pero necesito actualizarla"))</f>
        <v>No</v>
      </c>
      <c r="R118" s="9" t="str">
        <f>IF(I118="Tengo un emprendimiento o quiero iniciar uno","",IF(I118="Busco mi primer empleo","No",IF(MOD(COUNTIF($I$2:I118,I118)-1,2)=0,"Sí","No")))</f>
        <v>No</v>
      </c>
      <c r="S118" t="str">
        <f>IF(I118="Tengo un emprendimiento o quiero iniciar uno","",CHOOSE(MOD(INT((COUNTIF($I$2:I118,I118)-1)/3),10)+1,"Portales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118" t="str">
        <f>IF(I118="Tengo un emprendimiento o quiero iniciar uno","",_xlfn.LET(_xlpm.opcion,MOD(INT((COUNTIF($I$2:I118,I118)-1)/4),6)+1,CHOOSE(IF(AND(_xlpm.opcion=3,Q118="Sí"),1,_xlpm.opcion),"Falta de experiencia","Falta de formación","Dificultades con la hoja de vida","Horarios disponibles","Transporte","Internet")))</f>
        <v>Horarios disponibles</v>
      </c>
      <c r="U118" s="9" t="str">
        <f>IF(I118="Tengo un emprendimiento o quiero iniciar uno","",IF(MOD(INT((COUNTIF($I$2:I118,I118)-1)/3),2)=0,"Sí","No"))</f>
        <v>Sí</v>
      </c>
      <c r="V118" s="9" t="str">
        <f>IF(I118="Tengo un emprendimiento o quiero iniciar uno",CHOOSE(MOD(COUNTIF($I$2:I118,I118)-1,3)+1,"Tengo un emprendimiento","Estoy iniciando un emprendimiento","Me interesa emprender"),"")</f>
        <v/>
      </c>
      <c r="W118" t="str">
        <f t="shared" si="23"/>
        <v/>
      </c>
      <c r="X118" s="9" t="str">
        <f>IF(I118="Tengo un emprendimiento o quiero iniciar uno",CHOOSE(MOD(COUNTIF($I$2:I118,I118)-1,5)+1,"Falta de financiación","Falta de conocimientos administrativos","Falta de conocimientos financieros","Falta de tiempo","Falta de herramientas"),"")</f>
        <v/>
      </c>
      <c r="Y118" s="9" t="str">
        <f t="shared" si="24"/>
        <v/>
      </c>
      <c r="Z118" t="str">
        <f>IF(I118="Tengo un emprendimiento o quiero iniciar uno",CHOOSE(INT(MOD((COUNTIF($I$2:I118,I118)-1)*7,39)/13)+1,"Sí","No","No conozco programas de ese tipo"),"")</f>
        <v/>
      </c>
      <c r="AA118" t="str">
        <f t="shared" si="25"/>
        <v>Puedo hacerlo con ayuda</v>
      </c>
      <c r="AB118" t="str">
        <f t="shared" si="25"/>
        <v>Puedo hacerlo con ayuda</v>
      </c>
      <c r="AC118" t="str">
        <f t="shared" si="26"/>
        <v>No puedo hacerlo</v>
      </c>
      <c r="AD118" s="9" t="str">
        <f t="shared" si="27"/>
        <v>Puedo hacerlo sin ayuda</v>
      </c>
      <c r="AE118" t="str">
        <f t="shared" si="28"/>
        <v>No puedo hacerlo</v>
      </c>
      <c r="AF118" s="9" t="str">
        <f t="shared" si="29"/>
        <v>Herramientas digitales;Educación financiera</v>
      </c>
      <c r="AG118" s="9" t="str">
        <f t="shared" si="30"/>
        <v>Ninguna</v>
      </c>
      <c r="AH118" t="str">
        <f t="shared" si="31"/>
        <v>Ferias de empleo</v>
      </c>
      <c r="AI118" s="9" t="str">
        <f t="shared" si="32"/>
        <v>Me es indiferente</v>
      </c>
      <c r="AJ118" s="9" t="str">
        <f t="shared" si="33"/>
        <v>Mañana entre semana</v>
      </c>
      <c r="AK118" s="9" t="str">
        <f t="shared" si="34"/>
        <v>WhatsApp</v>
      </c>
    </row>
    <row r="119" spans="1:37">
      <c r="A119" t="str">
        <f t="shared" si="35"/>
        <v>SG118</v>
      </c>
      <c r="B119" t="s">
        <v>418</v>
      </c>
      <c r="C119" s="9" t="s">
        <v>427</v>
      </c>
      <c r="D119" t="str">
        <f t="shared" si="18"/>
        <v>Masculino</v>
      </c>
      <c r="E119" t="str">
        <f t="shared" si="19"/>
        <v>De 22 a 24 años</v>
      </c>
      <c r="F119">
        <f t="shared" si="20"/>
        <v>23</v>
      </c>
      <c r="G119" s="9" t="s">
        <v>428</v>
      </c>
      <c r="H119" s="9" t="str">
        <f t="shared" si="21"/>
        <v>Profesional</v>
      </c>
      <c r="I119" s="9" t="str">
        <f t="shared" si="22"/>
        <v>Trabajo actualmente como empleado</v>
      </c>
      <c r="J119" s="13" t="str">
        <f>IF(I119="Trabajo actualmente como empleado",IF(MOD((COUNTIF($I$2:I119,"Trabajo actualmente como empleado")-1)*37,150)&lt;100,"Empleado con contrato","Empleado sin contrato formal"),IF(I119="Trabajo de manera independiente","Trabajo independiente",""))</f>
        <v>Empleado con contrato</v>
      </c>
      <c r="K119" s="9" t="str">
        <f>IF(OR(I119="Trabajo actualmente como empleado",I119="Trabajo de manera independiente"),CHOOSE(MOD(COUNTIF($I$2:I119,I119)-1,4)+1,"Menos de 3 meses","De 3 a 6 meses","De 7 a 12 meses","Más de un año"),"")</f>
        <v>Más de un año</v>
      </c>
      <c r="L119" t="str">
        <f>IF(OR(I119="Trabajo actualmente como empleado",I119="Trabajo de manera independiente"),CHOOSE(MOD(COUNTIF($I$2:I119,I119)-1,3)+1,"Sí, completamente","Parcialmente","No"),"")</f>
        <v>Sí, completamente</v>
      </c>
      <c r="M119" t="str">
        <f>IF(OR(I119="Trabajo actualmente como empleado",I119="Trabajo de manera independiente"),CHOOSE(MOD(INT((COUNTIF($I$2:I119,I119)-1)/3),4)+1,"1- Muy satisfecho/a","2- Satisfecho/a","3- Insatisfecho/a","4- Muy insatisfecho/a"),"")</f>
        <v>2- Satisfecho/a</v>
      </c>
      <c r="N119" t="str">
        <f>IF(OR(I119="Trabajo actualmente como empleado",I119="Trabajo de manera independiente"),_xlfn.LET(_xlpm.opcion,MOD(INT((COUNTIF($I$2:I119,I119)-1)/5),6)+1,CHOOSE(IF(AND(_xlpm.opcion=6,L119="Sí, completamente"),5,_xlpm.opcion),"Salario","Estabilidad laboral","Horario","Acceso a prestaciones","Oportunidades de crecimiento","Trabajar en un área relacionada con mi formación")),"")</f>
        <v>Estabilidad laboral</v>
      </c>
      <c r="O119" s="9" t="str">
        <f>IF(OR(I119="Trabajo actualmente como empleado",I119="Trabajo de manera independiente"),_xlfn.LET(_xlpm.turno,MOD(COUNTIF($I$2:I119,I119)-1,5),_xlpm.nivel,VALUE(LEFT(M119,1)),IF(_xlpm.turno=4,"No estoy seguro/a",IF(_xlpm.turno&lt;IF(_xlpm.nivel&lt;=2,1,3),"Sí","No"))),"")</f>
        <v>No estoy seguro/a</v>
      </c>
      <c r="P119" s="9" t="str">
        <f>_xlfn.LET(_xlpm.perfil,I119,_xlpm.turno,COUNTIF($I$2:I119,_xlpm.perfil)-1,_xlpm.busca,OR(_xlpm.perfil="Actualmente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trabajar"),IF(AND(_xlpm.trabaja,O119="No"),"Todavía no he iniciado una búsqueda activa",CHOOSE(MOD(_xlpm.turno*3,5)+1,"Menos de 1 mes","Entre 1 y 3 meses","Entre 4 y 6 meses","Más de 6 meses","Todavía no he iniciado una búsqueda activa")),"")))</f>
        <v>Entre 4 y 6 meses</v>
      </c>
      <c r="Q119" t="str">
        <f>IF(I119="Tengo un emprendimiento o quiero iniciar uno","",CHOOSE(MOD(INT((COUNTIF($I$2:I119,I119)-1)/7),3)+1,"Sí","No","Tengo una pero necesito actualizarla"))</f>
        <v>Tengo una pero necesito actualizarla</v>
      </c>
      <c r="R119" s="9" t="str">
        <f>IF(I119="Tengo un emprendimiento o quiero iniciar uno","",IF(I119="Busco mi primer empleo","No",IF(MOD(COUNTIF($I$2:I119,I119)-1,2)=0,"Sí","No")))</f>
        <v>No</v>
      </c>
      <c r="S119" t="str">
        <f>IF(I119="Tengo un emprendimiento o quiero iniciar uno","",CHOOSE(MOD(INT((COUNTIF($I$2:I119,I119)-1)/3),10)+1,"Portales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119" t="str">
        <f>IF(I119="Tengo un emprendimiento o quiero iniciar uno","",_xlfn.LET(_xlpm.opcion,MOD(INT((COUNTIF($I$2:I119,I119)-1)/4),6)+1,CHOOSE(IF(AND(_xlpm.opcion=3,Q119="Sí"),1,_xlpm.opcion),"Falta de experiencia","Falta de formación","Dificultades con la hoja de vida","Horarios disponibles","Transporte","Internet")))</f>
        <v>Horarios disponibles</v>
      </c>
      <c r="U119" s="9" t="str">
        <f>IF(I119="Tengo un emprendimiento o quiero iniciar uno","",IF(MOD(INT((COUNTIF($I$2:I119,I119)-1)/3),2)=0,"Sí","No"))</f>
        <v>No</v>
      </c>
      <c r="V119" s="9" t="str">
        <f>IF(I119="Tengo un emprendimiento o quiero iniciar uno",CHOOSE(MOD(COUNTIF($I$2:I119,I119)-1,3)+1,"Tengo un emprendimiento","Estoy iniciando un emprendimiento","Me interesa emprender"),"")</f>
        <v/>
      </c>
      <c r="W119" t="str">
        <f t="shared" si="23"/>
        <v/>
      </c>
      <c r="X119" s="9" t="str">
        <f>IF(I119="Tengo un emprendimiento o quiero iniciar uno",CHOOSE(MOD(COUNTIF($I$2:I119,I119)-1,5)+1,"Falta de financiación","Falta de conocimientos administrativos","Falta de conocimientos financieros","Falta de tiempo","Falta de herramientas"),"")</f>
        <v/>
      </c>
      <c r="Y119" s="9" t="str">
        <f t="shared" si="24"/>
        <v/>
      </c>
      <c r="Z119" t="str">
        <f>IF(I119="Tengo un emprendimiento o quiero iniciar uno",CHOOSE(INT(MOD((COUNTIF($I$2:I119,I119)-1)*7,39)/13)+1,"Sí","No","No conozco programas de ese tipo"),"")</f>
        <v/>
      </c>
      <c r="AA119" t="str">
        <f t="shared" si="25"/>
        <v>Puedo hacerlo con dificultad</v>
      </c>
      <c r="AB119" t="str">
        <f t="shared" si="25"/>
        <v>Puedo hacerlo con dificultad</v>
      </c>
      <c r="AC119" t="str">
        <f t="shared" si="26"/>
        <v>Puedo hacerlo con dificultad</v>
      </c>
      <c r="AD119" s="9" t="str">
        <f t="shared" si="27"/>
        <v>No puedo hacerlo</v>
      </c>
      <c r="AE119" t="str">
        <f t="shared" si="28"/>
        <v>No puedo hacerlo</v>
      </c>
      <c r="AF119" s="9" t="str">
        <f t="shared" si="29"/>
        <v>Crear una hoja de vida</v>
      </c>
      <c r="AG119" s="9" t="str">
        <f t="shared" si="30"/>
        <v>Falta de experiencia</v>
      </c>
      <c r="AH119" t="str">
        <f t="shared" si="31"/>
        <v>Programas de emprendimiento</v>
      </c>
      <c r="AI119" s="9" t="str">
        <f t="shared" si="32"/>
        <v>Presencial</v>
      </c>
      <c r="AJ119" s="9" t="str">
        <f t="shared" si="33"/>
        <v>Diurno</v>
      </c>
      <c r="AK119" s="9" t="str">
        <f t="shared" si="34"/>
        <v>Correo electrónico</v>
      </c>
    </row>
    <row r="120" spans="1:37">
      <c r="A120" t="str">
        <f t="shared" si="35"/>
        <v>SG119</v>
      </c>
      <c r="B120" t="s">
        <v>418</v>
      </c>
      <c r="C120" s="9" t="s">
        <v>427</v>
      </c>
      <c r="D120" t="str">
        <f t="shared" si="18"/>
        <v>Femenino</v>
      </c>
      <c r="E120" t="str">
        <f t="shared" si="19"/>
        <v>De 24 a 26 años</v>
      </c>
      <c r="F120">
        <f t="shared" si="20"/>
        <v>25</v>
      </c>
      <c r="G120" s="9" t="s">
        <v>428</v>
      </c>
      <c r="H120" s="9" t="str">
        <f t="shared" si="21"/>
        <v>Profesional</v>
      </c>
      <c r="I120" s="9" t="str">
        <f t="shared" si="22"/>
        <v>Actualmente no trabajo y estoy buscando empleo</v>
      </c>
      <c r="J120" s="13" t="str">
        <f>IF(I120="Trabajo actualmente como empleado",IF(MOD((COUNTIF($I$2:I120,"Trabajo actualmente como empleado")-1)*37,150)&lt;100,"Empleado con contrato","Empleado sin contrato formal"),IF(I120="Trabajo de manera independiente","Trabajo independiente",""))</f>
        <v/>
      </c>
      <c r="K120" s="9" t="str">
        <f>IF(OR(I120="Trabajo actualmente como empleado",I120="Trabajo de manera independiente"),CHOOSE(MOD(COUNTIF($I$2:I120,I120)-1,4)+1,"Menos de 3 meses","De 3 a 6 meses","De 7 a 12 meses","Más de un año"),"")</f>
        <v/>
      </c>
      <c r="L120" t="str">
        <f>IF(OR(I120="Trabajo actualmente como empleado",I120="Trabajo de manera independiente"),CHOOSE(MOD(COUNTIF($I$2:I120,I120)-1,3)+1,"Sí, completamente","Parcialmente","No"),"")</f>
        <v/>
      </c>
      <c r="M120" t="str">
        <f>IF(OR(I120="Trabajo actualmente como empleado",I120="Trabajo de manera independiente"),CHOOSE(MOD(INT((COUNTIF($I$2:I120,I120)-1)/3),4)+1,"1- Muy satisfecho/a","2- Satisfecho/a","3- Insatisfecho/a","4- Muy insatisfecho/a"),"")</f>
        <v/>
      </c>
      <c r="N120" t="str">
        <f>IF(OR(I120="Trabajo actualmente como empleado",I120="Trabajo de manera independiente"),_xlfn.LET(_xlpm.opcion,MOD(INT((COUNTIF($I$2:I120,I120)-1)/5),6)+1,CHOOSE(IF(AND(_xlpm.opcion=6,L120="Sí, completamente"),5,_xlpm.opcion),"Salario","Estabilidad laboral","Horario","Acceso a prestaciones","Oportunidades de crecimiento","Trabajar en un área relacionada con mi formación")),"")</f>
        <v/>
      </c>
      <c r="O120" s="9" t="str">
        <f>IF(OR(I120="Trabajo actualmente como empleado",I120="Trabajo de manera independiente"),_xlfn.LET(_xlpm.turno,MOD(COUNTIF($I$2:I120,I120)-1,5),_xlpm.nivel,VALUE(LEFT(M120,1)),IF(_xlpm.turno=4,"No estoy seguro/a",IF(_xlpm.turno&lt;IF(_xlpm.nivel&lt;=2,1,3),"Sí","No"))),"")</f>
        <v/>
      </c>
      <c r="P120" s="9" t="str">
        <f>_xlfn.LET(_xlpm.perfil,I120,_xlpm.turno,COUNTIF($I$2:I120,_xlpm.perfil)-1,_xlpm.busca,OR(_xlpm.perfil="Actualmente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trabajar"),IF(AND(_xlpm.trabaja,O120="No"),"Todavía no he iniciado una búsqueda activa",CHOOSE(MOD(_xlpm.turno*3,5)+1,"Menos de 1 mes","Entre 1 y 3 meses","Entre 4 y 6 meses","Más de 6 meses","Todavía no he iniciado una búsqueda activa")),"")))</f>
        <v>Entre 1 y 3 meses</v>
      </c>
      <c r="Q120" t="str">
        <f>IF(I120="Tengo un emprendimiento o quiero iniciar uno","",CHOOSE(MOD(INT((COUNTIF($I$2:I120,I120)-1)/7),3)+1,"Sí","No","Tengo una pero necesito actualizarla"))</f>
        <v>Tengo una pero necesito actualizarla</v>
      </c>
      <c r="R120" s="9" t="str">
        <f>IF(I120="Tengo un emprendimiento o quiero iniciar uno","",IF(I120="Busco mi primer empleo","No",IF(MOD(COUNTIF($I$2:I120,I120)-1,2)=0,"Sí","No")))</f>
        <v>No</v>
      </c>
      <c r="S120" t="str">
        <f>IF(I120="Tengo un emprendimiento o quiero iniciar uno","",CHOOSE(MOD(INT((COUNTIF($I$2:I120,I120)-1)/3),10)+1,"Portales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20" t="str">
        <f>IF(I120="Tengo un emprendimiento o quiero iniciar uno","",_xlfn.LET(_xlpm.opcion,MOD(INT((COUNTIF($I$2:I120,I120)-1)/4),6)+1,CHOOSE(IF(AND(_xlpm.opcion=3,Q120="Sí"),1,_xlpm.opcion),"Falta de experiencia","Falta de formación","Dificultades con la hoja de vida","Horarios disponibles","Transporte","Internet")))</f>
        <v>Transporte</v>
      </c>
      <c r="U120" s="9" t="str">
        <f>IF(I120="Tengo un emprendimiento o quiero iniciar uno","",IF(MOD(INT((COUNTIF($I$2:I120,I120)-1)/3),2)=0,"Sí","No"))</f>
        <v>Sí</v>
      </c>
      <c r="V120" s="9" t="str">
        <f>IF(I120="Tengo un emprendimiento o quiero iniciar uno",CHOOSE(MOD(COUNTIF($I$2:I120,I120)-1,3)+1,"Tengo un emprendimiento","Estoy iniciando un emprendimiento","Me interesa emprender"),"")</f>
        <v/>
      </c>
      <c r="W120" t="str">
        <f t="shared" si="23"/>
        <v/>
      </c>
      <c r="X120" s="9" t="str">
        <f>IF(I120="Tengo un emprendimiento o quiero iniciar uno",CHOOSE(MOD(COUNTIF($I$2:I120,I120)-1,5)+1,"Falta de financiación","Falta de conocimientos administrativos","Falta de conocimientos financieros","Falta de tiempo","Falta de herramientas"),"")</f>
        <v/>
      </c>
      <c r="Y120" s="9" t="str">
        <f t="shared" si="24"/>
        <v/>
      </c>
      <c r="Z120" t="str">
        <f>IF(I120="Tengo un emprendimiento o quiero iniciar uno",CHOOSE(INT(MOD((COUNTIF($I$2:I120,I120)-1)*7,39)/13)+1,"Sí","No","No conozco programas de ese tipo"),"")</f>
        <v/>
      </c>
      <c r="AA120" t="str">
        <f t="shared" si="25"/>
        <v>No puedo hacerlo</v>
      </c>
      <c r="AB120" t="str">
        <f t="shared" si="25"/>
        <v>No puedo hacerlo</v>
      </c>
      <c r="AC120" t="str">
        <f t="shared" si="26"/>
        <v>Puedo hacerlo sin ayuda</v>
      </c>
      <c r="AD120" s="9" t="str">
        <f t="shared" si="27"/>
        <v>No puedo hacerlo</v>
      </c>
      <c r="AE120" t="str">
        <f t="shared" si="28"/>
        <v>Puedo hacerlo con ayuda</v>
      </c>
      <c r="AF120" s="9" t="str">
        <f t="shared" si="29"/>
        <v>Preparación para entrevista</v>
      </c>
      <c r="AG120" s="9" t="str">
        <f t="shared" si="30"/>
        <v>Falta de experiencia</v>
      </c>
      <c r="AH120" t="str">
        <f t="shared" si="31"/>
        <v>Oficina de orientación laboral</v>
      </c>
      <c r="AI120" s="9" t="str">
        <f t="shared" si="32"/>
        <v>Virtual</v>
      </c>
      <c r="AJ120" s="9" t="str">
        <f t="shared" si="33"/>
        <v>Nocturno</v>
      </c>
      <c r="AK120" s="9" t="str">
        <f t="shared" si="34"/>
        <v>Celular</v>
      </c>
    </row>
    <row r="121" spans="1:37">
      <c r="A121" t="str">
        <f t="shared" si="35"/>
        <v>SG120</v>
      </c>
      <c r="B121" t="s">
        <v>418</v>
      </c>
      <c r="C121" s="9" t="s">
        <v>427</v>
      </c>
      <c r="D121" t="str">
        <f t="shared" si="18"/>
        <v>Masculino</v>
      </c>
      <c r="E121" t="str">
        <f t="shared" si="19"/>
        <v>De 26 a 28 años</v>
      </c>
      <c r="F121">
        <f t="shared" si="20"/>
        <v>28</v>
      </c>
      <c r="G121" s="9" t="s">
        <v>428</v>
      </c>
      <c r="H121" s="9" t="str">
        <f t="shared" si="21"/>
        <v>Posgrado</v>
      </c>
      <c r="I121" s="9" t="str">
        <f t="shared" si="22"/>
        <v>Tengo un emprendimiento o quiero iniciar uno</v>
      </c>
      <c r="J121" s="13" t="str">
        <f>IF(I121="Trabajo actualmente como empleado",IF(MOD((COUNTIF($I$2:I121,"Trabajo actualmente como empleado")-1)*37,150)&lt;100,"Empleado con contrato","Empleado sin contrato formal"),IF(I121="Trabajo de manera independiente","Trabajo independiente",""))</f>
        <v/>
      </c>
      <c r="K121" s="9" t="str">
        <f>IF(OR(I121="Trabajo actualmente como empleado",I121="Trabajo de manera independiente"),CHOOSE(MOD(COUNTIF($I$2:I121,I121)-1,4)+1,"Menos de 3 meses","De 3 a 6 meses","De 7 a 12 meses","Más de un año"),"")</f>
        <v/>
      </c>
      <c r="L121" t="str">
        <f>IF(OR(I121="Trabajo actualmente como empleado",I121="Trabajo de manera independiente"),CHOOSE(MOD(COUNTIF($I$2:I121,I121)-1,3)+1,"Sí, completamente","Parcialmente","No"),"")</f>
        <v/>
      </c>
      <c r="M121" t="str">
        <f>IF(OR(I121="Trabajo actualmente como empleado",I121="Trabajo de manera independiente"),CHOOSE(MOD(INT((COUNTIF($I$2:I121,I121)-1)/3),4)+1,"1- Muy satisfecho/a","2- Satisfecho/a","3- Insatisfecho/a","4- Muy insatisfecho/a"),"")</f>
        <v/>
      </c>
      <c r="N121" t="str">
        <f>IF(OR(I121="Trabajo actualmente como empleado",I121="Trabajo de manera independiente"),_xlfn.LET(_xlpm.opcion,MOD(INT((COUNTIF($I$2:I121,I121)-1)/5),6)+1,CHOOSE(IF(AND(_xlpm.opcion=6,L121="Sí, completamente"),5,_xlpm.opcion),"Salario","Estabilidad laboral","Horario","Acceso a prestaciones","Oportunidades de crecimiento","Trabajar en un área relacionada con mi formación")),"")</f>
        <v/>
      </c>
      <c r="O121" s="9" t="str">
        <f>IF(OR(I121="Trabajo actualmente como empleado",I121="Trabajo de manera independiente"),_xlfn.LET(_xlpm.turno,MOD(COUNTIF($I$2:I121,I121)-1,5),_xlpm.nivel,VALUE(LEFT(M121,1)),IF(_xlpm.turno=4,"No estoy seguro/a",IF(_xlpm.turno&lt;IF(_xlpm.nivel&lt;=2,1,3),"Sí","No"))),"")</f>
        <v/>
      </c>
      <c r="P121" s="9" t="str">
        <f>_xlfn.LET(_xlpm.perfil,I121,_xlpm.turno,COUNTIF($I$2:I121,_xlpm.perfil)-1,_xlpm.busca,OR(_xlpm.perfil="Actualmente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trabajar"),IF(AND(_xlpm.trabaja,O121="No"),"Todavía no he iniciado una búsqueda activa",CHOOSE(MOD(_xlpm.turno*3,5)+1,"Menos de 1 mes","Entre 1 y 3 meses","Entre 4 y 6 meses","Más de 6 meses","Todavía no he iniciado una búsqueda activa")),"")))</f>
        <v/>
      </c>
      <c r="Q121" t="str">
        <f>IF(I121="Tengo un emprendimiento o quiero iniciar uno","",CHOOSE(MOD(INT((COUNTIF($I$2:I121,I121)-1)/7),3)+1,"Sí","No","Tengo una pero necesito actualizarla"))</f>
        <v/>
      </c>
      <c r="R121" s="9" t="str">
        <f>IF(I121="Tengo un emprendimiento o quiero iniciar uno","",IF(I121="Busco mi primer empleo","No",IF(MOD(COUNTIF($I$2:I121,I121)-1,2)=0,"Sí","No")))</f>
        <v/>
      </c>
      <c r="S121" t="str">
        <f>IF(I121="Tengo un emprendimiento o quiero iniciar uno","",CHOOSE(MOD(INT((COUNTIF($I$2:I121,I121)-1)/3),10)+1,"Portales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21" t="str">
        <f>IF(I121="Tengo un emprendimiento o quiero iniciar uno","",_xlfn.LET(_xlpm.opcion,MOD(INT((COUNTIF($I$2:I121,I121)-1)/4),6)+1,CHOOSE(IF(AND(_xlpm.opcion=3,Q121="Sí"),1,_xlpm.opcion),"Falta de experiencia","Falta de formación","Dificultades con la hoja de vida","Horarios disponibles","Transporte","Internet")))</f>
        <v/>
      </c>
      <c r="U121" s="9" t="str">
        <f>IF(I121="Tengo un emprendimiento o quiero iniciar uno","",IF(MOD(INT((COUNTIF($I$2:I121,I121)-1)/3),2)=0,"Sí","No"))</f>
        <v/>
      </c>
      <c r="V121" s="9" t="str">
        <f>IF(I121="Tengo un emprendimiento o quiero iniciar uno",CHOOSE(MOD(COUNTIF($I$2:I121,I121)-1,3)+1,"Tengo un emprendimiento","Estoy iniciando un emprendimiento","Me interesa emprender"),"")</f>
        <v>Tengo un emprendimiento</v>
      </c>
      <c r="W121" t="str">
        <f t="shared" si="23"/>
        <v>Funcionamiento estable</v>
      </c>
      <c r="X121" s="9" t="str">
        <f>IF(I121="Tengo un emprendimiento o quiero iniciar uno",CHOOSE(MOD(COUNTIF($I$2:I121,I121)-1,5)+1,"Falta de financiación","Falta de conocimientos administrativos","Falta de conocimientos financieros","Falta de tiempo","Falta de herramientas"),"")</f>
        <v>Falta de herramientas</v>
      </c>
      <c r="Y121" s="9" t="str">
        <f t="shared" si="24"/>
        <v>Falta de herramientas</v>
      </c>
      <c r="Z121" t="str">
        <f>IF(I121="Tengo un emprendimiento o quiero iniciar uno",CHOOSE(INT(MOD((COUNTIF($I$2:I121,I121)-1)*7,39)/13)+1,"Sí","No","No conozco programas de ese tipo"),"")</f>
        <v>No</v>
      </c>
      <c r="AA121" t="str">
        <f t="shared" si="25"/>
        <v>Puedo hacerlo con ayuda</v>
      </c>
      <c r="AB121" t="str">
        <f t="shared" si="25"/>
        <v>Puedo hacerlo con ayuda</v>
      </c>
      <c r="AC121" t="str">
        <f t="shared" si="26"/>
        <v>No puedo hacerlo</v>
      </c>
      <c r="AD121" s="9" t="str">
        <f t="shared" si="27"/>
        <v>Puedo hacerlo con ayuda</v>
      </c>
      <c r="AE121" t="str">
        <f t="shared" si="28"/>
        <v>Puedo hacerlo con dificultad</v>
      </c>
      <c r="AF121" s="9" t="str">
        <f t="shared" si="29"/>
        <v>Comunicación</v>
      </c>
      <c r="AG121" s="9" t="str">
        <f t="shared" si="30"/>
        <v>Falta de experiencia</v>
      </c>
      <c r="AH121" t="str">
        <f t="shared" si="31"/>
        <v>Programas de emprendimiento</v>
      </c>
      <c r="AI121" s="9" t="str">
        <f t="shared" si="32"/>
        <v>Presencial y virtual</v>
      </c>
      <c r="AJ121" s="9" t="str">
        <f t="shared" si="33"/>
        <v>Mañana entre semana</v>
      </c>
      <c r="AK121" s="9" t="str">
        <f t="shared" si="34"/>
        <v>WhatsApp</v>
      </c>
    </row>
    <row r="122" spans="1:37">
      <c r="A122" t="str">
        <f t="shared" si="35"/>
        <v>SG121</v>
      </c>
      <c r="B122" t="s">
        <v>418</v>
      </c>
      <c r="C122" s="9" t="s">
        <v>427</v>
      </c>
      <c r="D122" t="str">
        <f t="shared" si="18"/>
        <v>Masculino</v>
      </c>
      <c r="E122" t="str">
        <f t="shared" si="19"/>
        <v>De 18 a 20 años</v>
      </c>
      <c r="F122">
        <f t="shared" si="20"/>
        <v>18</v>
      </c>
      <c r="G122" s="9" t="s">
        <v>428</v>
      </c>
      <c r="H122" s="9" t="str">
        <f t="shared" si="21"/>
        <v>Bachiller</v>
      </c>
      <c r="I122" s="9" t="str">
        <f t="shared" si="22"/>
        <v>Trabajo de manera independiente</v>
      </c>
      <c r="J122" s="13" t="str">
        <f>IF(I122="Trabajo actualmente como empleado",IF(MOD((COUNTIF($I$2:I122,"Trabajo actualmente como empleado")-1)*37,150)&lt;100,"Empleado con contrato","Empleado sin contrato formal"),IF(I122="Trabajo de manera independiente","Trabajo independiente",""))</f>
        <v>Trabajo independiente</v>
      </c>
      <c r="K122" s="9" t="str">
        <f>IF(OR(I122="Trabajo actualmente como empleado",I122="Trabajo de manera independiente"),CHOOSE(MOD(COUNTIF($I$2:I122,I122)-1,4)+1,"Menos de 3 meses","De 3 a 6 meses","De 7 a 12 meses","Más de un año"),"")</f>
        <v>Menos de 3 meses</v>
      </c>
      <c r="L122" t="str">
        <f>IF(OR(I122="Trabajo actualmente como empleado",I122="Trabajo de manera independiente"),CHOOSE(MOD(COUNTIF($I$2:I122,I122)-1,3)+1,"Sí, completamente","Parcialmente","No"),"")</f>
        <v>No</v>
      </c>
      <c r="M122" t="str">
        <f>IF(OR(I122="Trabajo actualmente como empleado",I122="Trabajo de manera independiente"),CHOOSE(MOD(INT((COUNTIF($I$2:I122,I122)-1)/3),4)+1,"1- Muy satisfecho/a","2- Satisfecho/a","3- Insatisfecho/a","4- Muy insatisfecho/a"),"")</f>
        <v>3- Insatisfecho/a</v>
      </c>
      <c r="N122" t="str">
        <f>IF(OR(I122="Trabajo actualmente como empleado",I122="Trabajo de manera independiente"),_xlfn.LET(_xlpm.opcion,MOD(INT((COUNTIF($I$2:I122,I122)-1)/5),6)+1,CHOOSE(IF(AND(_xlpm.opcion=6,L122="Sí, completamente"),5,_xlpm.opcion),"Salario","Estabilidad laboral","Horario","Acceso a prestaciones","Oportunidades de crecimiento","Trabajar en un área relacionada con mi formación")),"")</f>
        <v>Oportunidades de crecimiento</v>
      </c>
      <c r="O122" s="9" t="str">
        <f>IF(OR(I122="Trabajo actualmente como empleado",I122="Trabajo de manera independiente"),_xlfn.LET(_xlpm.turno,MOD(COUNTIF($I$2:I122,I122)-1,5),_xlpm.nivel,VALUE(LEFT(M122,1)),IF(_xlpm.turno=4,"No estoy seguro/a",IF(_xlpm.turno&lt;IF(_xlpm.nivel&lt;=2,1,3),"Sí","No"))),"")</f>
        <v>Sí</v>
      </c>
      <c r="P122" s="9" t="str">
        <f>_xlfn.LET(_xlpm.perfil,I122,_xlpm.turno,COUNTIF($I$2:I122,_xlpm.perfil)-1,_xlpm.busca,OR(_xlpm.perfil="Actualmente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trabajar"),IF(AND(_xlpm.trabaja,O122="No"),"Todavía no he iniciado una búsqueda activa",CHOOSE(MOD(_xlpm.turno*3,5)+1,"Menos de 1 mes","Entre 1 y 3 meses","Entre 4 y 6 meses","Más de 6 meses","Todavía no he iniciado una búsqueda activa")),"")))</f>
        <v>Menos de 1 mes</v>
      </c>
      <c r="Q122" t="str">
        <f>IF(I122="Tengo un emprendimiento o quiero iniciar uno","",CHOOSE(MOD(INT((COUNTIF($I$2:I122,I122)-1)/7),3)+1,"Sí","No","Tengo una pero necesito actualizarla"))</f>
        <v>Tengo una pero necesito actualizarla</v>
      </c>
      <c r="R122" s="9" t="str">
        <f>IF(I122="Tengo un emprendimiento o quiero iniciar uno","",IF(I122="Busco mi primer empleo","No",IF(MOD(COUNTIF($I$2:I122,I122)-1,2)=0,"Sí","No")))</f>
        <v>Sí</v>
      </c>
      <c r="S122" t="str">
        <f>IF(I122="Tengo un emprendimiento o quiero iniciar uno","",CHOOSE(MOD(INT((COUNTIF($I$2:I122,I122)-1)/3),10)+1,"Portales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22" t="str">
        <f>IF(I122="Tengo un emprendimiento o quiero iniciar uno","",_xlfn.LET(_xlpm.opcion,MOD(INT((COUNTIF($I$2:I122,I122)-1)/4),6)+1,CHOOSE(IF(AND(_xlpm.opcion=3,Q122="Sí"),1,_xlpm.opcion),"Falta de experiencia","Falta de formación","Dificultades con la hoja de vida","Horarios disponibles","Transporte","Internet")))</f>
        <v>Internet</v>
      </c>
      <c r="U122" s="9" t="str">
        <f>IF(I122="Tengo un emprendimiento o quiero iniciar uno","",IF(MOD(INT((COUNTIF($I$2:I122,I122)-1)/3),2)=0,"Sí","No"))</f>
        <v>Sí</v>
      </c>
      <c r="V122" s="9" t="str">
        <f>IF(I122="Tengo un emprendimiento o quiero iniciar uno",CHOOSE(MOD(COUNTIF($I$2:I122,I122)-1,3)+1,"Tengo un emprendimiento","Estoy iniciando un emprendimiento","Me interesa emprender"),"")</f>
        <v/>
      </c>
      <c r="W122" t="str">
        <f t="shared" si="23"/>
        <v/>
      </c>
      <c r="X122" s="9" t="str">
        <f>IF(I122="Tengo un emprendimiento o quiero iniciar uno",CHOOSE(MOD(COUNTIF($I$2:I122,I122)-1,5)+1,"Falta de financiación","Falta de conocimientos administrativos","Falta de conocimientos financieros","Falta de tiempo","Falta de herramientas"),"")</f>
        <v/>
      </c>
      <c r="Y122" s="9" t="str">
        <f t="shared" si="24"/>
        <v/>
      </c>
      <c r="Z122" t="str">
        <f>IF(I122="Tengo un emprendimiento o quiero iniciar uno",CHOOSE(INT(MOD((COUNTIF($I$2:I122,I122)-1)*7,39)/13)+1,"Sí","No","No conozco programas de ese tipo"),"")</f>
        <v/>
      </c>
      <c r="AA122" t="str">
        <f t="shared" si="25"/>
        <v>Puedo hacerlo sin ayuda</v>
      </c>
      <c r="AB122" t="str">
        <f t="shared" si="25"/>
        <v>Puedo hacerlo sin ayuda</v>
      </c>
      <c r="AC122" t="str">
        <f t="shared" si="26"/>
        <v>Puedo hacerlo con dificultad</v>
      </c>
      <c r="AD122" s="9" t="str">
        <f t="shared" si="27"/>
        <v>Puedo hacerlo con dificultad</v>
      </c>
      <c r="AE122" t="str">
        <f t="shared" si="28"/>
        <v>Puedo hacerlo con dificultad</v>
      </c>
      <c r="AF122" s="9" t="str">
        <f t="shared" si="29"/>
        <v>Liderazgo</v>
      </c>
      <c r="AG122" s="9" t="str">
        <f t="shared" si="30"/>
        <v>Distancia</v>
      </c>
      <c r="AH122" t="str">
        <f t="shared" si="31"/>
        <v>No conozco ninguno</v>
      </c>
      <c r="AI122" s="9" t="str">
        <f t="shared" si="32"/>
        <v>Me es indiferente</v>
      </c>
      <c r="AJ122" s="9" t="str">
        <f t="shared" si="33"/>
        <v>Diurno</v>
      </c>
      <c r="AK122" s="9" t="str">
        <f t="shared" si="34"/>
        <v>Redes sociales</v>
      </c>
    </row>
    <row r="123" spans="1:37">
      <c r="A123" t="str">
        <f t="shared" si="35"/>
        <v>SG122</v>
      </c>
      <c r="B123" t="s">
        <v>418</v>
      </c>
      <c r="C123" s="9" t="s">
        <v>427</v>
      </c>
      <c r="D123" t="str">
        <f t="shared" si="18"/>
        <v>Femenino</v>
      </c>
      <c r="E123" t="str">
        <f t="shared" si="19"/>
        <v>De 20 a 22 años</v>
      </c>
      <c r="F123">
        <f t="shared" si="20"/>
        <v>20</v>
      </c>
      <c r="G123" s="9" t="s">
        <v>428</v>
      </c>
      <c r="H123" s="9" t="str">
        <f t="shared" si="21"/>
        <v>Bachiller</v>
      </c>
      <c r="I123" s="9" t="str">
        <f t="shared" si="22"/>
        <v>Busco mi primer empleo</v>
      </c>
      <c r="J123" s="13" t="str">
        <f>IF(I123="Trabajo actualmente como empleado",IF(MOD((COUNTIF($I$2:I123,"Trabajo actualmente como empleado")-1)*37,150)&lt;100,"Empleado con contrato","Empleado sin contrato formal"),IF(I123="Trabajo de manera independiente","Trabajo independiente",""))</f>
        <v/>
      </c>
      <c r="K123" s="9" t="str">
        <f>IF(OR(I123="Trabajo actualmente como empleado",I123="Trabajo de manera independiente"),CHOOSE(MOD(COUNTIF($I$2:I123,I123)-1,4)+1,"Menos de 3 meses","De 3 a 6 meses","De 7 a 12 meses","Más de un año"),"")</f>
        <v/>
      </c>
      <c r="L123" t="str">
        <f>IF(OR(I123="Trabajo actualmente como empleado",I123="Trabajo de manera independiente"),CHOOSE(MOD(COUNTIF($I$2:I123,I123)-1,3)+1,"Sí, completamente","Parcialmente","No"),"")</f>
        <v/>
      </c>
      <c r="M123" t="str">
        <f>IF(OR(I123="Trabajo actualmente como empleado",I123="Trabajo de manera independiente"),CHOOSE(MOD(INT((COUNTIF($I$2:I123,I123)-1)/3),4)+1,"1- Muy satisfecho/a","2- Satisfecho/a","3- Insatisfecho/a","4- Muy insatisfecho/a"),"")</f>
        <v/>
      </c>
      <c r="N123" t="str">
        <f>IF(OR(I123="Trabajo actualmente como empleado",I123="Trabajo de manera independiente"),_xlfn.LET(_xlpm.opcion,MOD(INT((COUNTIF($I$2:I123,I123)-1)/5),6)+1,CHOOSE(IF(AND(_xlpm.opcion=6,L123="Sí, completamente"),5,_xlpm.opcion),"Salario","Estabilidad laboral","Horario","Acceso a prestaciones","Oportunidades de crecimiento","Trabajar en un área relacionada con mi formación")),"")</f>
        <v/>
      </c>
      <c r="O123" s="9" t="str">
        <f>IF(OR(I123="Trabajo actualmente como empleado",I123="Trabajo de manera independiente"),_xlfn.LET(_xlpm.turno,MOD(COUNTIF($I$2:I123,I123)-1,5),_xlpm.nivel,VALUE(LEFT(M123,1)),IF(_xlpm.turno=4,"No estoy seguro/a",IF(_xlpm.turno&lt;IF(_xlpm.nivel&lt;=2,1,3),"Sí","No"))),"")</f>
        <v/>
      </c>
      <c r="P123" s="9" t="str">
        <f>_xlfn.LET(_xlpm.perfil,I123,_xlpm.turno,COUNTIF($I$2:I123,_xlpm.perfil)-1,_xlpm.busca,OR(_xlpm.perfil="Actualmente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trabajar"),IF(AND(_xlpm.trabaja,O123="No"),"Todavía no he iniciado una búsqueda activa",CHOOSE(MOD(_xlpm.turno*3,5)+1,"Menos de 1 mes","Entre 1 y 3 meses","Entre 4 y 6 meses","Más de 6 meses","Todavía no he iniciado una búsqueda activa")),"")))</f>
        <v>Menos de 1 mes</v>
      </c>
      <c r="Q123" t="str">
        <f>IF(I123="Tengo un emprendimiento o quiero iniciar uno","",CHOOSE(MOD(INT((COUNTIF($I$2:I123,I123)-1)/7),3)+1,"Sí","No","Tengo una pero necesito actualizarla"))</f>
        <v>Tengo una pero necesito actualizarla</v>
      </c>
      <c r="R123" s="9" t="str">
        <f>IF(I123="Tengo un emprendimiento o quiero iniciar uno","",IF(I123="Busco mi primer empleo","No",IF(MOD(COUNTIF($I$2:I123,I123)-1,2)=0,"Sí","No")))</f>
        <v>No</v>
      </c>
      <c r="S123" t="str">
        <f>IF(I123="Tengo un emprendimiento o quiero iniciar uno","",CHOOSE(MOD(INT((COUNTIF($I$2:I123,I123)-1)/3),10)+1,"Portales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23" t="str">
        <f>IF(I123="Tengo un emprendimiento o quiero iniciar uno","",_xlfn.LET(_xlpm.opcion,MOD(INT((COUNTIF($I$2:I123,I123)-1)/4),6)+1,CHOOSE(IF(AND(_xlpm.opcion=3,Q123="Sí"),1,_xlpm.opcion),"Falta de experiencia","Falta de formación","Dificultades con la hoja de vida","Horarios disponibles","Transporte","Internet")))</f>
        <v>Transporte</v>
      </c>
      <c r="U123" s="9" t="str">
        <f>IF(I123="Tengo un emprendimiento o quiero iniciar uno","",IF(MOD(INT((COUNTIF($I$2:I123,I123)-1)/3),2)=0,"Sí","No"))</f>
        <v>No</v>
      </c>
      <c r="V123" s="9" t="str">
        <f>IF(I123="Tengo un emprendimiento o quiero iniciar uno",CHOOSE(MOD(COUNTIF($I$2:I123,I123)-1,3)+1,"Tengo un emprendimiento","Estoy iniciando un emprendimiento","Me interesa emprender"),"")</f>
        <v/>
      </c>
      <c r="W123" t="str">
        <f t="shared" si="23"/>
        <v/>
      </c>
      <c r="X123" s="9" t="str">
        <f>IF(I123="Tengo un emprendimiento o quiero iniciar uno",CHOOSE(MOD(COUNTIF($I$2:I123,I123)-1,5)+1,"Falta de financiación","Falta de conocimientos administrativos","Falta de conocimientos financieros","Falta de tiempo","Falta de herramientas"),"")</f>
        <v/>
      </c>
      <c r="Y123" s="9" t="str">
        <f t="shared" si="24"/>
        <v/>
      </c>
      <c r="Z123" t="str">
        <f>IF(I123="Tengo un emprendimiento o quiero iniciar uno",CHOOSE(INT(MOD((COUNTIF($I$2:I123,I123)-1)*7,39)/13)+1,"Sí","No","No conozco programas de ese tipo"),"")</f>
        <v/>
      </c>
      <c r="AA123" t="str">
        <f t="shared" si="25"/>
        <v>No puedo hacerlo</v>
      </c>
      <c r="AB123" t="str">
        <f t="shared" si="25"/>
        <v>No puedo hacerlo</v>
      </c>
      <c r="AC123" t="str">
        <f t="shared" si="26"/>
        <v>Puedo hacerlo sin ayuda</v>
      </c>
      <c r="AD123" s="9" t="str">
        <f t="shared" si="27"/>
        <v>Puedo hacerlo sin ayuda</v>
      </c>
      <c r="AE123" t="str">
        <f t="shared" si="28"/>
        <v>Puedo hacerlo sin ayuda</v>
      </c>
      <c r="AF123" s="9" t="str">
        <f t="shared" si="29"/>
        <v>Emprendimiento</v>
      </c>
      <c r="AG123" s="9" t="str">
        <f t="shared" si="30"/>
        <v>Distancia</v>
      </c>
      <c r="AH123" t="str">
        <f t="shared" si="31"/>
        <v>Ferias de empleo</v>
      </c>
      <c r="AI123" s="9" t="str">
        <f t="shared" si="32"/>
        <v>Presencial</v>
      </c>
      <c r="AJ123" s="9" t="str">
        <f t="shared" si="33"/>
        <v>Nocturno</v>
      </c>
      <c r="AK123" s="9" t="str">
        <f t="shared" si="34"/>
        <v>Celular</v>
      </c>
    </row>
    <row r="124" spans="1:37">
      <c r="A124" t="str">
        <f t="shared" si="35"/>
        <v>SG123</v>
      </c>
      <c r="B124" t="s">
        <v>418</v>
      </c>
      <c r="C124" s="9" t="s">
        <v>427</v>
      </c>
      <c r="D124" t="str">
        <f t="shared" si="18"/>
        <v>Femenino</v>
      </c>
      <c r="E124" t="str">
        <f t="shared" si="19"/>
        <v>De 22 a 24 años</v>
      </c>
      <c r="F124">
        <f t="shared" si="20"/>
        <v>22</v>
      </c>
      <c r="G124" s="9" t="s">
        <v>428</v>
      </c>
      <c r="H124" s="9" t="str">
        <f t="shared" si="21"/>
        <v>Técnico</v>
      </c>
      <c r="I124" s="9" t="str">
        <f t="shared" si="22"/>
        <v>Trabajo actualmente como empleado</v>
      </c>
      <c r="J124" s="13" t="str">
        <f>IF(I124="Trabajo actualmente como empleado",IF(MOD((COUNTIF($I$2:I124,"Trabajo actualmente como empleado")-1)*37,150)&lt;100,"Empleado con contrato","Empleado sin contrato formal"),IF(I124="Trabajo de manera independiente","Trabajo independiente",""))</f>
        <v>Empleado sin contrato formal</v>
      </c>
      <c r="K124" s="9" t="str">
        <f>IF(OR(I124="Trabajo actualmente como empleado",I124="Trabajo de manera independiente"),CHOOSE(MOD(COUNTIF($I$2:I124,I124)-1,4)+1,"Menos de 3 meses","De 3 a 6 meses","De 7 a 12 meses","Más de un año"),"")</f>
        <v>Menos de 3 meses</v>
      </c>
      <c r="L124" t="str">
        <f>IF(OR(I124="Trabajo actualmente como empleado",I124="Trabajo de manera independiente"),CHOOSE(MOD(COUNTIF($I$2:I124,I124)-1,3)+1,"Sí, completamente","Parcialmente","No"),"")</f>
        <v>Parcialmente</v>
      </c>
      <c r="M124" t="str">
        <f>IF(OR(I124="Trabajo actualmente como empleado",I124="Trabajo de manera independiente"),CHOOSE(MOD(INT((COUNTIF($I$2:I124,I124)-1)/3),4)+1,"1- Muy satisfecho/a","2- Satisfecho/a","3- Insatisfecho/a","4- Muy insatisfecho/a"),"")</f>
        <v>2- Satisfecho/a</v>
      </c>
      <c r="N124" t="str">
        <f>IF(OR(I124="Trabajo actualmente como empleado",I124="Trabajo de manera independiente"),_xlfn.LET(_xlpm.opcion,MOD(INT((COUNTIF($I$2:I124,I124)-1)/5),6)+1,CHOOSE(IF(AND(_xlpm.opcion=6,L124="Sí, completamente"),5,_xlpm.opcion),"Salario","Estabilidad laboral","Horario","Acceso a prestaciones","Oportunidades de crecimiento","Trabajar en un área relacionada con mi formación")),"")</f>
        <v>Horario</v>
      </c>
      <c r="O124" s="9" t="str">
        <f>IF(OR(I124="Trabajo actualmente como empleado",I124="Trabajo de manera independiente"),_xlfn.LET(_xlpm.turno,MOD(COUNTIF($I$2:I124,I124)-1,5),_xlpm.nivel,VALUE(LEFT(M124,1)),IF(_xlpm.turno=4,"No estoy seguro/a",IF(_xlpm.turno&lt;IF(_xlpm.nivel&lt;=2,1,3),"Sí","No"))),"")</f>
        <v>Sí</v>
      </c>
      <c r="P124" s="9" t="str">
        <f>_xlfn.LET(_xlpm.perfil,I124,_xlpm.turno,COUNTIF($I$2:I124,_xlpm.perfil)-1,_xlpm.busca,OR(_xlpm.perfil="Actualmente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trabajar"),IF(AND(_xlpm.trabaja,O124="No"),"Todavía no he iniciado una búsqueda activa",CHOOSE(MOD(_xlpm.turno*3,5)+1,"Menos de 1 mes","Entre 1 y 3 meses","Entre 4 y 6 meses","Más de 6 meses","Todavía no he iniciado una búsqueda activa")),"")))</f>
        <v>Menos de 1 mes</v>
      </c>
      <c r="Q124" t="str">
        <f>IF(I124="Tengo un emprendimiento o quiero iniciar uno","",CHOOSE(MOD(INT((COUNTIF($I$2:I124,I124)-1)/7),3)+1,"Sí","No","Tengo una pero necesito actualizarla"))</f>
        <v>Tengo una pero necesito actualizarla</v>
      </c>
      <c r="R124" s="9" t="str">
        <f>IF(I124="Tengo un emprendimiento o quiero iniciar uno","",IF(I124="Busco mi primer empleo","No",IF(MOD(COUNTIF($I$2:I124,I124)-1,2)=0,"Sí","No")))</f>
        <v>Sí</v>
      </c>
      <c r="S124" t="str">
        <f>IF(I124="Tengo un emprendimiento o quiero iniciar uno","",CHOOSE(MOD(INT((COUNTIF($I$2:I124,I124)-1)/3),10)+1,"Portales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124" t="str">
        <f>IF(I124="Tengo un emprendimiento o quiero iniciar uno","",_xlfn.LET(_xlpm.opcion,MOD(INT((COUNTIF($I$2:I124,I124)-1)/4),6)+1,CHOOSE(IF(AND(_xlpm.opcion=3,Q124="Sí"),1,_xlpm.opcion),"Falta de experiencia","Falta de formación","Dificultades con la hoja de vida","Horarios disponibles","Transporte","Internet")))</f>
        <v>Transporte</v>
      </c>
      <c r="U124" s="9" t="str">
        <f>IF(I124="Tengo un emprendimiento o quiero iniciar uno","",IF(MOD(INT((COUNTIF($I$2:I124,I124)-1)/3),2)=0,"Sí","No"))</f>
        <v>No</v>
      </c>
      <c r="V124" s="9" t="str">
        <f>IF(I124="Tengo un emprendimiento o quiero iniciar uno",CHOOSE(MOD(COUNTIF($I$2:I124,I124)-1,3)+1,"Tengo un emprendimiento","Estoy iniciando un emprendimiento","Me interesa emprender"),"")</f>
        <v/>
      </c>
      <c r="W124" t="str">
        <f t="shared" si="23"/>
        <v/>
      </c>
      <c r="X124" s="9" t="str">
        <f>IF(I124="Tengo un emprendimiento o quiero iniciar uno",CHOOSE(MOD(COUNTIF($I$2:I124,I124)-1,5)+1,"Falta de financiación","Falta de conocimientos administrativos","Falta de conocimientos financieros","Falta de tiempo","Falta de herramientas"),"")</f>
        <v/>
      </c>
      <c r="Y124" s="9" t="str">
        <f t="shared" si="24"/>
        <v/>
      </c>
      <c r="Z124" t="str">
        <f>IF(I124="Tengo un emprendimiento o quiero iniciar uno",CHOOSE(INT(MOD((COUNTIF($I$2:I124,I124)-1)*7,39)/13)+1,"Sí","No","No conozco programas de ese tipo"),"")</f>
        <v/>
      </c>
      <c r="AA124" t="str">
        <f t="shared" si="25"/>
        <v>Puedo hacerlo con dificultad</v>
      </c>
      <c r="AB124" t="str">
        <f t="shared" si="25"/>
        <v>Puedo hacerlo con dificultad</v>
      </c>
      <c r="AC124" t="str">
        <f t="shared" si="26"/>
        <v>No puedo hacerlo</v>
      </c>
      <c r="AD124" s="9" t="str">
        <f t="shared" si="27"/>
        <v>Puedo hacerlo sin ayuda</v>
      </c>
      <c r="AE124" t="str">
        <f t="shared" si="28"/>
        <v>Puedo hacerlo sin ayuda</v>
      </c>
      <c r="AF124" s="9" t="str">
        <f t="shared" si="29"/>
        <v>Herramientas digitales</v>
      </c>
      <c r="AG124" s="9" t="str">
        <f t="shared" si="30"/>
        <v>Distancia</v>
      </c>
      <c r="AH124" t="str">
        <f t="shared" si="31"/>
        <v>No conozco ninguno</v>
      </c>
      <c r="AI124" s="9" t="str">
        <f t="shared" si="32"/>
        <v>Virtual</v>
      </c>
      <c r="AJ124" s="9" t="str">
        <f t="shared" si="33"/>
        <v>Mañana entre semana</v>
      </c>
      <c r="AK124" s="9" t="str">
        <f t="shared" si="34"/>
        <v>Correo electrónico</v>
      </c>
    </row>
    <row r="125" spans="1:37">
      <c r="A125" t="str">
        <f t="shared" si="35"/>
        <v>SG124</v>
      </c>
      <c r="B125" t="s">
        <v>418</v>
      </c>
      <c r="C125" s="9" t="s">
        <v>427</v>
      </c>
      <c r="D125" t="str">
        <f t="shared" si="18"/>
        <v>Masculino</v>
      </c>
      <c r="E125" t="str">
        <f t="shared" si="19"/>
        <v>De 24 a 26 años</v>
      </c>
      <c r="F125">
        <f t="shared" si="20"/>
        <v>24</v>
      </c>
      <c r="G125" s="9" t="s">
        <v>428</v>
      </c>
      <c r="H125" s="9" t="str">
        <f t="shared" si="21"/>
        <v>Técnico</v>
      </c>
      <c r="I125" s="9" t="str">
        <f t="shared" si="22"/>
        <v>Trabajo de manera independiente</v>
      </c>
      <c r="J125" s="13" t="str">
        <f>IF(I125="Trabajo actualmente como empleado",IF(MOD((COUNTIF($I$2:I125,"Trabajo actualmente como empleado")-1)*37,150)&lt;100,"Empleado con contrato","Empleado sin contrato formal"),IF(I125="Trabajo de manera independiente","Trabajo independiente",""))</f>
        <v>Trabajo independiente</v>
      </c>
      <c r="K125" s="9" t="str">
        <f>IF(OR(I125="Trabajo actualmente como empleado",I125="Trabajo de manera independiente"),CHOOSE(MOD(COUNTIF($I$2:I125,I125)-1,4)+1,"Menos de 3 meses","De 3 a 6 meses","De 7 a 12 meses","Más de un año"),"")</f>
        <v>De 3 a 6 meses</v>
      </c>
      <c r="L125" t="str">
        <f>IF(OR(I125="Trabajo actualmente como empleado",I125="Trabajo de manera independiente"),CHOOSE(MOD(COUNTIF($I$2:I125,I125)-1,3)+1,"Sí, completamente","Parcialmente","No"),"")</f>
        <v>Sí, completamente</v>
      </c>
      <c r="M125" t="str">
        <f>IF(OR(I125="Trabajo actualmente como empleado",I125="Trabajo de manera independiente"),CHOOSE(MOD(INT((COUNTIF($I$2:I125,I125)-1)/3),4)+1,"1- Muy satisfecho/a","2- Satisfecho/a","3- Insatisfecho/a","4- Muy insatisfecho/a"),"")</f>
        <v>4- Muy insatisfecho/a</v>
      </c>
      <c r="N125" t="str">
        <f>IF(OR(I125="Trabajo actualmente como empleado",I125="Trabajo de manera independiente"),_xlfn.LET(_xlpm.opcion,MOD(INT((COUNTIF($I$2:I125,I125)-1)/5),6)+1,CHOOSE(IF(AND(_xlpm.opcion=6,L125="Sí, completamente"),5,_xlpm.opcion),"Salario","Estabilidad laboral","Horario","Acceso a prestaciones","Oportunidades de crecimiento","Trabajar en un área relacionada con mi formación")),"")</f>
        <v>Oportunidades de crecimiento</v>
      </c>
      <c r="O125" s="9" t="str">
        <f>IF(OR(I125="Trabajo actualmente como empleado",I125="Trabajo de manera independiente"),_xlfn.LET(_xlpm.turno,MOD(COUNTIF($I$2:I125,I125)-1,5),_xlpm.nivel,VALUE(LEFT(M125,1)),IF(_xlpm.turno=4,"No estoy seguro/a",IF(_xlpm.turno&lt;IF(_xlpm.nivel&lt;=2,1,3),"Sí","No"))),"")</f>
        <v>Sí</v>
      </c>
      <c r="P125" s="9" t="str">
        <f>_xlfn.LET(_xlpm.perfil,I125,_xlpm.turno,COUNTIF($I$2:I125,_xlpm.perfil)-1,_xlpm.busca,OR(_xlpm.perfil="Actualmente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trabajar"),IF(AND(_xlpm.trabaja,O125="No"),"Todavía no he iniciado una búsqueda activa",CHOOSE(MOD(_xlpm.turno*3,5)+1,"Menos de 1 mes","Entre 1 y 3 meses","Entre 4 y 6 meses","Más de 6 meses","Todavía no he iniciado una búsqueda activa")),"")))</f>
        <v>Más de 6 meses</v>
      </c>
      <c r="Q125" t="str">
        <f>IF(I125="Tengo un emprendimiento o quiero iniciar uno","",CHOOSE(MOD(INT((COUNTIF($I$2:I125,I125)-1)/7),3)+1,"Sí","No","Tengo una pero necesito actualizarla"))</f>
        <v>Sí</v>
      </c>
      <c r="R125" s="9" t="str">
        <f>IF(I125="Tengo un emprendimiento o quiero iniciar uno","",IF(I125="Busco mi primer empleo","No",IF(MOD(COUNTIF($I$2:I125,I125)-1,2)=0,"Sí","No")))</f>
        <v>No</v>
      </c>
      <c r="S125" t="str">
        <f>IF(I125="Tengo un emprendimiento o quiero iniciar uno","",CHOOSE(MOD(INT((COUNTIF($I$2:I125,I125)-1)/3),10)+1,"Portales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25" t="str">
        <f>IF(I125="Tengo un emprendimiento o quiero iniciar uno","",_xlfn.LET(_xlpm.opcion,MOD(INT((COUNTIF($I$2:I125,I125)-1)/4),6)+1,CHOOSE(IF(AND(_xlpm.opcion=3,Q125="Sí"),1,_xlpm.opcion),"Falta de experiencia","Falta de formación","Dificultades con la hoja de vida","Horarios disponibles","Transporte","Internet")))</f>
        <v>Internet</v>
      </c>
      <c r="U125" s="9" t="str">
        <f>IF(I125="Tengo un emprendimiento o quiero iniciar uno","",IF(MOD(INT((COUNTIF($I$2:I125,I125)-1)/3),2)=0,"Sí","No"))</f>
        <v>No</v>
      </c>
      <c r="V125" s="9" t="str">
        <f>IF(I125="Tengo un emprendimiento o quiero iniciar uno",CHOOSE(MOD(COUNTIF($I$2:I125,I125)-1,3)+1,"Tengo un emprendimiento","Estoy iniciando un emprendimiento","Me interesa emprender"),"")</f>
        <v/>
      </c>
      <c r="W125" t="str">
        <f t="shared" si="23"/>
        <v/>
      </c>
      <c r="X125" s="9" t="str">
        <f>IF(I125="Tengo un emprendimiento o quiero iniciar uno",CHOOSE(MOD(COUNTIF($I$2:I125,I125)-1,5)+1,"Falta de financiación","Falta de conocimientos administrativos","Falta de conocimientos financieros","Falta de tiempo","Falta de herramientas"),"")</f>
        <v/>
      </c>
      <c r="Y125" s="9" t="str">
        <f t="shared" si="24"/>
        <v/>
      </c>
      <c r="Z125" t="str">
        <f>IF(I125="Tengo un emprendimiento o quiero iniciar uno",CHOOSE(INT(MOD((COUNTIF($I$2:I125,I125)-1)*7,39)/13)+1,"Sí","No","No conozco programas de ese tipo"),"")</f>
        <v/>
      </c>
      <c r="AA125" t="str">
        <f t="shared" si="25"/>
        <v>No puedo hacerlo</v>
      </c>
      <c r="AB125" t="str">
        <f t="shared" si="25"/>
        <v>No puedo hacerlo</v>
      </c>
      <c r="AC125" t="str">
        <f t="shared" si="26"/>
        <v>Puedo hacerlo con ayuda</v>
      </c>
      <c r="AD125" s="9" t="str">
        <f t="shared" si="27"/>
        <v>No puedo hacerlo</v>
      </c>
      <c r="AE125" t="str">
        <f t="shared" si="28"/>
        <v>No puedo hacerlo</v>
      </c>
      <c r="AF125" s="9" t="str">
        <f t="shared" si="29"/>
        <v>Educación financiera</v>
      </c>
      <c r="AG125" s="9" t="str">
        <f t="shared" si="30"/>
        <v>Falta de experiencia;Falta de información</v>
      </c>
      <c r="AH125" t="str">
        <f t="shared" si="31"/>
        <v>Oficina de orientación laboral</v>
      </c>
      <c r="AI125" s="9" t="str">
        <f t="shared" si="32"/>
        <v>Me es indiferente</v>
      </c>
      <c r="AJ125" s="9" t="str">
        <f t="shared" si="33"/>
        <v>Diurno</v>
      </c>
      <c r="AK125" s="9" t="str">
        <f t="shared" si="34"/>
        <v>Redes sociales</v>
      </c>
    </row>
    <row r="126" spans="1:37">
      <c r="A126" t="str">
        <f t="shared" si="35"/>
        <v>SG125</v>
      </c>
      <c r="B126" t="s">
        <v>418</v>
      </c>
      <c r="C126" s="9" t="s">
        <v>427</v>
      </c>
      <c r="D126" t="str">
        <f t="shared" si="18"/>
        <v>Masculino</v>
      </c>
      <c r="E126" t="str">
        <f t="shared" si="19"/>
        <v>De 26 a 28 años</v>
      </c>
      <c r="F126">
        <f t="shared" si="20"/>
        <v>26</v>
      </c>
      <c r="G126" s="9" t="s">
        <v>428</v>
      </c>
      <c r="H126" s="9" t="str">
        <f t="shared" si="21"/>
        <v>Tecnólogo</v>
      </c>
      <c r="I126" s="9" t="str">
        <f t="shared" si="22"/>
        <v>Busco mi primer empleo</v>
      </c>
      <c r="J126" s="13" t="str">
        <f>IF(I126="Trabajo actualmente como empleado",IF(MOD((COUNTIF($I$2:I126,"Trabajo actualmente como empleado")-1)*37,150)&lt;100,"Empleado con contrato","Empleado sin contrato formal"),IF(I126="Trabajo de manera independiente","Trabajo independiente",""))</f>
        <v/>
      </c>
      <c r="K126" s="9" t="str">
        <f>IF(OR(I126="Trabajo actualmente como empleado",I126="Trabajo de manera independiente"),CHOOSE(MOD(COUNTIF($I$2:I126,I126)-1,4)+1,"Menos de 3 meses","De 3 a 6 meses","De 7 a 12 meses","Más de un año"),"")</f>
        <v/>
      </c>
      <c r="L126" t="str">
        <f>IF(OR(I126="Trabajo actualmente como empleado",I126="Trabajo de manera independiente"),CHOOSE(MOD(COUNTIF($I$2:I126,I126)-1,3)+1,"Sí, completamente","Parcialmente","No"),"")</f>
        <v/>
      </c>
      <c r="M126" t="str">
        <f>IF(OR(I126="Trabajo actualmente como empleado",I126="Trabajo de manera independiente"),CHOOSE(MOD(INT((COUNTIF($I$2:I126,I126)-1)/3),4)+1,"1- Muy satisfecho/a","2- Satisfecho/a","3- Insatisfecho/a","4- Muy insatisfecho/a"),"")</f>
        <v/>
      </c>
      <c r="N126" t="str">
        <f>IF(OR(I126="Trabajo actualmente como empleado",I126="Trabajo de manera independiente"),_xlfn.LET(_xlpm.opcion,MOD(INT((COUNTIF($I$2:I126,I126)-1)/5),6)+1,CHOOSE(IF(AND(_xlpm.opcion=6,L126="Sí, completamente"),5,_xlpm.opcion),"Salario","Estabilidad laboral","Horario","Acceso a prestaciones","Oportunidades de crecimiento","Trabajar en un área relacionada con mi formación")),"")</f>
        <v/>
      </c>
      <c r="O126" s="9" t="str">
        <f>IF(OR(I126="Trabajo actualmente como empleado",I126="Trabajo de manera independiente"),_xlfn.LET(_xlpm.turno,MOD(COUNTIF($I$2:I126,I126)-1,5),_xlpm.nivel,VALUE(LEFT(M126,1)),IF(_xlpm.turno=4,"No estoy seguro/a",IF(_xlpm.turno&lt;IF(_xlpm.nivel&lt;=2,1,3),"Sí","No"))),"")</f>
        <v/>
      </c>
      <c r="P126" s="9" t="str">
        <f>_xlfn.LET(_xlpm.perfil,I126,_xlpm.turno,COUNTIF($I$2:I126,_xlpm.perfil)-1,_xlpm.busca,OR(_xlpm.perfil="Actualmente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trabajar"),IF(AND(_xlpm.trabaja,O126="No"),"Todavía no he iniciado una búsqueda activa",CHOOSE(MOD(_xlpm.turno*3,5)+1,"Menos de 1 mes","Entre 1 y 3 meses","Entre 4 y 6 meses","Más de 6 meses","Todavía no he iniciado una búsqueda activa")),"")))</f>
        <v>Más de 6 meses</v>
      </c>
      <c r="Q126" t="str">
        <f>IF(I126="Tengo un emprendimiento o quiero iniciar uno","",CHOOSE(MOD(INT((COUNTIF($I$2:I126,I126)-1)/7),3)+1,"Sí","No","Tengo una pero necesito actualizarla"))</f>
        <v>Tengo una pero necesito actualizarla</v>
      </c>
      <c r="R126" s="9" t="str">
        <f>IF(I126="Tengo un emprendimiento o quiero iniciar uno","",IF(I126="Busco mi primer empleo","No",IF(MOD(COUNTIF($I$2:I126,I126)-1,2)=0,"Sí","No")))</f>
        <v>No</v>
      </c>
      <c r="S126" t="str">
        <f>IF(I126="Tengo un emprendimiento o quiero iniciar uno","",CHOOSE(MOD(INT((COUNTIF($I$2:I126,I126)-1)/3),10)+1,"Portales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26" t="str">
        <f>IF(I126="Tengo un emprendimiento o quiero iniciar uno","",_xlfn.LET(_xlpm.opcion,MOD(INT((COUNTIF($I$2:I126,I126)-1)/4),6)+1,CHOOSE(IF(AND(_xlpm.opcion=3,Q126="Sí"),1,_xlpm.opcion),"Falta de experiencia","Falta de formación","Dificultades con la hoja de vida","Horarios disponibles","Transporte","Internet")))</f>
        <v>Transporte</v>
      </c>
      <c r="U126" s="9" t="str">
        <f>IF(I126="Tengo un emprendimiento o quiero iniciar uno","",IF(MOD(INT((COUNTIF($I$2:I126,I126)-1)/3),2)=0,"Sí","No"))</f>
        <v>No</v>
      </c>
      <c r="V126" s="9" t="str">
        <f>IF(I126="Tengo un emprendimiento o quiero iniciar uno",CHOOSE(MOD(COUNTIF($I$2:I126,I126)-1,3)+1,"Tengo un emprendimiento","Estoy iniciando un emprendimiento","Me interesa emprender"),"")</f>
        <v/>
      </c>
      <c r="W126" t="str">
        <f t="shared" si="23"/>
        <v/>
      </c>
      <c r="X126" s="9" t="str">
        <f>IF(I126="Tengo un emprendimiento o quiero iniciar uno",CHOOSE(MOD(COUNTIF($I$2:I126,I126)-1,5)+1,"Falta de financiación","Falta de conocimientos administrativos","Falta de conocimientos financieros","Falta de tiempo","Falta de herramientas"),"")</f>
        <v/>
      </c>
      <c r="Y126" s="9" t="str">
        <f t="shared" si="24"/>
        <v/>
      </c>
      <c r="Z126" t="str">
        <f>IF(I126="Tengo un emprendimiento o quiero iniciar uno",CHOOSE(INT(MOD((COUNTIF($I$2:I126,I126)-1)*7,39)/13)+1,"Sí","No","No conozco programas de ese tipo"),"")</f>
        <v/>
      </c>
      <c r="AA126" t="str">
        <f t="shared" si="25"/>
        <v>Puedo hacerlo con ayuda</v>
      </c>
      <c r="AB126" t="str">
        <f t="shared" si="25"/>
        <v>Puedo hacerlo con ayuda</v>
      </c>
      <c r="AC126" t="str">
        <f t="shared" si="26"/>
        <v>Puedo hacerlo sin ayuda</v>
      </c>
      <c r="AD126" s="9" t="str">
        <f t="shared" si="27"/>
        <v>Puedo hacerlo con ayuda</v>
      </c>
      <c r="AE126" t="str">
        <f t="shared" si="28"/>
        <v>Puedo hacerlo con ayuda</v>
      </c>
      <c r="AF126" s="9" t="str">
        <f t="shared" si="29"/>
        <v>Crear una hoja de vida;Preparación para entrevista</v>
      </c>
      <c r="AG126" s="9" t="str">
        <f t="shared" si="30"/>
        <v>Falta de experiencia;Falta de información</v>
      </c>
      <c r="AH126" t="str">
        <f t="shared" si="31"/>
        <v>Programas de emprendimiento</v>
      </c>
      <c r="AI126" s="9" t="str">
        <f t="shared" si="32"/>
        <v>Presencial</v>
      </c>
      <c r="AJ126" s="9" t="str">
        <f t="shared" si="33"/>
        <v>Nocturno</v>
      </c>
      <c r="AK126" s="9" t="str">
        <f t="shared" si="34"/>
        <v>WhatsApp</v>
      </c>
    </row>
    <row r="127" spans="1:37">
      <c r="A127" t="str">
        <f t="shared" si="35"/>
        <v>SG126</v>
      </c>
      <c r="B127" t="s">
        <v>418</v>
      </c>
      <c r="C127" s="9" t="s">
        <v>427</v>
      </c>
      <c r="D127" t="str">
        <f t="shared" si="18"/>
        <v>Femenino</v>
      </c>
      <c r="E127" t="str">
        <f t="shared" si="19"/>
        <v>De 18 a 20 años</v>
      </c>
      <c r="F127">
        <f t="shared" si="20"/>
        <v>19</v>
      </c>
      <c r="G127" s="9" t="s">
        <v>428</v>
      </c>
      <c r="H127" s="9" t="str">
        <f t="shared" si="21"/>
        <v>Técnico</v>
      </c>
      <c r="I127" s="9" t="str">
        <f t="shared" si="22"/>
        <v>Trabajo actualmente como empleado</v>
      </c>
      <c r="J127" s="13" t="str">
        <f>IF(I127="Trabajo actualmente como empleado",IF(MOD((COUNTIF($I$2:I127,"Trabajo actualmente como empleado")-1)*37,150)&lt;100,"Empleado con contrato","Empleado sin contrato formal"),IF(I127="Trabajo de manera independiente","Trabajo independiente",""))</f>
        <v>Empleado con contrato</v>
      </c>
      <c r="K127" s="9" t="str">
        <f>IF(OR(I127="Trabajo actualmente como empleado",I127="Trabajo de manera independiente"),CHOOSE(MOD(COUNTIF($I$2:I127,I127)-1,4)+1,"Menos de 3 meses","De 3 a 6 meses","De 7 a 12 meses","Más de un año"),"")</f>
        <v>De 3 a 6 meses</v>
      </c>
      <c r="L127" t="str">
        <f>IF(OR(I127="Trabajo actualmente como empleado",I127="Trabajo de manera independiente"),CHOOSE(MOD(COUNTIF($I$2:I127,I127)-1,3)+1,"Sí, completamente","Parcialmente","No"),"")</f>
        <v>No</v>
      </c>
      <c r="M127" t="str">
        <f>IF(OR(I127="Trabajo actualmente como empleado",I127="Trabajo de manera independiente"),CHOOSE(MOD(INT((COUNTIF($I$2:I127,I127)-1)/3),4)+1,"1- Muy satisfecho/a","2- Satisfecho/a","3- Insatisfecho/a","4- Muy insatisfecho/a"),"")</f>
        <v>2- Satisfecho/a</v>
      </c>
      <c r="N127" t="str">
        <f>IF(OR(I127="Trabajo actualmente como empleado",I127="Trabajo de manera independiente"),_xlfn.LET(_xlpm.opcion,MOD(INT((COUNTIF($I$2:I127,I127)-1)/5),6)+1,CHOOSE(IF(AND(_xlpm.opcion=6,L127="Sí, completamente"),5,_xlpm.opcion),"Salario","Estabilidad laboral","Horario","Acceso a prestaciones","Oportunidades de crecimiento","Trabajar en un área relacionada con mi formación")),"")</f>
        <v>Horario</v>
      </c>
      <c r="O127" s="9" t="str">
        <f>IF(OR(I127="Trabajo actualmente como empleado",I127="Trabajo de manera independiente"),_xlfn.LET(_xlpm.turno,MOD(COUNTIF($I$2:I127,I127)-1,5),_xlpm.nivel,VALUE(LEFT(M127,1)),IF(_xlpm.turno=4,"No estoy seguro/a",IF(_xlpm.turno&lt;IF(_xlpm.nivel&lt;=2,1,3),"Sí","No"))),"")</f>
        <v>No</v>
      </c>
      <c r="P127" s="9" t="str">
        <f>_xlfn.LET(_xlpm.perfil,I127,_xlpm.turno,COUNTIF($I$2:I127,_xlpm.perfil)-1,_xlpm.busca,OR(_xlpm.perfil="Actualmente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27" t="str">
        <f>IF(I127="Tengo un emprendimiento o quiero iniciar uno","",CHOOSE(MOD(INT((COUNTIF($I$2:I127,I127)-1)/7),3)+1,"Sí","No","Tengo una pero necesito actualizarla"))</f>
        <v>Tengo una pero necesito actualizarla</v>
      </c>
      <c r="R127" s="9" t="str">
        <f>IF(I127="Tengo un emprendimiento o quiero iniciar uno","",IF(I127="Busco mi primer empleo","No",IF(MOD(COUNTIF($I$2:I127,I127)-1,2)=0,"Sí","No")))</f>
        <v>No</v>
      </c>
      <c r="S127" t="str">
        <f>IF(I127="Tengo un emprendimiento o quiero iniciar uno","",CHOOSE(MOD(INT((COUNTIF($I$2:I127,I127)-1)/3),10)+1,"Portales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127" t="str">
        <f>IF(I127="Tengo un emprendimiento o quiero iniciar uno","",_xlfn.LET(_xlpm.opcion,MOD(INT((COUNTIF($I$2:I127,I127)-1)/4),6)+1,CHOOSE(IF(AND(_xlpm.opcion=3,Q127="Sí"),1,_xlpm.opcion),"Falta de experiencia","Falta de formación","Dificultades con la hoja de vida","Horarios disponibles","Transporte","Internet")))</f>
        <v>Transporte</v>
      </c>
      <c r="U127" s="9" t="str">
        <f>IF(I127="Tengo un emprendimiento o quiero iniciar uno","",IF(MOD(INT((COUNTIF($I$2:I127,I127)-1)/3),2)=0,"Sí","No"))</f>
        <v>No</v>
      </c>
      <c r="V127" s="9" t="str">
        <f>IF(I127="Tengo un emprendimiento o quiero iniciar uno",CHOOSE(MOD(COUNTIF($I$2:I127,I127)-1,3)+1,"Tengo un emprendimiento","Estoy iniciando un emprendimiento","Me interesa emprender"),"")</f>
        <v/>
      </c>
      <c r="W127" t="str">
        <f t="shared" si="23"/>
        <v/>
      </c>
      <c r="X127" s="9" t="str">
        <f>IF(I127="Tengo un emprendimiento o quiero iniciar uno",CHOOSE(MOD(COUNTIF($I$2:I127,I127)-1,5)+1,"Falta de financiación","Falta de conocimientos administrativos","Falta de conocimientos financieros","Falta de tiempo","Falta de herramientas"),"")</f>
        <v/>
      </c>
      <c r="Y127" s="9" t="str">
        <f t="shared" si="24"/>
        <v/>
      </c>
      <c r="Z127" t="str">
        <f>IF(I127="Tengo un emprendimiento o quiero iniciar uno",CHOOSE(INT(MOD((COUNTIF($I$2:I127,I127)-1)*7,39)/13)+1,"Sí","No","No conozco programas de ese tipo"),"")</f>
        <v/>
      </c>
      <c r="AA127" t="str">
        <f t="shared" si="25"/>
        <v>Puedo hacerlo sin ayuda</v>
      </c>
      <c r="AB127" t="str">
        <f t="shared" si="25"/>
        <v>Puedo hacerlo sin ayuda</v>
      </c>
      <c r="AC127" t="str">
        <f t="shared" si="26"/>
        <v>No puedo hacerlo</v>
      </c>
      <c r="AD127" s="9" t="str">
        <f t="shared" si="27"/>
        <v>Puedo hacerlo con ayuda</v>
      </c>
      <c r="AE127" t="str">
        <f t="shared" si="28"/>
        <v>Puedo hacerlo con ayuda</v>
      </c>
      <c r="AF127" s="9" t="str">
        <f t="shared" si="29"/>
        <v>Comunicación;Liderazgo</v>
      </c>
      <c r="AG127" s="9" t="str">
        <f t="shared" si="30"/>
        <v>Falta de experiencia;Falta de información</v>
      </c>
      <c r="AH127" t="str">
        <f t="shared" si="31"/>
        <v>Oficina de orientación laboral</v>
      </c>
      <c r="AI127" s="9" t="str">
        <f t="shared" si="32"/>
        <v>Virtual</v>
      </c>
      <c r="AJ127" s="9" t="str">
        <f t="shared" si="33"/>
        <v>Mañana entre semana</v>
      </c>
      <c r="AK127" s="9" t="str">
        <f t="shared" si="34"/>
        <v>Correo electrónico</v>
      </c>
    </row>
    <row r="128" spans="1:37">
      <c r="A128" t="str">
        <f t="shared" si="35"/>
        <v>SG127</v>
      </c>
      <c r="B128" t="s">
        <v>418</v>
      </c>
      <c r="C128" s="9" t="s">
        <v>427</v>
      </c>
      <c r="D128" t="str">
        <f t="shared" si="18"/>
        <v>Masculino</v>
      </c>
      <c r="E128" t="str">
        <f t="shared" si="19"/>
        <v>De 20 a 22 años</v>
      </c>
      <c r="F128">
        <f t="shared" si="20"/>
        <v>21</v>
      </c>
      <c r="G128" s="9" t="s">
        <v>428</v>
      </c>
      <c r="H128" s="9" t="str">
        <f t="shared" si="21"/>
        <v>Técnico</v>
      </c>
      <c r="I128" s="9" t="str">
        <f t="shared" si="22"/>
        <v>Actualmente no trabajo y estoy buscando empleo</v>
      </c>
      <c r="J128" s="13" t="str">
        <f>IF(I128="Trabajo actualmente como empleado",IF(MOD((COUNTIF($I$2:I128,"Trabajo actualmente como empleado")-1)*37,150)&lt;100,"Empleado con contrato","Empleado sin contrato formal"),IF(I128="Trabajo de manera independiente","Trabajo independiente",""))</f>
        <v/>
      </c>
      <c r="K128" s="9" t="str">
        <f>IF(OR(I128="Trabajo actualmente como empleado",I128="Trabajo de manera independiente"),CHOOSE(MOD(COUNTIF($I$2:I128,I128)-1,4)+1,"Menos de 3 meses","De 3 a 6 meses","De 7 a 12 meses","Más de un año"),"")</f>
        <v/>
      </c>
      <c r="L128" t="str">
        <f>IF(OR(I128="Trabajo actualmente como empleado",I128="Trabajo de manera independiente"),CHOOSE(MOD(COUNTIF($I$2:I128,I128)-1,3)+1,"Sí, completamente","Parcialmente","No"),"")</f>
        <v/>
      </c>
      <c r="M128" t="str">
        <f>IF(OR(I128="Trabajo actualmente como empleado",I128="Trabajo de manera independiente"),CHOOSE(MOD(INT((COUNTIF($I$2:I128,I128)-1)/3),4)+1,"1- Muy satisfecho/a","2- Satisfecho/a","3- Insatisfecho/a","4- Muy insatisfecho/a"),"")</f>
        <v/>
      </c>
      <c r="N128" t="str">
        <f>IF(OR(I128="Trabajo actualmente como empleado",I128="Trabajo de manera independiente"),_xlfn.LET(_xlpm.opcion,MOD(INT((COUNTIF($I$2:I128,I128)-1)/5),6)+1,CHOOSE(IF(AND(_xlpm.opcion=6,L128="Sí, completamente"),5,_xlpm.opcion),"Salario","Estabilidad laboral","Horario","Acceso a prestaciones","Oportunidades de crecimiento","Trabajar en un área relacionada con mi formación")),"")</f>
        <v/>
      </c>
      <c r="O128" s="9" t="str">
        <f>IF(OR(I128="Trabajo actualmente como empleado",I128="Trabajo de manera independiente"),_xlfn.LET(_xlpm.turno,MOD(COUNTIF($I$2:I128,I128)-1,5),_xlpm.nivel,VALUE(LEFT(M128,1)),IF(_xlpm.turno=4,"No estoy seguro/a",IF(_xlpm.turno&lt;IF(_xlpm.nivel&lt;=2,1,3),"Sí","No"))),"")</f>
        <v/>
      </c>
      <c r="P128" s="9" t="str">
        <f>_xlfn.LET(_xlpm.perfil,I128,_xlpm.turno,COUNTIF($I$2:I128,_xlpm.perfil)-1,_xlpm.busca,OR(_xlpm.perfil="Actualmente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trabajar"),IF(AND(_xlpm.trabaja,O128="No"),"Todavía no he iniciado una búsqueda activa",CHOOSE(MOD(_xlpm.turno*3,5)+1,"Menos de 1 mes","Entre 1 y 3 meses","Entre 4 y 6 meses","Más de 6 meses","Todavía no he iniciado una búsqueda activa")),"")))</f>
        <v>Menos de 1 mes</v>
      </c>
      <c r="Q128" t="str">
        <f>IF(I128="Tengo un emprendimiento o quiero iniciar uno","",CHOOSE(MOD(INT((COUNTIF($I$2:I128,I128)-1)/7),3)+1,"Sí","No","Tengo una pero necesito actualizarla"))</f>
        <v>Tengo una pero necesito actualizarla</v>
      </c>
      <c r="R128" s="9" t="str">
        <f>IF(I128="Tengo un emprendimiento o quiero iniciar uno","",IF(I128="Busco mi primer empleo","No",IF(MOD(COUNTIF($I$2:I128,I128)-1,2)=0,"Sí","No")))</f>
        <v>Sí</v>
      </c>
      <c r="S128" t="str">
        <f>IF(I128="Tengo un emprendimiento o quiero iniciar uno","",CHOOSE(MOD(INT((COUNTIF($I$2:I128,I128)-1)/3),10)+1,"Portales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28" t="str">
        <f>IF(I128="Tengo un emprendimiento o quiero iniciar uno","",_xlfn.LET(_xlpm.opcion,MOD(INT((COUNTIF($I$2:I128,I128)-1)/4),6)+1,CHOOSE(IF(AND(_xlpm.opcion=3,Q128="Sí"),1,_xlpm.opcion),"Falta de experiencia","Falta de formación","Dificultades con la hoja de vida","Horarios disponibles","Transporte","Internet")))</f>
        <v>Internet</v>
      </c>
      <c r="U128" s="9" t="str">
        <f>IF(I128="Tengo un emprendimiento o quiero iniciar uno","",IF(MOD(INT((COUNTIF($I$2:I128,I128)-1)/3),2)=0,"Sí","No"))</f>
        <v>Sí</v>
      </c>
      <c r="V128" s="9" t="str">
        <f>IF(I128="Tengo un emprendimiento o quiero iniciar uno",CHOOSE(MOD(COUNTIF($I$2:I128,I128)-1,3)+1,"Tengo un emprendimiento","Estoy iniciando un emprendimiento","Me interesa emprender"),"")</f>
        <v/>
      </c>
      <c r="W128" t="str">
        <f t="shared" si="23"/>
        <v/>
      </c>
      <c r="X128" s="9" t="str">
        <f>IF(I128="Tengo un emprendimiento o quiero iniciar uno",CHOOSE(MOD(COUNTIF($I$2:I128,I128)-1,5)+1,"Falta de financiación","Falta de conocimientos administrativos","Falta de conocimientos financieros","Falta de tiempo","Falta de herramientas"),"")</f>
        <v/>
      </c>
      <c r="Y128" s="9" t="str">
        <f t="shared" si="24"/>
        <v/>
      </c>
      <c r="Z128" t="str">
        <f>IF(I128="Tengo un emprendimiento o quiero iniciar uno",CHOOSE(INT(MOD((COUNTIF($I$2:I128,I128)-1)*7,39)/13)+1,"Sí","No","No conozco programas de ese tipo"),"")</f>
        <v/>
      </c>
      <c r="AA128" t="str">
        <f t="shared" si="25"/>
        <v>No puedo hacerlo</v>
      </c>
      <c r="AB128" t="str">
        <f t="shared" si="25"/>
        <v>No puedo hacerlo</v>
      </c>
      <c r="AC128" t="str">
        <f t="shared" si="26"/>
        <v>Puedo hacerlo con ayuda</v>
      </c>
      <c r="AD128" s="9" t="str">
        <f t="shared" si="27"/>
        <v>Puedo hacerlo con dificultad</v>
      </c>
      <c r="AE128" t="str">
        <f t="shared" si="28"/>
        <v>Puedo hacerlo con dificultad</v>
      </c>
      <c r="AF128" s="9" t="str">
        <f t="shared" si="29"/>
        <v>Herramientas digitales;Educación financiera</v>
      </c>
      <c r="AG128" s="9" t="str">
        <f t="shared" si="30"/>
        <v>Costos de transporte;Distancia</v>
      </c>
      <c r="AH128" t="str">
        <f t="shared" si="31"/>
        <v>Ferias de empleo</v>
      </c>
      <c r="AI128" s="9" t="str">
        <f t="shared" si="32"/>
        <v>Presencial y virtual</v>
      </c>
      <c r="AJ128" s="9" t="str">
        <f t="shared" si="33"/>
        <v>Diurno</v>
      </c>
      <c r="AK128" s="9" t="str">
        <f t="shared" si="34"/>
        <v>Celular</v>
      </c>
    </row>
    <row r="129" spans="1:37">
      <c r="A129" t="str">
        <f t="shared" si="35"/>
        <v>SG128</v>
      </c>
      <c r="B129" t="s">
        <v>418</v>
      </c>
      <c r="C129" s="9" t="s">
        <v>427</v>
      </c>
      <c r="D129" t="str">
        <f t="shared" si="18"/>
        <v>Masculino</v>
      </c>
      <c r="E129" t="str">
        <f t="shared" si="19"/>
        <v>De 22 a 24 años</v>
      </c>
      <c r="F129">
        <f t="shared" si="20"/>
        <v>23</v>
      </c>
      <c r="G129" s="9" t="s">
        <v>428</v>
      </c>
      <c r="H129" s="9" t="str">
        <f t="shared" si="21"/>
        <v>Tecnólogo</v>
      </c>
      <c r="I129" s="9" t="str">
        <f t="shared" si="22"/>
        <v>Estudio y quiero comenzar a trabajar</v>
      </c>
      <c r="J129" s="13" t="str">
        <f>IF(I129="Trabajo actualmente como empleado",IF(MOD((COUNTIF($I$2:I129,"Trabajo actualmente como empleado")-1)*37,150)&lt;100,"Empleado con contrato","Empleado sin contrato formal"),IF(I129="Trabajo de manera independiente","Trabajo independiente",""))</f>
        <v/>
      </c>
      <c r="K129" s="9" t="str">
        <f>IF(OR(I129="Trabajo actualmente como empleado",I129="Trabajo de manera independiente"),CHOOSE(MOD(COUNTIF($I$2:I129,I129)-1,4)+1,"Menos de 3 meses","De 3 a 6 meses","De 7 a 12 meses","Más de un año"),"")</f>
        <v/>
      </c>
      <c r="L129" t="str">
        <f>IF(OR(I129="Trabajo actualmente como empleado",I129="Trabajo de manera independiente"),CHOOSE(MOD(COUNTIF($I$2:I129,I129)-1,3)+1,"Sí, completamente","Parcialmente","No"),"")</f>
        <v/>
      </c>
      <c r="M129" t="str">
        <f>IF(OR(I129="Trabajo actualmente como empleado",I129="Trabajo de manera independiente"),CHOOSE(MOD(INT((COUNTIF($I$2:I129,I129)-1)/3),4)+1,"1- Muy satisfecho/a","2- Satisfecho/a","3- Insatisfecho/a","4- Muy insatisfecho/a"),"")</f>
        <v/>
      </c>
      <c r="N129" t="str">
        <f>IF(OR(I129="Trabajo actualmente como empleado",I129="Trabajo de manera independiente"),_xlfn.LET(_xlpm.opcion,MOD(INT((COUNTIF($I$2:I129,I129)-1)/5),6)+1,CHOOSE(IF(AND(_xlpm.opcion=6,L129="Sí, completamente"),5,_xlpm.opcion),"Salario","Estabilidad laboral","Horario","Acceso a prestaciones","Oportunidades de crecimiento","Trabajar en un área relacionada con mi formación")),"")</f>
        <v/>
      </c>
      <c r="O129" s="9" t="str">
        <f>IF(OR(I129="Trabajo actualmente como empleado",I129="Trabajo de manera independiente"),_xlfn.LET(_xlpm.turno,MOD(COUNTIF($I$2:I129,I129)-1,5),_xlpm.nivel,VALUE(LEFT(M129,1)),IF(_xlpm.turno=4,"No estoy seguro/a",IF(_xlpm.turno&lt;IF(_xlpm.nivel&lt;=2,1,3),"Sí","No"))),"")</f>
        <v/>
      </c>
      <c r="P129" s="9" t="str">
        <f>_xlfn.LET(_xlpm.perfil,I129,_xlpm.turno,COUNTIF($I$2:I129,_xlpm.perfil)-1,_xlpm.busca,OR(_xlpm.perfil="Actualmente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trabajar"),IF(AND(_xlpm.trabaja,O129="No"),"Todavía no he iniciado una búsqueda activa",CHOOSE(MOD(_xlpm.turno*3,5)+1,"Menos de 1 mes","Entre 1 y 3 meses","Entre 4 y 6 meses","Más de 6 meses","Todavía no he iniciado una búsqueda activa")),"")))</f>
        <v>Entre 4 y 6 meses</v>
      </c>
      <c r="Q129" t="str">
        <f>IF(I129="Tengo un emprendimiento o quiero iniciar uno","",CHOOSE(MOD(INT((COUNTIF($I$2:I129,I129)-1)/7),3)+1,"Sí","No","Tengo una pero necesito actualizarla"))</f>
        <v>Tengo una pero necesito actualizarla</v>
      </c>
      <c r="R129" s="9" t="str">
        <f>IF(I129="Tengo un emprendimiento o quiero iniciar uno","",IF(I129="Busco mi primer empleo","No",IF(MOD(COUNTIF($I$2:I129,I129)-1,2)=0,"Sí","No")))</f>
        <v>Sí</v>
      </c>
      <c r="S129" t="str">
        <f>IF(I129="Tengo un emprendimiento o quiero iniciar uno","",CHOOSE(MOD(INT((COUNTIF($I$2:I129,I129)-1)/3),10)+1,"Portales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129" t="str">
        <f>IF(I129="Tengo un emprendimiento o quiero iniciar uno","",_xlfn.LET(_xlpm.opcion,MOD(INT((COUNTIF($I$2:I129,I129)-1)/4),6)+1,CHOOSE(IF(AND(_xlpm.opcion=3,Q129="Sí"),1,_xlpm.opcion),"Falta de experiencia","Falta de formación","Dificultades con la hoja de vida","Horarios disponibles","Transporte","Internet")))</f>
        <v>Horarios disponibles</v>
      </c>
      <c r="U129" s="9" t="str">
        <f>IF(I129="Tengo un emprendimiento o quiero iniciar uno","",IF(MOD(INT((COUNTIF($I$2:I129,I129)-1)/3),2)=0,"Sí","No"))</f>
        <v>Sí</v>
      </c>
      <c r="V129" s="9" t="str">
        <f>IF(I129="Tengo un emprendimiento o quiero iniciar uno",CHOOSE(MOD(COUNTIF($I$2:I129,I129)-1,3)+1,"Tengo un emprendimiento","Estoy iniciando un emprendimiento","Me interesa emprender"),"")</f>
        <v/>
      </c>
      <c r="W129" t="str">
        <f t="shared" si="23"/>
        <v/>
      </c>
      <c r="X129" s="9" t="str">
        <f>IF(I129="Tengo un emprendimiento o quiero iniciar uno",CHOOSE(MOD(COUNTIF($I$2:I129,I129)-1,5)+1,"Falta de financiación","Falta de conocimientos administrativos","Falta de conocimientos financieros","Falta de tiempo","Falta de herramientas"),"")</f>
        <v/>
      </c>
      <c r="Y129" s="9" t="str">
        <f t="shared" si="24"/>
        <v/>
      </c>
      <c r="Z129" t="str">
        <f>IF(I129="Tengo un emprendimiento o quiero iniciar uno",CHOOSE(INT(MOD((COUNTIF($I$2:I129,I129)-1)*7,39)/13)+1,"Sí","No","No conozco programas de ese tipo"),"")</f>
        <v/>
      </c>
      <c r="AA129" t="str">
        <f t="shared" si="25"/>
        <v>Puedo hacerlo con dificultad</v>
      </c>
      <c r="AB129" t="str">
        <f t="shared" si="25"/>
        <v>Puedo hacerlo con dificultad</v>
      </c>
      <c r="AC129" t="str">
        <f t="shared" si="26"/>
        <v>Puedo hacerlo sin ayuda</v>
      </c>
      <c r="AD129" s="9" t="str">
        <f t="shared" si="27"/>
        <v>Puedo hacerlo sin ayuda</v>
      </c>
      <c r="AE129" t="str">
        <f t="shared" si="28"/>
        <v>Puedo hacerlo con dificultad</v>
      </c>
      <c r="AF129" s="9" t="str">
        <f t="shared" si="29"/>
        <v>Crear una hoja de vida</v>
      </c>
      <c r="AG129" s="9" t="str">
        <f t="shared" si="30"/>
        <v>Costos de transporte;Distancia</v>
      </c>
      <c r="AH129" t="str">
        <f t="shared" si="31"/>
        <v>No conozco ninguno</v>
      </c>
      <c r="AI129" s="9" t="str">
        <f t="shared" si="32"/>
        <v>Me es indiferente</v>
      </c>
      <c r="AJ129" s="9" t="str">
        <f t="shared" si="33"/>
        <v>Nocturno</v>
      </c>
      <c r="AK129" s="9" t="str">
        <f t="shared" si="34"/>
        <v>WhatsApp</v>
      </c>
    </row>
    <row r="130" spans="1:37">
      <c r="A130" t="str">
        <f t="shared" si="35"/>
        <v>SG129</v>
      </c>
      <c r="B130" t="s">
        <v>418</v>
      </c>
      <c r="C130" s="9" t="s">
        <v>427</v>
      </c>
      <c r="D130" t="str">
        <f t="shared" ref="D130:D193" si="36">IF(MOD((ROW()-2)*137,479)&lt;230,"Masculino",IF(MOD((ROW()-2)*137,479)&lt;460,"Femenino",IF(MOD((ROW()-2)*137,479)&lt;470,"Otro","No quiero responder")))</f>
        <v>Femenino</v>
      </c>
      <c r="E130" t="str">
        <f t="shared" ref="E130:E193" si="37">CHOOSE(MOD(ROW()-2,5)+1,"De 18 a 20 años","De 20 a 22 años","De 22 a 24 años","De 24 a 26 años","De 26 a 28 años")</f>
        <v>De 24 a 26 años</v>
      </c>
      <c r="F130">
        <f t="shared" ref="F130:F193" si="38">CHOOSE(MOD(ROW()-2,5)+1,18,20,22,24,26)+MOD(INT((ROW()-2)/5),IF(MOD(ROW()-2,5)=4,3,2))</f>
        <v>25</v>
      </c>
      <c r="G130" s="9" t="s">
        <v>428</v>
      </c>
      <c r="H130" s="9" t="str">
        <f t="shared" ref="H130:H193" si="39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Profesional</v>
      </c>
      <c r="I130" s="9" t="str">
        <f t="shared" ref="I130:I193" si="40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Trabajo actualmente como empleado</v>
      </c>
      <c r="J130" s="13" t="str">
        <f>IF(I130="Trabajo actualmente como empleado",IF(MOD((COUNTIF($I$2:I130,"Trabajo actualmente como empleado")-1)*37,150)&lt;100,"Empleado con contrato","Empleado sin contrato formal"),IF(I130="Trabajo de manera independiente","Trabajo independiente",""))</f>
        <v>Empleado con contrato</v>
      </c>
      <c r="K130" s="9" t="str">
        <f>IF(OR(I130="Trabajo actualmente como empleado",I130="Trabajo de manera independiente"),CHOOSE(MOD(COUNTIF($I$2:I130,I130)-1,4)+1,"Menos de 3 meses","De 3 a 6 meses","De 7 a 12 meses","Más de un año"),"")</f>
        <v>De 7 a 12 meses</v>
      </c>
      <c r="L130" t="str">
        <f>IF(OR(I130="Trabajo actualmente como empleado",I130="Trabajo de manera independiente"),CHOOSE(MOD(COUNTIF($I$2:I130,I130)-1,3)+1,"Sí, completamente","Parcialmente","No"),"")</f>
        <v>Sí, completamente</v>
      </c>
      <c r="M130" t="str">
        <f>IF(OR(I130="Trabajo actualmente como empleado",I130="Trabajo de manera independiente"),CHOOSE(MOD(INT((COUNTIF($I$2:I130,I130)-1)/3),4)+1,"1- Muy satisfecho/a","2- Satisfecho/a","3- Insatisfecho/a","4- Muy insatisfecho/a"),"")</f>
        <v>3- Insatisfecho/a</v>
      </c>
      <c r="N130" t="str">
        <f>IF(OR(I130="Trabajo actualmente como empleado",I130="Trabajo de manera independiente"),_xlfn.LET(_xlpm.opcion,MOD(INT((COUNTIF($I$2:I130,I130)-1)/5),6)+1,CHOOSE(IF(AND(_xlpm.opcion=6,L130="Sí, completamente"),5,_xlpm.opcion),"Salario","Estabilidad laboral","Horario","Acceso a prestaciones","Oportunidades de crecimiento","Trabajar en un área relacionada con mi formación")),"")</f>
        <v>Horario</v>
      </c>
      <c r="O130" s="9" t="str">
        <f>IF(OR(I130="Trabajo actualmente como empleado",I130="Trabajo de manera independiente"),_xlfn.LET(_xlpm.turno,MOD(COUNTIF($I$2:I130,I130)-1,5),_xlpm.nivel,VALUE(LEFT(M130,1)),IF(_xlpm.turno=4,"No estoy seguro/a",IF(_xlpm.turno&lt;IF(_xlpm.nivel&lt;=2,1,3),"Sí","No"))),"")</f>
        <v>Sí</v>
      </c>
      <c r="P130" s="9" t="str">
        <f>_xlfn.LET(_xlpm.perfil,I130,_xlpm.turno,COUNTIF($I$2:I130,_xlpm.perfil)-1,_xlpm.busca,OR(_xlpm.perfil="Actualmente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trabajar"),IF(AND(_xlpm.trabaja,O130="No"),"Todavía no he iniciado una búsqueda activa",CHOOSE(MOD(_xlpm.turno*3,5)+1,"Menos de 1 mes","Entre 1 y 3 meses","Entre 4 y 6 meses","Más de 6 meses","Todavía no he iniciado una búsqueda activa")),"")))</f>
        <v>Entre 1 y 3 meses</v>
      </c>
      <c r="Q130" t="str">
        <f>IF(I130="Tengo un emprendimiento o quiero iniciar uno","",CHOOSE(MOD(INT((COUNTIF($I$2:I130,I130)-1)/7),3)+1,"Sí","No","Tengo una pero necesito actualizarla"))</f>
        <v>Sí</v>
      </c>
      <c r="R130" s="9" t="str">
        <f>IF(I130="Tengo un emprendimiento o quiero iniciar uno","",IF(I130="Busco mi primer empleo","No",IF(MOD(COUNTIF($I$2:I130,I130)-1,2)=0,"Sí","No")))</f>
        <v>Sí</v>
      </c>
      <c r="S130" t="str">
        <f>IF(I130="Tengo un emprendimiento o quiero iniciar uno","",CHOOSE(MOD(INT((COUNTIF($I$2:I130,I130)-1)/3),10)+1,"Portales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130" t="str">
        <f>IF(I130="Tengo un emprendimiento o quiero iniciar uno","",_xlfn.LET(_xlpm.opcion,MOD(INT((COUNTIF($I$2:I130,I130)-1)/4),6)+1,CHOOSE(IF(AND(_xlpm.opcion=3,Q130="Sí"),1,_xlpm.opcion),"Falta de experiencia","Falta de formación","Dificultades con la hoja de vida","Horarios disponibles","Transporte","Internet")))</f>
        <v>Transporte</v>
      </c>
      <c r="U130" s="9" t="str">
        <f>IF(I130="Tengo un emprendimiento o quiero iniciar uno","",IF(MOD(INT((COUNTIF($I$2:I130,I130)-1)/3),2)=0,"Sí","No"))</f>
        <v>Sí</v>
      </c>
      <c r="V130" s="9" t="str">
        <f>IF(I130="Tengo un emprendimiento o quiero iniciar uno",CHOOSE(MOD(COUNTIF($I$2:I130,I130)-1,3)+1,"Tengo un emprendimiento","Estoy iniciando un emprendimiento","Me interesa emprender"),"")</f>
        <v/>
      </c>
      <c r="W130" t="str">
        <f t="shared" ref="W130:W193" si="41">IF(V130="Tengo un emprendimiento","Funcionamiento estable",IF(V130="Estoy iniciando un emprendimiento","Inicio",""))</f>
        <v/>
      </c>
      <c r="X130" s="9" t="str">
        <f>IF(I130="Tengo un emprendimiento o quiero iniciar uno",CHOOSE(MOD(COUNTIF($I$2:I130,I130)-1,5)+1,"Falta de financiación","Falta de conocimientos administrativos","Falta de conocimientos financieros","Falta de tiempo","Falta de herramientas"),"")</f>
        <v/>
      </c>
      <c r="Y130" s="9" t="str">
        <f t="shared" ref="Y130:Y193" si="42">IF(I130="Tengo un emprendimiento o quiero iniciar uno",X130,"")</f>
        <v/>
      </c>
      <c r="Z130" t="str">
        <f>IF(I130="Tengo un emprendimiento o quiero iniciar uno",CHOOSE(INT(MOD((COUNTIF($I$2:I130,I130)-1)*7,39)/13)+1,"Sí","No","No conozco programas de ese tipo"),"")</f>
        <v/>
      </c>
      <c r="AA130" t="str">
        <f t="shared" ref="AA130:AB193" si="43">CHOOSE(INT(MOD((ROW()-2)*191,479)/120)+1,"No puedo hacerlo","Puedo hacerlo con ayuda","Puedo hacerlo con dificultad","Puedo hacerlo sin ayuda")</f>
        <v>No puedo hacerlo</v>
      </c>
      <c r="AB130" t="str">
        <f t="shared" si="43"/>
        <v>No puedo hacerlo</v>
      </c>
      <c r="AC130" t="str">
        <f t="shared" ref="AC130:AC193" si="44">CHOOSE(INT(MOD((ROW()-2)*157+83,479)/120)+1,"No puedo hacerlo","Puedo hacerlo con ayuda","Puedo hacerlo con dificultad","Puedo hacerlo sin ayuda")</f>
        <v>No puedo hacerlo</v>
      </c>
      <c r="AD130" s="9" t="str">
        <f t="shared" ref="AD130:AD193" si="45">CHOOSE(INT(MOD((ROW()-2)*89+131,479)/120)+1,"No puedo hacerlo","Puedo hacerlo con ayuda","Puedo hacerlo con dificultad","Puedo hacerlo sin ayuda")</f>
        <v>No puedo hacerlo</v>
      </c>
      <c r="AE130" t="str">
        <f t="shared" ref="AE130:AE193" si="46">CHOOSE(INT(MOD((ROW()-2)*73+179,479)/120)+1,"No puedo hacerlo","Puedo hacerlo con ayuda","Puedo hacerlo con dificultad","Puedo hacerlo sin ayuda")</f>
        <v>Puedo hacerlo sin ayuda</v>
      </c>
      <c r="AF130" s="9" t="str">
        <f t="shared" ref="AF130:AF193" si="47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Preparación para entrevista</v>
      </c>
      <c r="AG130" s="9" t="str">
        <f t="shared" ref="AG130:AG193" si="48">CHOOSE(MOD(INT((ROW()-2)/3)*7,9)+1,"Costos de transporte","Distancia","Horarios","Falta de experiencia","Falta de información","Ninguna","Costos de transporte;Distancia","Horarios;Falta de información","Falta de experiencia;Falta de información")</f>
        <v>Costos de transporte;Distancia</v>
      </c>
      <c r="AH130" t="str">
        <f t="shared" ref="AH130:AH193" si="49">CHOOSE(INT(MOD((ROW()-2)*199+59,479)/120)+1,"Oficina de orientación laboral","Ferias de empleo","Programas de emprendimiento","No conozco ninguno")</f>
        <v>Ferias de empleo</v>
      </c>
      <c r="AI130" s="9" t="str">
        <f t="shared" ref="AI130:AI193" si="50">CHOOSE(INT(MOD((ROW()-2)*127+71,479)/120)+1,"Presencial","Virtual","Presencial y virtual","Me es indiferente")</f>
        <v>Presencial</v>
      </c>
      <c r="AJ130" s="9" t="str">
        <f t="shared" ref="AJ130:AJ193" si="51">CHOOSE(INT(MOD((ROW()-2)*163+97,479)/120)+1,"Diurno","Nocturno","Mañana entre semana","Fines de semana")</f>
        <v>Fines de semana</v>
      </c>
      <c r="AK130" s="9" t="str">
        <f t="shared" ref="AK130:AK193" si="52">CHOOSE(INT(MOD((ROW()-2)*181+109,479)/120)+1,"WhatsApp","Correo electrónico","Redes sociales","Celular")</f>
        <v>Redes sociales</v>
      </c>
    </row>
    <row r="131" spans="1:37">
      <c r="A131" t="str">
        <f t="shared" ref="A131:A194" si="53">"SG"&amp;TEXT(ROW()-1,"000")</f>
        <v>SG130</v>
      </c>
      <c r="B131" t="s">
        <v>418</v>
      </c>
      <c r="C131" s="9" t="s">
        <v>427</v>
      </c>
      <c r="D131" t="str">
        <f t="shared" si="36"/>
        <v>Femenino</v>
      </c>
      <c r="E131" t="str">
        <f t="shared" si="37"/>
        <v>De 26 a 28 años</v>
      </c>
      <c r="F131">
        <f t="shared" si="38"/>
        <v>27</v>
      </c>
      <c r="G131" s="9" t="s">
        <v>428</v>
      </c>
      <c r="H131" s="9" t="str">
        <f t="shared" si="39"/>
        <v>Profesional</v>
      </c>
      <c r="I131" s="9" t="str">
        <f t="shared" si="40"/>
        <v>Actualmente no trabajo y estoy buscando empleo</v>
      </c>
      <c r="J131" s="13" t="str">
        <f>IF(I131="Trabajo actualmente como empleado",IF(MOD((COUNTIF($I$2:I131,"Trabajo actualmente como empleado")-1)*37,150)&lt;100,"Empleado con contrato","Empleado sin contrato formal"),IF(I131="Trabajo de manera independiente","Trabajo independiente",""))</f>
        <v/>
      </c>
      <c r="K131" s="9" t="str">
        <f>IF(OR(I131="Trabajo actualmente como empleado",I131="Trabajo de manera independiente"),CHOOSE(MOD(COUNTIF($I$2:I131,I131)-1,4)+1,"Menos de 3 meses","De 3 a 6 meses","De 7 a 12 meses","Más de un año"),"")</f>
        <v/>
      </c>
      <c r="L131" t="str">
        <f>IF(OR(I131="Trabajo actualmente como empleado",I131="Trabajo de manera independiente"),CHOOSE(MOD(COUNTIF($I$2:I131,I131)-1,3)+1,"Sí, completamente","Parcialmente","No"),"")</f>
        <v/>
      </c>
      <c r="M131" t="str">
        <f>IF(OR(I131="Trabajo actualmente como empleado",I131="Trabajo de manera independiente"),CHOOSE(MOD(INT((COUNTIF($I$2:I131,I131)-1)/3),4)+1,"1- Muy satisfecho/a","2- Satisfecho/a","3- Insatisfecho/a","4- Muy insatisfecho/a"),"")</f>
        <v/>
      </c>
      <c r="N131" t="str">
        <f>IF(OR(I131="Trabajo actualmente como empleado",I131="Trabajo de manera independiente"),_xlfn.LET(_xlpm.opcion,MOD(INT((COUNTIF($I$2:I131,I131)-1)/5),6)+1,CHOOSE(IF(AND(_xlpm.opcion=6,L131="Sí, completamente"),5,_xlpm.opcion),"Salario","Estabilidad laboral","Horario","Acceso a prestaciones","Oportunidades de crecimiento","Trabajar en un área relacionada con mi formación")),"")</f>
        <v/>
      </c>
      <c r="O131" s="9" t="str">
        <f>IF(OR(I131="Trabajo actualmente como empleado",I131="Trabajo de manera independiente"),_xlfn.LET(_xlpm.turno,MOD(COUNTIF($I$2:I131,I131)-1,5),_xlpm.nivel,VALUE(LEFT(M131,1)),IF(_xlpm.turno=4,"No estoy seguro/a",IF(_xlpm.turno&lt;IF(_xlpm.nivel&lt;=2,1,3),"Sí","No"))),"")</f>
        <v/>
      </c>
      <c r="P131" s="9" t="str">
        <f>_xlfn.LET(_xlpm.perfil,I131,_xlpm.turno,COUNTIF($I$2:I131,_xlpm.perfil)-1,_xlpm.busca,OR(_xlpm.perfil="Actualmente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trabajar"),IF(AND(_xlpm.trabaja,O131="No"),"Todavía no he iniciado una búsqueda activa",CHOOSE(MOD(_xlpm.turno*3,5)+1,"Menos de 1 mes","Entre 1 y 3 meses","Entre 4 y 6 meses","Más de 6 meses","Todavía no he iniciado una búsqueda activa")),"")))</f>
        <v>Más de 6 meses</v>
      </c>
      <c r="Q131" t="str">
        <f>IF(I131="Tengo un emprendimiento o quiero iniciar uno","",CHOOSE(MOD(INT((COUNTIF($I$2:I131,I131)-1)/7),3)+1,"Sí","No","Tengo una pero necesito actualizarla"))</f>
        <v>Sí</v>
      </c>
      <c r="R131" s="9" t="str">
        <f>IF(I131="Tengo un emprendimiento o quiero iniciar uno","",IF(I131="Busco mi primer empleo","No",IF(MOD(COUNTIF($I$2:I131,I131)-1,2)=0,"Sí","No")))</f>
        <v>No</v>
      </c>
      <c r="S131" t="str">
        <f>IF(I131="Tengo un emprendimiento o quiero iniciar uno","",CHOOSE(MOD(INT((COUNTIF($I$2:I131,I131)-1)/3),10)+1,"Portales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31" t="str">
        <f>IF(I131="Tengo un emprendimiento o quiero iniciar uno","",_xlfn.LET(_xlpm.opcion,MOD(INT((COUNTIF($I$2:I131,I131)-1)/4),6)+1,CHOOSE(IF(AND(_xlpm.opcion=3,Q131="Sí"),1,_xlpm.opcion),"Falta de experiencia","Falta de formación","Dificultades con la hoja de vida","Horarios disponibles","Transporte","Internet")))</f>
        <v>Internet</v>
      </c>
      <c r="U131" s="9" t="str">
        <f>IF(I131="Tengo un emprendimiento o quiero iniciar uno","",IF(MOD(INT((COUNTIF($I$2:I131,I131)-1)/3),2)=0,"Sí","No"))</f>
        <v>No</v>
      </c>
      <c r="V131" s="9" t="str">
        <f>IF(I131="Tengo un emprendimiento o quiero iniciar uno",CHOOSE(MOD(COUNTIF($I$2:I131,I131)-1,3)+1,"Tengo un emprendimiento","Estoy iniciando un emprendimiento","Me interesa emprender"),"")</f>
        <v/>
      </c>
      <c r="W131" t="str">
        <f t="shared" si="41"/>
        <v/>
      </c>
      <c r="X131" s="9" t="str">
        <f>IF(I131="Tengo un emprendimiento o quiero iniciar uno",CHOOSE(MOD(COUNTIF($I$2:I131,I131)-1,5)+1,"Falta de financiación","Falta de conocimientos administrativos","Falta de conocimientos financieros","Falta de tiempo","Falta de herramientas"),"")</f>
        <v/>
      </c>
      <c r="Y131" s="9" t="str">
        <f t="shared" si="42"/>
        <v/>
      </c>
      <c r="Z131" t="str">
        <f>IF(I131="Tengo un emprendimiento o quiero iniciar uno",CHOOSE(INT(MOD((COUNTIF($I$2:I131,I131)-1)*7,39)/13)+1,"Sí","No","No conozco programas de ese tipo"),"")</f>
        <v/>
      </c>
      <c r="AA131" t="str">
        <f t="shared" si="43"/>
        <v>Puedo hacerlo con ayuda</v>
      </c>
      <c r="AB131" t="str">
        <f t="shared" si="43"/>
        <v>Puedo hacerlo con ayuda</v>
      </c>
      <c r="AC131" t="str">
        <f t="shared" si="44"/>
        <v>Puedo hacerlo con ayuda</v>
      </c>
      <c r="AD131" s="9" t="str">
        <f t="shared" si="45"/>
        <v>No puedo hacerlo</v>
      </c>
      <c r="AE131" t="str">
        <f t="shared" si="46"/>
        <v>No puedo hacerlo</v>
      </c>
      <c r="AF131" s="9" t="str">
        <f t="shared" si="47"/>
        <v>Comunicación</v>
      </c>
      <c r="AG131" s="9" t="str">
        <f t="shared" si="48"/>
        <v>Falta de información</v>
      </c>
      <c r="AH131" t="str">
        <f t="shared" si="49"/>
        <v>Programas de emprendimiento</v>
      </c>
      <c r="AI131" s="9" t="str">
        <f t="shared" si="50"/>
        <v>Virtual</v>
      </c>
      <c r="AJ131" s="9" t="str">
        <f t="shared" si="51"/>
        <v>Diurno</v>
      </c>
      <c r="AK131" s="9" t="str">
        <f t="shared" si="52"/>
        <v>Celular</v>
      </c>
    </row>
    <row r="132" spans="1:37">
      <c r="A132" t="str">
        <f t="shared" si="53"/>
        <v>SG131</v>
      </c>
      <c r="B132" t="s">
        <v>418</v>
      </c>
      <c r="C132" s="9" t="s">
        <v>427</v>
      </c>
      <c r="D132" t="str">
        <f t="shared" si="36"/>
        <v>Masculino</v>
      </c>
      <c r="E132" t="str">
        <f t="shared" si="37"/>
        <v>De 18 a 20 años</v>
      </c>
      <c r="F132">
        <f t="shared" si="38"/>
        <v>18</v>
      </c>
      <c r="G132" s="9" t="s">
        <v>428</v>
      </c>
      <c r="H132" s="9" t="str">
        <f t="shared" si="39"/>
        <v>Bachiller</v>
      </c>
      <c r="I132" s="9" t="str">
        <f t="shared" si="40"/>
        <v>Tengo un emprendimiento o quiero iniciar uno</v>
      </c>
      <c r="J132" s="13" t="str">
        <f>IF(I132="Trabajo actualmente como empleado",IF(MOD((COUNTIF($I$2:I132,"Trabajo actualmente como empleado")-1)*37,150)&lt;100,"Empleado con contrato","Empleado sin contrato formal"),IF(I132="Trabajo de manera independiente","Trabajo independiente",""))</f>
        <v/>
      </c>
      <c r="K132" s="9" t="str">
        <f>IF(OR(I132="Trabajo actualmente como empleado",I132="Trabajo de manera independiente"),CHOOSE(MOD(COUNTIF($I$2:I132,I132)-1,4)+1,"Menos de 3 meses","De 3 a 6 meses","De 7 a 12 meses","Más de un año"),"")</f>
        <v/>
      </c>
      <c r="L132" t="str">
        <f>IF(OR(I132="Trabajo actualmente como empleado",I132="Trabajo de manera independiente"),CHOOSE(MOD(COUNTIF($I$2:I132,I132)-1,3)+1,"Sí, completamente","Parcialmente","No"),"")</f>
        <v/>
      </c>
      <c r="M132" t="str">
        <f>IF(OR(I132="Trabajo actualmente como empleado",I132="Trabajo de manera independiente"),CHOOSE(MOD(INT((COUNTIF($I$2:I132,I132)-1)/3),4)+1,"1- Muy satisfecho/a","2- Satisfecho/a","3- Insatisfecho/a","4- Muy insatisfecho/a"),"")</f>
        <v/>
      </c>
      <c r="N132" t="str">
        <f>IF(OR(I132="Trabajo actualmente como empleado",I132="Trabajo de manera independiente"),_xlfn.LET(_xlpm.opcion,MOD(INT((COUNTIF($I$2:I132,I132)-1)/5),6)+1,CHOOSE(IF(AND(_xlpm.opcion=6,L132="Sí, completamente"),5,_xlpm.opcion),"Salario","Estabilidad laboral","Horario","Acceso a prestaciones","Oportunidades de crecimiento","Trabajar en un área relacionada con mi formación")),"")</f>
        <v/>
      </c>
      <c r="O132" s="9" t="str">
        <f>IF(OR(I132="Trabajo actualmente como empleado",I132="Trabajo de manera independiente"),_xlfn.LET(_xlpm.turno,MOD(COUNTIF($I$2:I132,I132)-1,5),_xlpm.nivel,VALUE(LEFT(M132,1)),IF(_xlpm.turno=4,"No estoy seguro/a",IF(_xlpm.turno&lt;IF(_xlpm.nivel&lt;=2,1,3),"Sí","No"))),"")</f>
        <v/>
      </c>
      <c r="P132" s="9" t="str">
        <f>_xlfn.LET(_xlpm.perfil,I132,_xlpm.turno,COUNTIF($I$2:I132,_xlpm.perfil)-1,_xlpm.busca,OR(_xlpm.perfil="Actualmente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trabajar"),IF(AND(_xlpm.trabaja,O132="No"),"Todavía no he iniciado una búsqueda activa",CHOOSE(MOD(_xlpm.turno*3,5)+1,"Menos de 1 mes","Entre 1 y 3 meses","Entre 4 y 6 meses","Más de 6 meses","Todavía no he iniciado una búsqueda activa")),"")))</f>
        <v/>
      </c>
      <c r="Q132" t="str">
        <f>IF(I132="Tengo un emprendimiento o quiero iniciar uno","",CHOOSE(MOD(INT((COUNTIF($I$2:I132,I132)-1)/7),3)+1,"Sí","No","Tengo una pero necesito actualizarla"))</f>
        <v/>
      </c>
      <c r="R132" s="9" t="str">
        <f>IF(I132="Tengo un emprendimiento o quiero iniciar uno","",IF(I132="Busco mi primer empleo","No",IF(MOD(COUNTIF($I$2:I132,I132)-1,2)=0,"Sí","No")))</f>
        <v/>
      </c>
      <c r="S132" t="str">
        <f>IF(I132="Tengo un emprendimiento o quiero iniciar uno","",CHOOSE(MOD(INT((COUNTIF($I$2:I132,I132)-1)/3),10)+1,"Portales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32" t="str">
        <f>IF(I132="Tengo un emprendimiento o quiero iniciar uno","",_xlfn.LET(_xlpm.opcion,MOD(INT((COUNTIF($I$2:I132,I132)-1)/4),6)+1,CHOOSE(IF(AND(_xlpm.opcion=3,Q132="Sí"),1,_xlpm.opcion),"Falta de experiencia","Falta de formación","Dificultades con la hoja de vida","Horarios disponibles","Transporte","Internet")))</f>
        <v/>
      </c>
      <c r="U132" s="9" t="str">
        <f>IF(I132="Tengo un emprendimiento o quiero iniciar uno","",IF(MOD(INT((COUNTIF($I$2:I132,I132)-1)/3),2)=0,"Sí","No"))</f>
        <v/>
      </c>
      <c r="V132" s="9" t="str">
        <f>IF(I132="Tengo un emprendimiento o quiero iniciar uno",CHOOSE(MOD(COUNTIF($I$2:I132,I132)-1,3)+1,"Tengo un emprendimiento","Estoy iniciando un emprendimiento","Me interesa emprender"),"")</f>
        <v>Estoy iniciando un emprendimiento</v>
      </c>
      <c r="W132" t="str">
        <f t="shared" si="41"/>
        <v>Inicio</v>
      </c>
      <c r="X132" s="9" t="str">
        <f>IF(I132="Tengo un emprendimiento o quiero iniciar uno",CHOOSE(MOD(COUNTIF($I$2:I132,I132)-1,5)+1,"Falta de financiación","Falta de conocimientos administrativos","Falta de conocimientos financieros","Falta de tiempo","Falta de herramientas"),"")</f>
        <v>Falta de financiación</v>
      </c>
      <c r="Y132" s="9" t="str">
        <f t="shared" si="42"/>
        <v>Falta de financiación</v>
      </c>
      <c r="Z132" t="str">
        <f>IF(I132="Tengo un emprendimiento o quiero iniciar uno",CHOOSE(INT(MOD((COUNTIF($I$2:I132,I132)-1)*7,39)/13)+1,"Sí","No","No conozco programas de ese tipo"),"")</f>
        <v>No conozco programas de ese tipo</v>
      </c>
      <c r="AA132" t="str">
        <f t="shared" si="43"/>
        <v>Puedo hacerlo sin ayuda</v>
      </c>
      <c r="AB132" t="str">
        <f t="shared" si="43"/>
        <v>Puedo hacerlo sin ayuda</v>
      </c>
      <c r="AC132" t="str">
        <f t="shared" si="44"/>
        <v>Puedo hacerlo sin ayuda</v>
      </c>
      <c r="AD132" s="9" t="str">
        <f t="shared" si="45"/>
        <v>Puedo hacerlo con ayuda</v>
      </c>
      <c r="AE132" t="str">
        <f t="shared" si="46"/>
        <v>No puedo hacerlo</v>
      </c>
      <c r="AF132" s="9" t="str">
        <f t="shared" si="47"/>
        <v>Liderazgo</v>
      </c>
      <c r="AG132" s="9" t="str">
        <f t="shared" si="48"/>
        <v>Falta de información</v>
      </c>
      <c r="AH132" t="str">
        <f t="shared" si="49"/>
        <v>Oficina de orientación laboral</v>
      </c>
      <c r="AI132" s="9" t="str">
        <f t="shared" si="50"/>
        <v>Presencial y virtual</v>
      </c>
      <c r="AJ132" s="9" t="str">
        <f t="shared" si="51"/>
        <v>Nocturno</v>
      </c>
      <c r="AK132" s="9" t="str">
        <f t="shared" si="52"/>
        <v>Correo electrónico</v>
      </c>
    </row>
    <row r="133" spans="1:37">
      <c r="A133" t="str">
        <f t="shared" si="53"/>
        <v>SG132</v>
      </c>
      <c r="B133" t="s">
        <v>418</v>
      </c>
      <c r="C133" s="9" t="s">
        <v>427</v>
      </c>
      <c r="D133" t="str">
        <f t="shared" si="36"/>
        <v>Masculino</v>
      </c>
      <c r="E133" t="str">
        <f t="shared" si="37"/>
        <v>De 20 a 22 años</v>
      </c>
      <c r="F133">
        <f t="shared" si="38"/>
        <v>20</v>
      </c>
      <c r="G133" s="9" t="s">
        <v>428</v>
      </c>
      <c r="H133" s="9" t="str">
        <f t="shared" si="39"/>
        <v>Bachiller</v>
      </c>
      <c r="I133" s="9" t="str">
        <f t="shared" si="40"/>
        <v>Trabajo de manera independiente</v>
      </c>
      <c r="J133" s="13" t="str">
        <f>IF(I133="Trabajo actualmente como empleado",IF(MOD((COUNTIF($I$2:I133,"Trabajo actualmente como empleado")-1)*37,150)&lt;100,"Empleado con contrato","Empleado sin contrato formal"),IF(I133="Trabajo de manera independiente","Trabajo independiente",""))</f>
        <v>Trabajo independiente</v>
      </c>
      <c r="K133" s="9" t="str">
        <f>IF(OR(I133="Trabajo actualmente como empleado",I133="Trabajo de manera independiente"),CHOOSE(MOD(COUNTIF($I$2:I133,I133)-1,4)+1,"Menos de 3 meses","De 3 a 6 meses","De 7 a 12 meses","Más de un año"),"")</f>
        <v>De 7 a 12 meses</v>
      </c>
      <c r="L133" t="str">
        <f>IF(OR(I133="Trabajo actualmente como empleado",I133="Trabajo de manera independiente"),CHOOSE(MOD(COUNTIF($I$2:I133,I133)-1,3)+1,"Sí, completamente","Parcialmente","No"),"")</f>
        <v>Parcialmente</v>
      </c>
      <c r="M133" t="str">
        <f>IF(OR(I133="Trabajo actualmente como empleado",I133="Trabajo de manera independiente"),CHOOSE(MOD(INT((COUNTIF($I$2:I133,I133)-1)/3),4)+1,"1- Muy satisfecho/a","2- Satisfecho/a","3- Insatisfecho/a","4- Muy insatisfecho/a"),"")</f>
        <v>4- Muy insatisfecho/a</v>
      </c>
      <c r="N133" t="str">
        <f>IF(OR(I133="Trabajo actualmente como empleado",I133="Trabajo de manera independiente"),_xlfn.LET(_xlpm.opcion,MOD(INT((COUNTIF($I$2:I133,I133)-1)/5),6)+1,CHOOSE(IF(AND(_xlpm.opcion=6,L133="Sí, completamente"),5,_xlpm.opcion),"Salario","Estabilidad laboral","Horario","Acceso a prestaciones","Oportunidades de crecimiento","Trabajar en un área relacionada con mi formación")),"")</f>
        <v>Oportunidades de crecimiento</v>
      </c>
      <c r="O133" s="9" t="str">
        <f>IF(OR(I133="Trabajo actualmente como empleado",I133="Trabajo de manera independiente"),_xlfn.LET(_xlpm.turno,MOD(COUNTIF($I$2:I133,I133)-1,5),_xlpm.nivel,VALUE(LEFT(M133,1)),IF(_xlpm.turno=4,"No estoy seguro/a",IF(_xlpm.turno&lt;IF(_xlpm.nivel&lt;=2,1,3),"Sí","No"))),"")</f>
        <v>Sí</v>
      </c>
      <c r="P133" s="9" t="str">
        <f>_xlfn.LET(_xlpm.perfil,I133,_xlpm.turno,COUNTIF($I$2:I133,_xlpm.perfil)-1,_xlpm.busca,OR(_xlpm.perfil="Actualmente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trabajar"),IF(AND(_xlpm.trabaja,O133="No"),"Todavía no he iniciado una búsqueda activa",CHOOSE(MOD(_xlpm.turno*3,5)+1,"Menos de 1 mes","Entre 1 y 3 meses","Entre 4 y 6 meses","Más de 6 meses","Todavía no he iniciado una búsqueda activa")),"")))</f>
        <v>Entre 1 y 3 meses</v>
      </c>
      <c r="Q133" t="str">
        <f>IF(I133="Tengo un emprendimiento o quiero iniciar uno","",CHOOSE(MOD(INT((COUNTIF($I$2:I133,I133)-1)/7),3)+1,"Sí","No","Tengo una pero necesito actualizarla"))</f>
        <v>Sí</v>
      </c>
      <c r="R133" s="9" t="str">
        <f>IF(I133="Tengo un emprendimiento o quiero iniciar uno","",IF(I133="Busco mi primer empleo","No",IF(MOD(COUNTIF($I$2:I133,I133)-1,2)=0,"Sí","No")))</f>
        <v>Sí</v>
      </c>
      <c r="S133" t="str">
        <f>IF(I133="Tengo un emprendimiento o quiero iniciar uno","",CHOOSE(MOD(INT((COUNTIF($I$2:I133,I133)-1)/3),10)+1,"Portales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33" t="str">
        <f>IF(I133="Tengo un emprendimiento o quiero iniciar uno","",_xlfn.LET(_xlpm.opcion,MOD(INT((COUNTIF($I$2:I133,I133)-1)/4),6)+1,CHOOSE(IF(AND(_xlpm.opcion=3,Q133="Sí"),1,_xlpm.opcion),"Falta de experiencia","Falta de formación","Dificultades con la hoja de vida","Horarios disponibles","Transporte","Internet")))</f>
        <v>Internet</v>
      </c>
      <c r="U133" s="9" t="str">
        <f>IF(I133="Tengo un emprendimiento o quiero iniciar uno","",IF(MOD(INT((COUNTIF($I$2:I133,I133)-1)/3),2)=0,"Sí","No"))</f>
        <v>No</v>
      </c>
      <c r="V133" s="9" t="str">
        <f>IF(I133="Tengo un emprendimiento o quiero iniciar uno",CHOOSE(MOD(COUNTIF($I$2:I133,I133)-1,3)+1,"Tengo un emprendimiento","Estoy iniciando un emprendimiento","Me interesa emprender"),"")</f>
        <v/>
      </c>
      <c r="W133" t="str">
        <f t="shared" si="41"/>
        <v/>
      </c>
      <c r="X133" s="9" t="str">
        <f>IF(I133="Tengo un emprendimiento o quiero iniciar uno",CHOOSE(MOD(COUNTIF($I$2:I133,I133)-1,5)+1,"Falta de financiación","Falta de conocimientos administrativos","Falta de conocimientos financieros","Falta de tiempo","Falta de herramientas"),"")</f>
        <v/>
      </c>
      <c r="Y133" s="9" t="str">
        <f t="shared" si="42"/>
        <v/>
      </c>
      <c r="Z133" t="str">
        <f>IF(I133="Tengo un emprendimiento o quiero iniciar uno",CHOOSE(INT(MOD((COUNTIF($I$2:I133,I133)-1)*7,39)/13)+1,"Sí","No","No conozco programas de ese tipo"),"")</f>
        <v/>
      </c>
      <c r="AA133" t="str">
        <f t="shared" si="43"/>
        <v>No puedo hacerlo</v>
      </c>
      <c r="AB133" t="str">
        <f t="shared" si="43"/>
        <v>No puedo hacerlo</v>
      </c>
      <c r="AC133" t="str">
        <f t="shared" si="44"/>
        <v>No puedo hacerlo</v>
      </c>
      <c r="AD133" s="9" t="str">
        <f t="shared" si="45"/>
        <v>Puedo hacerlo con dificultad</v>
      </c>
      <c r="AE133" t="str">
        <f t="shared" si="46"/>
        <v>Puedo hacerlo con ayuda</v>
      </c>
      <c r="AF133" s="9" t="str">
        <f t="shared" si="47"/>
        <v>Emprendimiento</v>
      </c>
      <c r="AG133" s="9" t="str">
        <f t="shared" si="48"/>
        <v>Falta de información</v>
      </c>
      <c r="AH133" t="str">
        <f t="shared" si="49"/>
        <v>Programas de emprendimiento</v>
      </c>
      <c r="AI133" s="9" t="str">
        <f t="shared" si="50"/>
        <v>Me es indiferente</v>
      </c>
      <c r="AJ133" s="9" t="str">
        <f t="shared" si="51"/>
        <v>Fines de semana</v>
      </c>
      <c r="AK133" s="9" t="str">
        <f t="shared" si="52"/>
        <v>Redes sociales</v>
      </c>
    </row>
    <row r="134" spans="1:37">
      <c r="A134" t="str">
        <f t="shared" si="53"/>
        <v>SG133</v>
      </c>
      <c r="B134" t="s">
        <v>418</v>
      </c>
      <c r="C134" s="9" t="s">
        <v>427</v>
      </c>
      <c r="D134" t="str">
        <f t="shared" si="36"/>
        <v>Femenino</v>
      </c>
      <c r="E134" t="str">
        <f t="shared" si="37"/>
        <v>De 22 a 24 años</v>
      </c>
      <c r="F134">
        <f t="shared" si="38"/>
        <v>22</v>
      </c>
      <c r="G134" s="9" t="s">
        <v>428</v>
      </c>
      <c r="H134" s="9" t="str">
        <f t="shared" si="39"/>
        <v>Bachiller</v>
      </c>
      <c r="I134" s="9" t="str">
        <f t="shared" si="40"/>
        <v>Busco mi primer empleo</v>
      </c>
      <c r="J134" s="13" t="str">
        <f>IF(I134="Trabajo actualmente como empleado",IF(MOD((COUNTIF($I$2:I134,"Trabajo actualmente como empleado")-1)*37,150)&lt;100,"Empleado con contrato","Empleado sin contrato formal"),IF(I134="Trabajo de manera independiente","Trabajo independiente",""))</f>
        <v/>
      </c>
      <c r="K134" s="9" t="str">
        <f>IF(OR(I134="Trabajo actualmente como empleado",I134="Trabajo de manera independiente"),CHOOSE(MOD(COUNTIF($I$2:I134,I134)-1,4)+1,"Menos de 3 meses","De 3 a 6 meses","De 7 a 12 meses","Más de un año"),"")</f>
        <v/>
      </c>
      <c r="L134" t="str">
        <f>IF(OR(I134="Trabajo actualmente como empleado",I134="Trabajo de manera independiente"),CHOOSE(MOD(COUNTIF($I$2:I134,I134)-1,3)+1,"Sí, completamente","Parcialmente","No"),"")</f>
        <v/>
      </c>
      <c r="M134" t="str">
        <f>IF(OR(I134="Trabajo actualmente como empleado",I134="Trabajo de manera independiente"),CHOOSE(MOD(INT((COUNTIF($I$2:I134,I134)-1)/3),4)+1,"1- Muy satisfecho/a","2- Satisfecho/a","3- Insatisfecho/a","4- Muy insatisfecho/a"),"")</f>
        <v/>
      </c>
      <c r="N134" t="str">
        <f>IF(OR(I134="Trabajo actualmente como empleado",I134="Trabajo de manera independiente"),_xlfn.LET(_xlpm.opcion,MOD(INT((COUNTIF($I$2:I134,I134)-1)/5),6)+1,CHOOSE(IF(AND(_xlpm.opcion=6,L134="Sí, completamente"),5,_xlpm.opcion),"Salario","Estabilidad laboral","Horario","Acceso a prestaciones","Oportunidades de crecimiento","Trabajar en un área relacionada con mi formación")),"")</f>
        <v/>
      </c>
      <c r="O134" s="9" t="str">
        <f>IF(OR(I134="Trabajo actualmente como empleado",I134="Trabajo de manera independiente"),_xlfn.LET(_xlpm.turno,MOD(COUNTIF($I$2:I134,I134)-1,5),_xlpm.nivel,VALUE(LEFT(M134,1)),IF(_xlpm.turno=4,"No estoy seguro/a",IF(_xlpm.turno&lt;IF(_xlpm.nivel&lt;=2,1,3),"Sí","No"))),"")</f>
        <v/>
      </c>
      <c r="P134" s="9" t="str">
        <f>_xlfn.LET(_xlpm.perfil,I134,_xlpm.turno,COUNTIF($I$2:I134,_xlpm.perfil)-1,_xlpm.busca,OR(_xlpm.perfil="Actualmente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trabajar"),IF(AND(_xlpm.trabaja,O134="No"),"Todavía no he iniciado una búsqueda activa",CHOOSE(MOD(_xlpm.turno*3,5)+1,"Menos de 1 mes","Entre 1 y 3 meses","Entre 4 y 6 meses","Más de 6 meses","Todavía no he iniciado una búsqueda activa")),"")))</f>
        <v>Entre 4 y 6 meses</v>
      </c>
      <c r="Q134" t="str">
        <f>IF(I134="Tengo un emprendimiento o quiero iniciar uno","",CHOOSE(MOD(INT((COUNTIF($I$2:I134,I134)-1)/7),3)+1,"Sí","No","Tengo una pero necesito actualizarla"))</f>
        <v>Tengo una pero necesito actualizarla</v>
      </c>
      <c r="R134" s="9" t="str">
        <f>IF(I134="Tengo un emprendimiento o quiero iniciar uno","",IF(I134="Busco mi primer empleo","No",IF(MOD(COUNTIF($I$2:I134,I134)-1,2)=0,"Sí","No")))</f>
        <v>No</v>
      </c>
      <c r="S134" t="str">
        <f>IF(I134="Tengo un emprendimiento o quiero iniciar uno","",CHOOSE(MOD(INT((COUNTIF($I$2:I134,I134)-1)/3),10)+1,"Portales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34" t="str">
        <f>IF(I134="Tengo un emprendimiento o quiero iniciar uno","",_xlfn.LET(_xlpm.opcion,MOD(INT((COUNTIF($I$2:I134,I134)-1)/4),6)+1,CHOOSE(IF(AND(_xlpm.opcion=3,Q134="Sí"),1,_xlpm.opcion),"Falta de experiencia","Falta de formación","Dificultades con la hoja de vida","Horarios disponibles","Transporte","Internet")))</f>
        <v>Transporte</v>
      </c>
      <c r="U134" s="9" t="str">
        <f>IF(I134="Tengo un emprendimiento o quiero iniciar uno","",IF(MOD(INT((COUNTIF($I$2:I134,I134)-1)/3),2)=0,"Sí","No"))</f>
        <v>Sí</v>
      </c>
      <c r="V134" s="9" t="str">
        <f>IF(I134="Tengo un emprendimiento o quiero iniciar uno",CHOOSE(MOD(COUNTIF($I$2:I134,I134)-1,3)+1,"Tengo un emprendimiento","Estoy iniciando un emprendimiento","Me interesa emprender"),"")</f>
        <v/>
      </c>
      <c r="W134" t="str">
        <f t="shared" si="41"/>
        <v/>
      </c>
      <c r="X134" s="9" t="str">
        <f>IF(I134="Tengo un emprendimiento o quiero iniciar uno",CHOOSE(MOD(COUNTIF($I$2:I134,I134)-1,5)+1,"Falta de financiación","Falta de conocimientos administrativos","Falta de conocimientos financieros","Falta de tiempo","Falta de herramientas"),"")</f>
        <v/>
      </c>
      <c r="Y134" s="9" t="str">
        <f t="shared" si="42"/>
        <v/>
      </c>
      <c r="Z134" t="str">
        <f>IF(I134="Tengo un emprendimiento o quiero iniciar uno",CHOOSE(INT(MOD((COUNTIF($I$2:I134,I134)-1)*7,39)/13)+1,"Sí","No","No conozco programas de ese tipo"),"")</f>
        <v/>
      </c>
      <c r="AA134" t="str">
        <f t="shared" si="43"/>
        <v>Puedo hacerlo con dificultad</v>
      </c>
      <c r="AB134" t="str">
        <f t="shared" si="43"/>
        <v>Puedo hacerlo con dificultad</v>
      </c>
      <c r="AC134" t="str">
        <f t="shared" si="44"/>
        <v>Puedo hacerlo con ayuda</v>
      </c>
      <c r="AD134" s="9" t="str">
        <f t="shared" si="45"/>
        <v>Puedo hacerlo sin ayuda</v>
      </c>
      <c r="AE134" t="str">
        <f t="shared" si="46"/>
        <v>Puedo hacerlo con ayuda</v>
      </c>
      <c r="AF134" s="9" t="str">
        <f t="shared" si="47"/>
        <v>Herramientas digitales</v>
      </c>
      <c r="AG134" s="9" t="str">
        <f t="shared" si="48"/>
        <v>Horarios</v>
      </c>
      <c r="AH134" t="str">
        <f t="shared" si="49"/>
        <v>No conozco ninguno</v>
      </c>
      <c r="AI134" s="9" t="str">
        <f t="shared" si="50"/>
        <v>Presencial</v>
      </c>
      <c r="AJ134" s="9" t="str">
        <f t="shared" si="51"/>
        <v>Diurno</v>
      </c>
      <c r="AK134" s="9" t="str">
        <f t="shared" si="52"/>
        <v>WhatsApp</v>
      </c>
    </row>
    <row r="135" spans="1:37">
      <c r="A135" t="str">
        <f t="shared" si="53"/>
        <v>SG134</v>
      </c>
      <c r="B135" t="s">
        <v>418</v>
      </c>
      <c r="C135" s="9" t="s">
        <v>427</v>
      </c>
      <c r="D135" t="str">
        <f t="shared" si="36"/>
        <v>Masculino</v>
      </c>
      <c r="E135" t="str">
        <f t="shared" si="37"/>
        <v>De 24 a 26 años</v>
      </c>
      <c r="F135">
        <f t="shared" si="38"/>
        <v>24</v>
      </c>
      <c r="G135" s="9" t="s">
        <v>428</v>
      </c>
      <c r="H135" s="9" t="str">
        <f t="shared" si="39"/>
        <v>Bachiller</v>
      </c>
      <c r="I135" s="9" t="str">
        <f t="shared" si="40"/>
        <v>Trabajo actualmente como empleado</v>
      </c>
      <c r="J135" s="13" t="str">
        <f>IF(I135="Trabajo actualmente como empleado",IF(MOD((COUNTIF($I$2:I135,"Trabajo actualmente como empleado")-1)*37,150)&lt;100,"Empleado con contrato","Empleado sin contrato formal"),IF(I135="Trabajo de manera independiente","Trabajo independiente",""))</f>
        <v>Empleado con contrato</v>
      </c>
      <c r="K135" s="9" t="str">
        <f>IF(OR(I135="Trabajo actualmente como empleado",I135="Trabajo de manera independiente"),CHOOSE(MOD(COUNTIF($I$2:I135,I135)-1,4)+1,"Menos de 3 meses","De 3 a 6 meses","De 7 a 12 meses","Más de un año"),"")</f>
        <v>Más de un año</v>
      </c>
      <c r="L135" t="str">
        <f>IF(OR(I135="Trabajo actualmente como empleado",I135="Trabajo de manera independiente"),CHOOSE(MOD(COUNTIF($I$2:I135,I135)-1,3)+1,"Sí, completamente","Parcialmente","No"),"")</f>
        <v>Parcialmente</v>
      </c>
      <c r="M135" t="str">
        <f>IF(OR(I135="Trabajo actualmente como empleado",I135="Trabajo de manera independiente"),CHOOSE(MOD(INT((COUNTIF($I$2:I135,I135)-1)/3),4)+1,"1- Muy satisfecho/a","2- Satisfecho/a","3- Insatisfecho/a","4- Muy insatisfecho/a"),"")</f>
        <v>3- Insatisfecho/a</v>
      </c>
      <c r="N135" t="str">
        <f>IF(OR(I135="Trabajo actualmente como empleado",I135="Trabajo de manera independiente"),_xlfn.LET(_xlpm.opcion,MOD(INT((COUNTIF($I$2:I135,I135)-1)/5),6)+1,CHOOSE(IF(AND(_xlpm.opcion=6,L135="Sí, completamente"),5,_xlpm.opcion),"Salario","Estabilidad laboral","Horario","Acceso a prestaciones","Oportunidades de crecimiento","Trabajar en un área relacionada con mi formación")),"")</f>
        <v>Horario</v>
      </c>
      <c r="O135" s="9" t="str">
        <f>IF(OR(I135="Trabajo actualmente como empleado",I135="Trabajo de manera independiente"),_xlfn.LET(_xlpm.turno,MOD(COUNTIF($I$2:I135,I135)-1,5),_xlpm.nivel,VALUE(LEFT(M135,1)),IF(_xlpm.turno=4,"No estoy seguro/a",IF(_xlpm.turno&lt;IF(_xlpm.nivel&lt;=2,1,3),"Sí","No"))),"")</f>
        <v>No</v>
      </c>
      <c r="P135" s="9" t="str">
        <f>_xlfn.LET(_xlpm.perfil,I135,_xlpm.turno,COUNTIF($I$2:I135,_xlpm.perfil)-1,_xlpm.busca,OR(_xlpm.perfil="Actualmente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35" t="str">
        <f>IF(I135="Tengo un emprendimiento o quiero iniciar uno","",CHOOSE(MOD(INT((COUNTIF($I$2:I135,I135)-1)/7),3)+1,"Sí","No","Tengo una pero necesito actualizarla"))</f>
        <v>Sí</v>
      </c>
      <c r="R135" s="9" t="str">
        <f>IF(I135="Tengo un emprendimiento o quiero iniciar uno","",IF(I135="Busco mi primer empleo","No",IF(MOD(COUNTIF($I$2:I135,I135)-1,2)=0,"Sí","No")))</f>
        <v>No</v>
      </c>
      <c r="S135" t="str">
        <f>IF(I135="Tengo un emprendimiento o quiero iniciar uno","",CHOOSE(MOD(INT((COUNTIF($I$2:I135,I135)-1)/3),10)+1,"Portales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135" t="str">
        <f>IF(I135="Tengo un emprendimiento o quiero iniciar uno","",_xlfn.LET(_xlpm.opcion,MOD(INT((COUNTIF($I$2:I135,I135)-1)/4),6)+1,CHOOSE(IF(AND(_xlpm.opcion=3,Q135="Sí"),1,_xlpm.opcion),"Falta de experiencia","Falta de formación","Dificultades con la hoja de vida","Horarios disponibles","Transporte","Internet")))</f>
        <v>Transporte</v>
      </c>
      <c r="U135" s="9" t="str">
        <f>IF(I135="Tengo un emprendimiento o quiero iniciar uno","",IF(MOD(INT((COUNTIF($I$2:I135,I135)-1)/3),2)=0,"Sí","No"))</f>
        <v>Sí</v>
      </c>
      <c r="V135" s="9" t="str">
        <f>IF(I135="Tengo un emprendimiento o quiero iniciar uno",CHOOSE(MOD(COUNTIF($I$2:I135,I135)-1,3)+1,"Tengo un emprendimiento","Estoy iniciando un emprendimiento","Me interesa emprender"),"")</f>
        <v/>
      </c>
      <c r="W135" t="str">
        <f t="shared" si="41"/>
        <v/>
      </c>
      <c r="X135" s="9" t="str">
        <f>IF(I135="Tengo un emprendimiento o quiero iniciar uno",CHOOSE(MOD(COUNTIF($I$2:I135,I135)-1,5)+1,"Falta de financiación","Falta de conocimientos administrativos","Falta de conocimientos financieros","Falta de tiempo","Falta de herramientas"),"")</f>
        <v/>
      </c>
      <c r="Y135" s="9" t="str">
        <f t="shared" si="42"/>
        <v/>
      </c>
      <c r="Z135" t="str">
        <f>IF(I135="Tengo un emprendimiento o quiero iniciar uno",CHOOSE(INT(MOD((COUNTIF($I$2:I135,I135)-1)*7,39)/13)+1,"Sí","No","No conozco programas de ese tipo"),"")</f>
        <v/>
      </c>
      <c r="AA135" t="str">
        <f t="shared" si="43"/>
        <v>No puedo hacerlo</v>
      </c>
      <c r="AB135" t="str">
        <f t="shared" si="43"/>
        <v>No puedo hacerlo</v>
      </c>
      <c r="AC135" t="str">
        <f t="shared" si="44"/>
        <v>Puedo hacerlo sin ayuda</v>
      </c>
      <c r="AD135" s="9" t="str">
        <f t="shared" si="45"/>
        <v>Puedo hacerlo sin ayuda</v>
      </c>
      <c r="AE135" t="str">
        <f t="shared" si="46"/>
        <v>Puedo hacerlo con dificultad</v>
      </c>
      <c r="AF135" s="9" t="str">
        <f t="shared" si="47"/>
        <v>Educación financiera</v>
      </c>
      <c r="AG135" s="9" t="str">
        <f t="shared" si="48"/>
        <v>Horarios</v>
      </c>
      <c r="AH135" t="str">
        <f t="shared" si="49"/>
        <v>Ferias de empleo</v>
      </c>
      <c r="AI135" s="9" t="str">
        <f t="shared" si="50"/>
        <v>Virtual</v>
      </c>
      <c r="AJ135" s="9" t="str">
        <f t="shared" si="51"/>
        <v>Nocturno</v>
      </c>
      <c r="AK135" s="9" t="str">
        <f t="shared" si="52"/>
        <v>Correo electrónico</v>
      </c>
    </row>
    <row r="136" spans="1:37">
      <c r="A136" t="str">
        <f t="shared" si="53"/>
        <v>SG135</v>
      </c>
      <c r="B136" t="s">
        <v>418</v>
      </c>
      <c r="C136" s="9" t="s">
        <v>427</v>
      </c>
      <c r="D136" t="str">
        <f t="shared" si="36"/>
        <v>Masculino</v>
      </c>
      <c r="E136" t="str">
        <f t="shared" si="37"/>
        <v>De 26 a 28 años</v>
      </c>
      <c r="F136">
        <f t="shared" si="38"/>
        <v>28</v>
      </c>
      <c r="G136" s="9" t="s">
        <v>428</v>
      </c>
      <c r="H136" s="9" t="str">
        <f t="shared" si="39"/>
        <v>Técnico</v>
      </c>
      <c r="I136" s="9" t="str">
        <f t="shared" si="40"/>
        <v>Trabajo de manera independiente</v>
      </c>
      <c r="J136" s="13" t="str">
        <f>IF(I136="Trabajo actualmente como empleado",IF(MOD((COUNTIF($I$2:I136,"Trabajo actualmente como empleado")-1)*37,150)&lt;100,"Empleado con contrato","Empleado sin contrato formal"),IF(I136="Trabajo de manera independiente","Trabajo independiente",""))</f>
        <v>Trabajo independiente</v>
      </c>
      <c r="K136" s="9" t="str">
        <f>IF(OR(I136="Trabajo actualmente como empleado",I136="Trabajo de manera independiente"),CHOOSE(MOD(COUNTIF($I$2:I136,I136)-1,4)+1,"Menos de 3 meses","De 3 a 6 meses","De 7 a 12 meses","Más de un año"),"")</f>
        <v>Más de un año</v>
      </c>
      <c r="L136" t="str">
        <f>IF(OR(I136="Trabajo actualmente como empleado",I136="Trabajo de manera independiente"),CHOOSE(MOD(COUNTIF($I$2:I136,I136)-1,3)+1,"Sí, completamente","Parcialmente","No"),"")</f>
        <v>No</v>
      </c>
      <c r="M136" t="str">
        <f>IF(OR(I136="Trabajo actualmente como empleado",I136="Trabajo de manera independiente"),CHOOSE(MOD(INT((COUNTIF($I$2:I136,I136)-1)/3),4)+1,"1- Muy satisfecho/a","2- Satisfecho/a","3- Insatisfecho/a","4- Muy insatisfecho/a"),"")</f>
        <v>4- Muy insatisfecho/a</v>
      </c>
      <c r="N136" t="str">
        <f>IF(OR(I136="Trabajo actualmente como empleado",I136="Trabajo de manera independiente"),_xlfn.LET(_xlpm.opcion,MOD(INT((COUNTIF($I$2:I136,I136)-1)/5),6)+1,CHOOSE(IF(AND(_xlpm.opcion=6,L136="Sí, completamente"),5,_xlpm.opcion),"Salario","Estabilidad laboral","Horario","Acceso a prestaciones","Oportunidades de crecimiento","Trabajar en un área relacionada con mi formación")),"")</f>
        <v>Oportunidades de crecimiento</v>
      </c>
      <c r="O136" s="9" t="str">
        <f>IF(OR(I136="Trabajo actualmente como empleado",I136="Trabajo de manera independiente"),_xlfn.LET(_xlpm.turno,MOD(COUNTIF($I$2:I136,I136)-1,5),_xlpm.nivel,VALUE(LEFT(M136,1)),IF(_xlpm.turno=4,"No estoy seguro/a",IF(_xlpm.turno&lt;IF(_xlpm.nivel&lt;=2,1,3),"Sí","No"))),"")</f>
        <v>No</v>
      </c>
      <c r="P136" s="9" t="str">
        <f>_xlfn.LET(_xlpm.perfil,I136,_xlpm.turno,COUNTIF($I$2:I136,_xlpm.perfil)-1,_xlpm.busca,OR(_xlpm.perfil="Actualmente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36" t="str">
        <f>IF(I136="Tengo un emprendimiento o quiero iniciar uno","",CHOOSE(MOD(INT((COUNTIF($I$2:I136,I136)-1)/7),3)+1,"Sí","No","Tengo una pero necesito actualizarla"))</f>
        <v>Sí</v>
      </c>
      <c r="R136" s="9" t="str">
        <f>IF(I136="Tengo un emprendimiento o quiero iniciar uno","",IF(I136="Busco mi primer empleo","No",IF(MOD(COUNTIF($I$2:I136,I136)-1,2)=0,"Sí","No")))</f>
        <v>No</v>
      </c>
      <c r="S136" t="str">
        <f>IF(I136="Tengo un emprendimiento o quiero iniciar uno","",CHOOSE(MOD(INT((COUNTIF($I$2:I136,I136)-1)/3),10)+1,"Portales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36" t="str">
        <f>IF(I136="Tengo un emprendimiento o quiero iniciar uno","",_xlfn.LET(_xlpm.opcion,MOD(INT((COUNTIF($I$2:I136,I136)-1)/4),6)+1,CHOOSE(IF(AND(_xlpm.opcion=3,Q136="Sí"),1,_xlpm.opcion),"Falta de experiencia","Falta de formación","Dificultades con la hoja de vida","Horarios disponibles","Transporte","Internet")))</f>
        <v>Internet</v>
      </c>
      <c r="U136" s="9" t="str">
        <f>IF(I136="Tengo un emprendimiento o quiero iniciar uno","",IF(MOD(INT((COUNTIF($I$2:I136,I136)-1)/3),2)=0,"Sí","No"))</f>
        <v>No</v>
      </c>
      <c r="V136" s="9" t="str">
        <f>IF(I136="Tengo un emprendimiento o quiero iniciar uno",CHOOSE(MOD(COUNTIF($I$2:I136,I136)-1,3)+1,"Tengo un emprendimiento","Estoy iniciando un emprendimiento","Me interesa emprender"),"")</f>
        <v/>
      </c>
      <c r="W136" t="str">
        <f t="shared" si="41"/>
        <v/>
      </c>
      <c r="X136" s="9" t="str">
        <f>IF(I136="Tengo un emprendimiento o quiero iniciar uno",CHOOSE(MOD(COUNTIF($I$2:I136,I136)-1,5)+1,"Falta de financiación","Falta de conocimientos administrativos","Falta de conocimientos financieros","Falta de tiempo","Falta de herramientas"),"")</f>
        <v/>
      </c>
      <c r="Y136" s="9" t="str">
        <f t="shared" si="42"/>
        <v/>
      </c>
      <c r="Z136" t="str">
        <f>IF(I136="Tengo un emprendimiento o quiero iniciar uno",CHOOSE(INT(MOD((COUNTIF($I$2:I136,I136)-1)*7,39)/13)+1,"Sí","No","No conozco programas de ese tipo"),"")</f>
        <v/>
      </c>
      <c r="AA136" t="str">
        <f t="shared" si="43"/>
        <v>Puedo hacerlo con ayuda</v>
      </c>
      <c r="AB136" t="str">
        <f t="shared" si="43"/>
        <v>Puedo hacerlo con ayuda</v>
      </c>
      <c r="AC136" t="str">
        <f t="shared" si="44"/>
        <v>No puedo hacerlo</v>
      </c>
      <c r="AD136" s="9" t="str">
        <f t="shared" si="45"/>
        <v>No puedo hacerlo</v>
      </c>
      <c r="AE136" t="str">
        <f t="shared" si="46"/>
        <v>Puedo hacerlo sin ayuda</v>
      </c>
      <c r="AF136" s="9" t="str">
        <f t="shared" si="47"/>
        <v>Crear una hoja de vida;Preparación para entrevista</v>
      </c>
      <c r="AG136" s="9" t="str">
        <f t="shared" si="48"/>
        <v>Horarios</v>
      </c>
      <c r="AH136" t="str">
        <f t="shared" si="49"/>
        <v>No conozco ninguno</v>
      </c>
      <c r="AI136" s="9" t="str">
        <f t="shared" si="50"/>
        <v>Presencial y virtual</v>
      </c>
      <c r="AJ136" s="9" t="str">
        <f t="shared" si="51"/>
        <v>Fines de semana</v>
      </c>
      <c r="AK136" s="9" t="str">
        <f t="shared" si="52"/>
        <v>Celular</v>
      </c>
    </row>
    <row r="137" spans="1:37">
      <c r="A137" t="str">
        <f t="shared" si="53"/>
        <v>SG136</v>
      </c>
      <c r="B137" t="s">
        <v>418</v>
      </c>
      <c r="C137" s="9" t="s">
        <v>427</v>
      </c>
      <c r="D137" t="str">
        <f t="shared" si="36"/>
        <v>Femenino</v>
      </c>
      <c r="E137" t="str">
        <f t="shared" si="37"/>
        <v>De 18 a 20 años</v>
      </c>
      <c r="F137">
        <f t="shared" si="38"/>
        <v>19</v>
      </c>
      <c r="G137" s="9" t="s">
        <v>428</v>
      </c>
      <c r="H137" s="9" t="str">
        <f t="shared" si="39"/>
        <v>Bachiller</v>
      </c>
      <c r="I137" s="9" t="str">
        <f t="shared" si="40"/>
        <v>Busco mi primer empleo</v>
      </c>
      <c r="J137" s="13" t="str">
        <f>IF(I137="Trabajo actualmente como empleado",IF(MOD((COUNTIF($I$2:I137,"Trabajo actualmente como empleado")-1)*37,150)&lt;100,"Empleado con contrato","Empleado sin contrato formal"),IF(I137="Trabajo de manera independiente","Trabajo independiente",""))</f>
        <v/>
      </c>
      <c r="K137" s="9" t="str">
        <f>IF(OR(I137="Trabajo actualmente como empleado",I137="Trabajo de manera independiente"),CHOOSE(MOD(COUNTIF($I$2:I137,I137)-1,4)+1,"Menos de 3 meses","De 3 a 6 meses","De 7 a 12 meses","Más de un año"),"")</f>
        <v/>
      </c>
      <c r="L137" t="str">
        <f>IF(OR(I137="Trabajo actualmente como empleado",I137="Trabajo de manera independiente"),CHOOSE(MOD(COUNTIF($I$2:I137,I137)-1,3)+1,"Sí, completamente","Parcialmente","No"),"")</f>
        <v/>
      </c>
      <c r="M137" t="str">
        <f>IF(OR(I137="Trabajo actualmente como empleado",I137="Trabajo de manera independiente"),CHOOSE(MOD(INT((COUNTIF($I$2:I137,I137)-1)/3),4)+1,"1- Muy satisfecho/a","2- Satisfecho/a","3- Insatisfecho/a","4- Muy insatisfecho/a"),"")</f>
        <v/>
      </c>
      <c r="N137" t="str">
        <f>IF(OR(I137="Trabajo actualmente como empleado",I137="Trabajo de manera independiente"),_xlfn.LET(_xlpm.opcion,MOD(INT((COUNTIF($I$2:I137,I137)-1)/5),6)+1,CHOOSE(IF(AND(_xlpm.opcion=6,L137="Sí, completamente"),5,_xlpm.opcion),"Salario","Estabilidad laboral","Horario","Acceso a prestaciones","Oportunidades de crecimiento","Trabajar en un área relacionada con mi formación")),"")</f>
        <v/>
      </c>
      <c r="O137" s="9" t="str">
        <f>IF(OR(I137="Trabajo actualmente como empleado",I137="Trabajo de manera independiente"),_xlfn.LET(_xlpm.turno,MOD(COUNTIF($I$2:I137,I137)-1,5),_xlpm.nivel,VALUE(LEFT(M137,1)),IF(_xlpm.turno=4,"No estoy seguro/a",IF(_xlpm.turno&lt;IF(_xlpm.nivel&lt;=2,1,3),"Sí","No"))),"")</f>
        <v/>
      </c>
      <c r="P137" s="9" t="str">
        <f>_xlfn.LET(_xlpm.perfil,I137,_xlpm.turno,COUNTIF($I$2:I137,_xlpm.perfil)-1,_xlpm.busca,OR(_xlpm.perfil="Actualmente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trabajar"),IF(AND(_xlpm.trabaja,O137="No"),"Todavía no he iniciado una búsqueda activa",CHOOSE(MOD(_xlpm.turno*3,5)+1,"Menos de 1 mes","Entre 1 y 3 meses","Entre 4 y 6 meses","Más de 6 meses","Todavía no he iniciado una búsqueda activa")),"")))</f>
        <v>Entre 1 y 3 meses</v>
      </c>
      <c r="Q137" t="str">
        <f>IF(I137="Tengo un emprendimiento o quiero iniciar uno","",CHOOSE(MOD(INT((COUNTIF($I$2:I137,I137)-1)/7),3)+1,"Sí","No","Tengo una pero necesito actualizarla"))</f>
        <v>Tengo una pero necesito actualizarla</v>
      </c>
      <c r="R137" s="9" t="str">
        <f>IF(I137="Tengo un emprendimiento o quiero iniciar uno","",IF(I137="Busco mi primer empleo","No",IF(MOD(COUNTIF($I$2:I137,I137)-1,2)=0,"Sí","No")))</f>
        <v>No</v>
      </c>
      <c r="S137" t="str">
        <f>IF(I137="Tengo un emprendimiento o quiero iniciar uno","",CHOOSE(MOD(INT((COUNTIF($I$2:I137,I137)-1)/3),10)+1,"Portales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37" t="str">
        <f>IF(I137="Tengo un emprendimiento o quiero iniciar uno","",_xlfn.LET(_xlpm.opcion,MOD(INT((COUNTIF($I$2:I137,I137)-1)/4),6)+1,CHOOSE(IF(AND(_xlpm.opcion=3,Q137="Sí"),1,_xlpm.opcion),"Falta de experiencia","Falta de formación","Dificultades con la hoja de vida","Horarios disponibles","Transporte","Internet")))</f>
        <v>Transporte</v>
      </c>
      <c r="U137" s="9" t="str">
        <f>IF(I137="Tengo un emprendimiento o quiero iniciar uno","",IF(MOD(INT((COUNTIF($I$2:I137,I137)-1)/3),2)=0,"Sí","No"))</f>
        <v>Sí</v>
      </c>
      <c r="V137" s="9" t="str">
        <f>IF(I137="Tengo un emprendimiento o quiero iniciar uno",CHOOSE(MOD(COUNTIF($I$2:I137,I137)-1,3)+1,"Tengo un emprendimiento","Estoy iniciando un emprendimiento","Me interesa emprender"),"")</f>
        <v/>
      </c>
      <c r="W137" t="str">
        <f t="shared" si="41"/>
        <v/>
      </c>
      <c r="X137" s="9" t="str">
        <f>IF(I137="Tengo un emprendimiento o quiero iniciar uno",CHOOSE(MOD(COUNTIF($I$2:I137,I137)-1,5)+1,"Falta de financiación","Falta de conocimientos administrativos","Falta de conocimientos financieros","Falta de tiempo","Falta de herramientas"),"")</f>
        <v/>
      </c>
      <c r="Y137" s="9" t="str">
        <f t="shared" si="42"/>
        <v/>
      </c>
      <c r="Z137" t="str">
        <f>IF(I137="Tengo un emprendimiento o quiero iniciar uno",CHOOSE(INT(MOD((COUNTIF($I$2:I137,I137)-1)*7,39)/13)+1,"Sí","No","No conozco programas de ese tipo"),"")</f>
        <v/>
      </c>
      <c r="AA137" t="str">
        <f t="shared" si="43"/>
        <v>Puedo hacerlo sin ayuda</v>
      </c>
      <c r="AB137" t="str">
        <f t="shared" si="43"/>
        <v>Puedo hacerlo sin ayuda</v>
      </c>
      <c r="AC137" t="str">
        <f t="shared" si="44"/>
        <v>Puedo hacerlo con ayuda</v>
      </c>
      <c r="AD137" s="9" t="str">
        <f t="shared" si="45"/>
        <v>Puedo hacerlo con ayuda</v>
      </c>
      <c r="AE137" t="str">
        <f t="shared" si="46"/>
        <v>Puedo hacerlo sin ayuda</v>
      </c>
      <c r="AF137" s="9" t="str">
        <f t="shared" si="47"/>
        <v>Comunicación;Liderazgo</v>
      </c>
      <c r="AG137" s="9" t="str">
        <f t="shared" si="48"/>
        <v>Costos de transporte</v>
      </c>
      <c r="AH137" t="str">
        <f t="shared" si="49"/>
        <v>Oficina de orientación laboral</v>
      </c>
      <c r="AI137" s="9" t="str">
        <f t="shared" si="50"/>
        <v>Me es indiferente</v>
      </c>
      <c r="AJ137" s="9" t="str">
        <f t="shared" si="51"/>
        <v>Diurno</v>
      </c>
      <c r="AK137" s="9" t="str">
        <f t="shared" si="52"/>
        <v>WhatsApp</v>
      </c>
    </row>
    <row r="138" spans="1:37">
      <c r="A138" t="str">
        <f t="shared" si="53"/>
        <v>SG137</v>
      </c>
      <c r="B138" t="s">
        <v>418</v>
      </c>
      <c r="C138" s="9" t="s">
        <v>427</v>
      </c>
      <c r="D138" t="str">
        <f t="shared" si="36"/>
        <v>Femenino</v>
      </c>
      <c r="E138" t="str">
        <f t="shared" si="37"/>
        <v>De 20 a 22 años</v>
      </c>
      <c r="F138">
        <f t="shared" si="38"/>
        <v>21</v>
      </c>
      <c r="G138" s="9" t="s">
        <v>428</v>
      </c>
      <c r="H138" s="9" t="str">
        <f t="shared" si="39"/>
        <v>Técnico</v>
      </c>
      <c r="I138" s="9" t="str">
        <f t="shared" si="40"/>
        <v>Trabajo actualmente como empleado</v>
      </c>
      <c r="J138" s="13" t="str">
        <f>IF(I138="Trabajo actualmente como empleado",IF(MOD((COUNTIF($I$2:I138,"Trabajo actualmente como empleado")-1)*37,150)&lt;100,"Empleado con contrato","Empleado sin contrato formal"),IF(I138="Trabajo de manera independiente","Trabajo independiente",""))</f>
        <v>Empleado sin contrato formal</v>
      </c>
      <c r="K138" s="9" t="str">
        <f>IF(OR(I138="Trabajo actualmente como empleado",I138="Trabajo de manera independiente"),CHOOSE(MOD(COUNTIF($I$2:I138,I138)-1,4)+1,"Menos de 3 meses","De 3 a 6 meses","De 7 a 12 meses","Más de un año"),"")</f>
        <v>Menos de 3 meses</v>
      </c>
      <c r="L138" t="str">
        <f>IF(OR(I138="Trabajo actualmente como empleado",I138="Trabajo de manera independiente"),CHOOSE(MOD(COUNTIF($I$2:I138,I138)-1,3)+1,"Sí, completamente","Parcialmente","No"),"")</f>
        <v>No</v>
      </c>
      <c r="M138" t="str">
        <f>IF(OR(I138="Trabajo actualmente como empleado",I138="Trabajo de manera independiente"),CHOOSE(MOD(INT((COUNTIF($I$2:I138,I138)-1)/3),4)+1,"1- Muy satisfecho/a","2- Satisfecho/a","3- Insatisfecho/a","4- Muy insatisfecho/a"),"")</f>
        <v>3- Insatisfecho/a</v>
      </c>
      <c r="N138" t="str">
        <f>IF(OR(I138="Trabajo actualmente como empleado",I138="Trabajo de manera independiente"),_xlfn.LET(_xlpm.opcion,MOD(INT((COUNTIF($I$2:I138,I138)-1)/5),6)+1,CHOOSE(IF(AND(_xlpm.opcion=6,L138="Sí, completamente"),5,_xlpm.opcion),"Salario","Estabilidad laboral","Horario","Acceso a prestaciones","Oportunidades de crecimiento","Trabajar en un área relacionada con mi formación")),"")</f>
        <v>Horario</v>
      </c>
      <c r="O138" s="9" t="str">
        <f>IF(OR(I138="Trabajo actualmente como empleado",I138="Trabajo de manera independiente"),_xlfn.LET(_xlpm.turno,MOD(COUNTIF($I$2:I138,I138)-1,5),_xlpm.nivel,VALUE(LEFT(M138,1)),IF(_xlpm.turno=4,"No estoy seguro/a",IF(_xlpm.turno&lt;IF(_xlpm.nivel&lt;=2,1,3),"Sí","No"))),"")</f>
        <v>No estoy seguro/a</v>
      </c>
      <c r="P138" s="9" t="str">
        <f>_xlfn.LET(_xlpm.perfil,I138,_xlpm.turno,COUNTIF($I$2:I138,_xlpm.perfil)-1,_xlpm.busca,OR(_xlpm.perfil="Actualmente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trabajar"),IF(AND(_xlpm.trabaja,O138="No"),"Todavía no he iniciado una búsqueda activa",CHOOSE(MOD(_xlpm.turno*3,5)+1,"Menos de 1 mes","Entre 1 y 3 meses","Entre 4 y 6 meses","Más de 6 meses","Todavía no he iniciado una búsqueda activa")),"")))</f>
        <v>Entre 4 y 6 meses</v>
      </c>
      <c r="Q138" t="str">
        <f>IF(I138="Tengo un emprendimiento o quiero iniciar uno","",CHOOSE(MOD(INT((COUNTIF($I$2:I138,I138)-1)/7),3)+1,"Sí","No","Tengo una pero necesito actualizarla"))</f>
        <v>Sí</v>
      </c>
      <c r="R138" s="9" t="str">
        <f>IF(I138="Tengo un emprendimiento o quiero iniciar uno","",IF(I138="Busco mi primer empleo","No",IF(MOD(COUNTIF($I$2:I138,I138)-1,2)=0,"Sí","No")))</f>
        <v>Sí</v>
      </c>
      <c r="S138" t="str">
        <f>IF(I138="Tengo un emprendimiento o quiero iniciar uno","",CHOOSE(MOD(INT((COUNTIF($I$2:I138,I138)-1)/3),10)+1,"Portales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138" t="str">
        <f>IF(I138="Tengo un emprendimiento o quiero iniciar uno","",_xlfn.LET(_xlpm.opcion,MOD(INT((COUNTIF($I$2:I138,I138)-1)/4),6)+1,CHOOSE(IF(AND(_xlpm.opcion=3,Q138="Sí"),1,_xlpm.opcion),"Falta de experiencia","Falta de formación","Dificultades con la hoja de vida","Horarios disponibles","Transporte","Internet")))</f>
        <v>Internet</v>
      </c>
      <c r="U138" s="9" t="str">
        <f>IF(I138="Tengo un emprendimiento o quiero iniciar uno","",IF(MOD(INT((COUNTIF($I$2:I138,I138)-1)/3),2)=0,"Sí","No"))</f>
        <v>Sí</v>
      </c>
      <c r="V138" s="9" t="str">
        <f>IF(I138="Tengo un emprendimiento o quiero iniciar uno",CHOOSE(MOD(COUNTIF($I$2:I138,I138)-1,3)+1,"Tengo un emprendimiento","Estoy iniciando un emprendimiento","Me interesa emprender"),"")</f>
        <v/>
      </c>
      <c r="W138" t="str">
        <f t="shared" si="41"/>
        <v/>
      </c>
      <c r="X138" s="9" t="str">
        <f>IF(I138="Tengo un emprendimiento o quiero iniciar uno",CHOOSE(MOD(COUNTIF($I$2:I138,I138)-1,5)+1,"Falta de financiación","Falta de conocimientos administrativos","Falta de conocimientos financieros","Falta de tiempo","Falta de herramientas"),"")</f>
        <v/>
      </c>
      <c r="Y138" s="9" t="str">
        <f t="shared" si="42"/>
        <v/>
      </c>
      <c r="Z138" t="str">
        <f>IF(I138="Tengo un emprendimiento o quiero iniciar uno",CHOOSE(INT(MOD((COUNTIF($I$2:I138,I138)-1)*7,39)/13)+1,"Sí","No","No conozco programas de ese tipo"),"")</f>
        <v/>
      </c>
      <c r="AA138" t="str">
        <f t="shared" si="43"/>
        <v>No puedo hacerlo</v>
      </c>
      <c r="AB138" t="str">
        <f t="shared" si="43"/>
        <v>No puedo hacerlo</v>
      </c>
      <c r="AC138" t="str">
        <f t="shared" si="44"/>
        <v>Puedo hacerlo con dificultad</v>
      </c>
      <c r="AD138" s="9" t="str">
        <f t="shared" si="45"/>
        <v>Puedo hacerlo con dificultad</v>
      </c>
      <c r="AE138" t="str">
        <f t="shared" si="46"/>
        <v>No puedo hacerlo</v>
      </c>
      <c r="AF138" s="9" t="str">
        <f t="shared" si="47"/>
        <v>Herramientas digitales;Educación financiera</v>
      </c>
      <c r="AG138" s="9" t="str">
        <f t="shared" si="48"/>
        <v>Costos de transporte</v>
      </c>
      <c r="AH138" t="str">
        <f t="shared" si="49"/>
        <v>Programas de emprendimiento</v>
      </c>
      <c r="AI138" s="9" t="str">
        <f t="shared" si="50"/>
        <v>Presencial</v>
      </c>
      <c r="AJ138" s="9" t="str">
        <f t="shared" si="51"/>
        <v>Nocturno</v>
      </c>
      <c r="AK138" s="9" t="str">
        <f t="shared" si="52"/>
        <v>Redes sociales</v>
      </c>
    </row>
    <row r="139" spans="1:37">
      <c r="A139" t="str">
        <f t="shared" si="53"/>
        <v>SG138</v>
      </c>
      <c r="B139" t="s">
        <v>418</v>
      </c>
      <c r="C139" s="9" t="s">
        <v>427</v>
      </c>
      <c r="D139" t="str">
        <f t="shared" si="36"/>
        <v>Masculino</v>
      </c>
      <c r="E139" t="str">
        <f t="shared" si="37"/>
        <v>De 22 a 24 años</v>
      </c>
      <c r="F139">
        <f t="shared" si="38"/>
        <v>23</v>
      </c>
      <c r="G139" s="9" t="s">
        <v>428</v>
      </c>
      <c r="H139" s="9" t="str">
        <f t="shared" si="39"/>
        <v>Técnico</v>
      </c>
      <c r="I139" s="9" t="str">
        <f t="shared" si="40"/>
        <v>Actualmente no trabajo y estoy buscando empleo</v>
      </c>
      <c r="J139" s="13" t="str">
        <f>IF(I139="Trabajo actualmente como empleado",IF(MOD((COUNTIF($I$2:I139,"Trabajo actualmente como empleado")-1)*37,150)&lt;100,"Empleado con contrato","Empleado sin contrato formal"),IF(I139="Trabajo de manera independiente","Trabajo independiente",""))</f>
        <v/>
      </c>
      <c r="K139" s="9" t="str">
        <f>IF(OR(I139="Trabajo actualmente como empleado",I139="Trabajo de manera independiente"),CHOOSE(MOD(COUNTIF($I$2:I139,I139)-1,4)+1,"Menos de 3 meses","De 3 a 6 meses","De 7 a 12 meses","Más de un año"),"")</f>
        <v/>
      </c>
      <c r="L139" t="str">
        <f>IF(OR(I139="Trabajo actualmente como empleado",I139="Trabajo de manera independiente"),CHOOSE(MOD(COUNTIF($I$2:I139,I139)-1,3)+1,"Sí, completamente","Parcialmente","No"),"")</f>
        <v/>
      </c>
      <c r="M139" t="str">
        <f>IF(OR(I139="Trabajo actualmente como empleado",I139="Trabajo de manera independiente"),CHOOSE(MOD(INT((COUNTIF($I$2:I139,I139)-1)/3),4)+1,"1- Muy satisfecho/a","2- Satisfecho/a","3- Insatisfecho/a","4- Muy insatisfecho/a"),"")</f>
        <v/>
      </c>
      <c r="N139" t="str">
        <f>IF(OR(I139="Trabajo actualmente como empleado",I139="Trabajo de manera independiente"),_xlfn.LET(_xlpm.opcion,MOD(INT((COUNTIF($I$2:I139,I139)-1)/5),6)+1,CHOOSE(IF(AND(_xlpm.opcion=6,L139="Sí, completamente"),5,_xlpm.opcion),"Salario","Estabilidad laboral","Horario","Acceso a prestaciones","Oportunidades de crecimiento","Trabajar en un área relacionada con mi formación")),"")</f>
        <v/>
      </c>
      <c r="O139" s="9" t="str">
        <f>IF(OR(I139="Trabajo actualmente como empleado",I139="Trabajo de manera independiente"),_xlfn.LET(_xlpm.turno,MOD(COUNTIF($I$2:I139,I139)-1,5),_xlpm.nivel,VALUE(LEFT(M139,1)),IF(_xlpm.turno=4,"No estoy seguro/a",IF(_xlpm.turno&lt;IF(_xlpm.nivel&lt;=2,1,3),"Sí","No"))),"")</f>
        <v/>
      </c>
      <c r="P139" s="9" t="str">
        <f>_xlfn.LET(_xlpm.perfil,I139,_xlpm.turno,COUNTIF($I$2:I139,_xlpm.perfil)-1,_xlpm.busca,OR(_xlpm.perfil="Actualmente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trabajar"),IF(AND(_xlpm.trabaja,O139="No"),"Todavía no he iniciado una búsqueda activa",CHOOSE(MOD(_xlpm.turno*3,5)+1,"Menos de 1 mes","Entre 1 y 3 meses","Entre 4 y 6 meses","Más de 6 meses","Todavía no he iniciado una búsqueda activa")),"")))</f>
        <v>Entre 4 y 6 meses</v>
      </c>
      <c r="Q139" t="str">
        <f>IF(I139="Tengo un emprendimiento o quiero iniciar uno","",CHOOSE(MOD(INT((COUNTIF($I$2:I139,I139)-1)/7),3)+1,"Sí","No","Tengo una pero necesito actualizarla"))</f>
        <v>Sí</v>
      </c>
      <c r="R139" s="9" t="str">
        <f>IF(I139="Tengo un emprendimiento o quiero iniciar uno","",IF(I139="Busco mi primer empleo","No",IF(MOD(COUNTIF($I$2:I139,I139)-1,2)=0,"Sí","No")))</f>
        <v>Sí</v>
      </c>
      <c r="S139" t="str">
        <f>IF(I139="Tengo un emprendimiento o quiero iniciar uno","",CHOOSE(MOD(INT((COUNTIF($I$2:I139,I139)-1)/3),10)+1,"Portales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39" t="str">
        <f>IF(I139="Tengo un emprendimiento o quiero iniciar uno","",_xlfn.LET(_xlpm.opcion,MOD(INT((COUNTIF($I$2:I139,I139)-1)/4),6)+1,CHOOSE(IF(AND(_xlpm.opcion=3,Q139="Sí"),1,_xlpm.opcion),"Falta de experiencia","Falta de formación","Dificultades con la hoja de vida","Horarios disponibles","Transporte","Internet")))</f>
        <v>Internet</v>
      </c>
      <c r="U139" s="9" t="str">
        <f>IF(I139="Tengo un emprendimiento o quiero iniciar uno","",IF(MOD(INT((COUNTIF($I$2:I139,I139)-1)/3),2)=0,"Sí","No"))</f>
        <v>No</v>
      </c>
      <c r="V139" s="9" t="str">
        <f>IF(I139="Tengo un emprendimiento o quiero iniciar uno",CHOOSE(MOD(COUNTIF($I$2:I139,I139)-1,3)+1,"Tengo un emprendimiento","Estoy iniciando un emprendimiento","Me interesa emprender"),"")</f>
        <v/>
      </c>
      <c r="W139" t="str">
        <f t="shared" si="41"/>
        <v/>
      </c>
      <c r="X139" s="9" t="str">
        <f>IF(I139="Tengo un emprendimiento o quiero iniciar uno",CHOOSE(MOD(COUNTIF($I$2:I139,I139)-1,5)+1,"Falta de financiación","Falta de conocimientos administrativos","Falta de conocimientos financieros","Falta de tiempo","Falta de herramientas"),"")</f>
        <v/>
      </c>
      <c r="Y139" s="9" t="str">
        <f t="shared" si="42"/>
        <v/>
      </c>
      <c r="Z139" t="str">
        <f>IF(I139="Tengo un emprendimiento o quiero iniciar uno",CHOOSE(INT(MOD((COUNTIF($I$2:I139,I139)-1)*7,39)/13)+1,"Sí","No","No conozco programas de ese tipo"),"")</f>
        <v/>
      </c>
      <c r="AA139" t="str">
        <f t="shared" si="43"/>
        <v>Puedo hacerlo con dificultad</v>
      </c>
      <c r="AB139" t="str">
        <f t="shared" si="43"/>
        <v>Puedo hacerlo con dificultad</v>
      </c>
      <c r="AC139" t="str">
        <f t="shared" si="44"/>
        <v>No puedo hacerlo</v>
      </c>
      <c r="AD139" s="9" t="str">
        <f t="shared" si="45"/>
        <v>Puedo hacerlo con dificultad</v>
      </c>
      <c r="AE139" t="str">
        <f t="shared" si="46"/>
        <v>Puedo hacerlo con ayuda</v>
      </c>
      <c r="AF139" s="9" t="str">
        <f t="shared" si="47"/>
        <v>Crear una hoja de vida</v>
      </c>
      <c r="AG139" s="9" t="str">
        <f t="shared" si="48"/>
        <v>Costos de transporte</v>
      </c>
      <c r="AH139" t="str">
        <f t="shared" si="49"/>
        <v>Oficina de orientación laboral</v>
      </c>
      <c r="AI139" s="9" t="str">
        <f t="shared" si="50"/>
        <v>Virtual</v>
      </c>
      <c r="AJ139" s="9" t="str">
        <f t="shared" si="51"/>
        <v>Fines de semana</v>
      </c>
      <c r="AK139" s="9" t="str">
        <f t="shared" si="52"/>
        <v>Celular</v>
      </c>
    </row>
    <row r="140" spans="1:37">
      <c r="A140" t="str">
        <f t="shared" si="53"/>
        <v>SG139</v>
      </c>
      <c r="B140" t="s">
        <v>418</v>
      </c>
      <c r="C140" s="9" t="s">
        <v>427</v>
      </c>
      <c r="D140" t="str">
        <f t="shared" si="36"/>
        <v>Masculino</v>
      </c>
      <c r="E140" t="str">
        <f t="shared" si="37"/>
        <v>De 24 a 26 años</v>
      </c>
      <c r="F140">
        <f t="shared" si="38"/>
        <v>25</v>
      </c>
      <c r="G140" s="9" t="s">
        <v>428</v>
      </c>
      <c r="H140" s="9" t="str">
        <f t="shared" si="39"/>
        <v>Tecnólogo</v>
      </c>
      <c r="I140" s="9" t="str">
        <f t="shared" si="40"/>
        <v>Estudio y quiero comenzar a trabajar</v>
      </c>
      <c r="J140" s="13" t="str">
        <f>IF(I140="Trabajo actualmente como empleado",IF(MOD((COUNTIF($I$2:I140,"Trabajo actualmente como empleado")-1)*37,150)&lt;100,"Empleado con contrato","Empleado sin contrato formal"),IF(I140="Trabajo de manera independiente","Trabajo independiente",""))</f>
        <v/>
      </c>
      <c r="K140" s="9" t="str">
        <f>IF(OR(I140="Trabajo actualmente como empleado",I140="Trabajo de manera independiente"),CHOOSE(MOD(COUNTIF($I$2:I140,I140)-1,4)+1,"Menos de 3 meses","De 3 a 6 meses","De 7 a 12 meses","Más de un año"),"")</f>
        <v/>
      </c>
      <c r="L140" t="str">
        <f>IF(OR(I140="Trabajo actualmente como empleado",I140="Trabajo de manera independiente"),CHOOSE(MOD(COUNTIF($I$2:I140,I140)-1,3)+1,"Sí, completamente","Parcialmente","No"),"")</f>
        <v/>
      </c>
      <c r="M140" t="str">
        <f>IF(OR(I140="Trabajo actualmente como empleado",I140="Trabajo de manera independiente"),CHOOSE(MOD(INT((COUNTIF($I$2:I140,I140)-1)/3),4)+1,"1- Muy satisfecho/a","2- Satisfecho/a","3- Insatisfecho/a","4- Muy insatisfecho/a"),"")</f>
        <v/>
      </c>
      <c r="N140" t="str">
        <f>IF(OR(I140="Trabajo actualmente como empleado",I140="Trabajo de manera independiente"),_xlfn.LET(_xlpm.opcion,MOD(INT((COUNTIF($I$2:I140,I140)-1)/5),6)+1,CHOOSE(IF(AND(_xlpm.opcion=6,L140="Sí, completamente"),5,_xlpm.opcion),"Salario","Estabilidad laboral","Horario","Acceso a prestaciones","Oportunidades de crecimiento","Trabajar en un área relacionada con mi formación")),"")</f>
        <v/>
      </c>
      <c r="O140" s="9" t="str">
        <f>IF(OR(I140="Trabajo actualmente como empleado",I140="Trabajo de manera independiente"),_xlfn.LET(_xlpm.turno,MOD(COUNTIF($I$2:I140,I140)-1,5),_xlpm.nivel,VALUE(LEFT(M140,1)),IF(_xlpm.turno=4,"No estoy seguro/a",IF(_xlpm.turno&lt;IF(_xlpm.nivel&lt;=2,1,3),"Sí","No"))),"")</f>
        <v/>
      </c>
      <c r="P140" s="9" t="str">
        <f>_xlfn.LET(_xlpm.perfil,I140,_xlpm.turno,COUNTIF($I$2:I140,_xlpm.perfil)-1,_xlpm.busca,OR(_xlpm.perfil="Actualmente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trabajar"),IF(AND(_xlpm.trabaja,O140="No"),"Todavía no he iniciado una búsqueda activa",CHOOSE(MOD(_xlpm.turno*3,5)+1,"Menos de 1 mes","Entre 1 y 3 meses","Entre 4 y 6 meses","Más de 6 meses","Todavía no he iniciado una búsqueda activa")),"")))</f>
        <v>Menos de 1 mes</v>
      </c>
      <c r="Q140" t="str">
        <f>IF(I140="Tengo un emprendimiento o quiero iniciar uno","",CHOOSE(MOD(INT((COUNTIF($I$2:I140,I140)-1)/7),3)+1,"Sí","No","Tengo una pero necesito actualizarla"))</f>
        <v>Tengo una pero necesito actualizarla</v>
      </c>
      <c r="R140" s="9" t="str">
        <f>IF(I140="Tengo un emprendimiento o quiero iniciar uno","",IF(I140="Busco mi primer empleo","No",IF(MOD(COUNTIF($I$2:I140,I140)-1,2)=0,"Sí","No")))</f>
        <v>No</v>
      </c>
      <c r="S140" t="str">
        <f>IF(I140="Tengo un emprendimiento o quiero iniciar uno","",CHOOSE(MOD(INT((COUNTIF($I$2:I140,I140)-1)/3),10)+1,"Portales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40" t="str">
        <f>IF(I140="Tengo un emprendimiento o quiero iniciar uno","",_xlfn.LET(_xlpm.opcion,MOD(INT((COUNTIF($I$2:I140,I140)-1)/4),6)+1,CHOOSE(IF(AND(_xlpm.opcion=3,Q140="Sí"),1,_xlpm.opcion),"Falta de experiencia","Falta de formación","Dificultades con la hoja de vida","Horarios disponibles","Transporte","Internet")))</f>
        <v>Horarios disponibles</v>
      </c>
      <c r="U140" s="9" t="str">
        <f>IF(I140="Tengo un emprendimiento o quiero iniciar uno","",IF(MOD(INT((COUNTIF($I$2:I140,I140)-1)/3),2)=0,"Sí","No"))</f>
        <v>No</v>
      </c>
      <c r="V140" s="9" t="str">
        <f>IF(I140="Tengo un emprendimiento o quiero iniciar uno",CHOOSE(MOD(COUNTIF($I$2:I140,I140)-1,3)+1,"Tengo un emprendimiento","Estoy iniciando un emprendimiento","Me interesa emprender"),"")</f>
        <v/>
      </c>
      <c r="W140" t="str">
        <f t="shared" si="41"/>
        <v/>
      </c>
      <c r="X140" s="9" t="str">
        <f>IF(I140="Tengo un emprendimiento o quiero iniciar uno",CHOOSE(MOD(COUNTIF($I$2:I140,I140)-1,5)+1,"Falta de financiación","Falta de conocimientos administrativos","Falta de conocimientos financieros","Falta de tiempo","Falta de herramientas"),"")</f>
        <v/>
      </c>
      <c r="Y140" s="9" t="str">
        <f t="shared" si="42"/>
        <v/>
      </c>
      <c r="Z140" t="str">
        <f>IF(I140="Tengo un emprendimiento o quiero iniciar uno",CHOOSE(INT(MOD((COUNTIF($I$2:I140,I140)-1)*7,39)/13)+1,"Sí","No","No conozco programas de ese tipo"),"")</f>
        <v/>
      </c>
      <c r="AA140" t="str">
        <f t="shared" si="43"/>
        <v>No puedo hacerlo</v>
      </c>
      <c r="AB140" t="str">
        <f t="shared" si="43"/>
        <v>No puedo hacerlo</v>
      </c>
      <c r="AC140" t="str">
        <f t="shared" si="44"/>
        <v>Puedo hacerlo con ayuda</v>
      </c>
      <c r="AD140" s="9" t="str">
        <f t="shared" si="45"/>
        <v>Puedo hacerlo sin ayuda</v>
      </c>
      <c r="AE140" t="str">
        <f t="shared" si="46"/>
        <v>Puedo hacerlo con ayuda</v>
      </c>
      <c r="AF140" s="9" t="str">
        <f t="shared" si="47"/>
        <v>Preparación para entrevista</v>
      </c>
      <c r="AG140" s="9" t="str">
        <f t="shared" si="48"/>
        <v>Horarios;Falta de información</v>
      </c>
      <c r="AH140" t="str">
        <f t="shared" si="49"/>
        <v>Ferias de empleo</v>
      </c>
      <c r="AI140" s="9" t="str">
        <f t="shared" si="50"/>
        <v>Presencial y virtual</v>
      </c>
      <c r="AJ140" s="9" t="str">
        <f t="shared" si="51"/>
        <v>Diurno</v>
      </c>
      <c r="AK140" s="9" t="str">
        <f t="shared" si="52"/>
        <v>Correo electrónico</v>
      </c>
    </row>
    <row r="141" spans="1:37">
      <c r="A141" t="str">
        <f t="shared" si="53"/>
        <v>SG140</v>
      </c>
      <c r="B141" t="s">
        <v>418</v>
      </c>
      <c r="C141" s="9" t="s">
        <v>427</v>
      </c>
      <c r="D141" t="str">
        <f t="shared" si="36"/>
        <v>Femenino</v>
      </c>
      <c r="E141" t="str">
        <f t="shared" si="37"/>
        <v>De 26 a 28 años</v>
      </c>
      <c r="F141">
        <f t="shared" si="38"/>
        <v>26</v>
      </c>
      <c r="G141" s="9" t="s">
        <v>428</v>
      </c>
      <c r="H141" s="9" t="str">
        <f t="shared" si="39"/>
        <v>Profesional</v>
      </c>
      <c r="I141" s="9" t="str">
        <f t="shared" si="40"/>
        <v>Trabajo actualmente como empleado</v>
      </c>
      <c r="J141" s="13" t="str">
        <f>IF(I141="Trabajo actualmente como empleado",IF(MOD((COUNTIF($I$2:I141,"Trabajo actualmente como empleado")-1)*37,150)&lt;100,"Empleado con contrato","Empleado sin contrato formal"),IF(I141="Trabajo de manera independiente","Trabajo independiente",""))</f>
        <v>Empleado con contrato</v>
      </c>
      <c r="K141" s="9" t="str">
        <f>IF(OR(I141="Trabajo actualmente como empleado",I141="Trabajo de manera independiente"),CHOOSE(MOD(COUNTIF($I$2:I141,I141)-1,4)+1,"Menos de 3 meses","De 3 a 6 meses","De 7 a 12 meses","Más de un año"),"")</f>
        <v>De 3 a 6 meses</v>
      </c>
      <c r="L141" t="str">
        <f>IF(OR(I141="Trabajo actualmente como empleado",I141="Trabajo de manera independiente"),CHOOSE(MOD(COUNTIF($I$2:I141,I141)-1,3)+1,"Sí, completamente","Parcialmente","No"),"")</f>
        <v>Sí, completamente</v>
      </c>
      <c r="M141" t="str">
        <f>IF(OR(I141="Trabajo actualmente como empleado",I141="Trabajo de manera independiente"),CHOOSE(MOD(INT((COUNTIF($I$2:I141,I141)-1)/3),4)+1,"1- Muy satisfecho/a","2- Satisfecho/a","3- Insatisfecho/a","4- Muy insatisfecho/a"),"")</f>
        <v>4- Muy insatisfecho/a</v>
      </c>
      <c r="N141" t="str">
        <f>IF(OR(I141="Trabajo actualmente como empleado",I141="Trabajo de manera independiente"),_xlfn.LET(_xlpm.opcion,MOD(INT((COUNTIF($I$2:I141,I141)-1)/5),6)+1,CHOOSE(IF(AND(_xlpm.opcion=6,L141="Sí, completamente"),5,_xlpm.opcion),"Salario","Estabilidad laboral","Horario","Acceso a prestaciones","Oportunidades de crecimiento","Trabajar en un área relacionada con mi formación")),"")</f>
        <v>Acceso a prestaciones</v>
      </c>
      <c r="O141" s="9" t="str">
        <f>IF(OR(I141="Trabajo actualmente como empleado",I141="Trabajo de manera independiente"),_xlfn.LET(_xlpm.turno,MOD(COUNTIF($I$2:I141,I141)-1,5),_xlpm.nivel,VALUE(LEFT(M141,1)),IF(_xlpm.turno=4,"No estoy seguro/a",IF(_xlpm.turno&lt;IF(_xlpm.nivel&lt;=2,1,3),"Sí","No"))),"")</f>
        <v>Sí</v>
      </c>
      <c r="P141" s="9" t="str">
        <f>_xlfn.LET(_xlpm.perfil,I141,_xlpm.turno,COUNTIF($I$2:I141,_xlpm.perfil)-1,_xlpm.busca,OR(_xlpm.perfil="Actualmente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trabajar"),IF(AND(_xlpm.trabaja,O141="No"),"Todavía no he iniciado una búsqueda activa",CHOOSE(MOD(_xlpm.turno*3,5)+1,"Menos de 1 mes","Entre 1 y 3 meses","Entre 4 y 6 meses","Más de 6 meses","Todavía no he iniciado una búsqueda activa")),"")))</f>
        <v>Menos de 1 mes</v>
      </c>
      <c r="Q141" t="str">
        <f>IF(I141="Tengo un emprendimiento o quiero iniciar uno","",CHOOSE(MOD(INT((COUNTIF($I$2:I141,I141)-1)/7),3)+1,"Sí","No","Tengo una pero necesito actualizarla"))</f>
        <v>Sí</v>
      </c>
      <c r="R141" s="9" t="str">
        <f>IF(I141="Tengo un emprendimiento o quiero iniciar uno","",IF(I141="Busco mi primer empleo","No",IF(MOD(COUNTIF($I$2:I141,I141)-1,2)=0,"Sí","No")))</f>
        <v>No</v>
      </c>
      <c r="S141" t="str">
        <f>IF(I141="Tengo un emprendimiento o quiero iniciar uno","",CHOOSE(MOD(INT((COUNTIF($I$2:I141,I141)-1)/3),10)+1,"Portales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41" t="str">
        <f>IF(I141="Tengo un emprendimiento o quiero iniciar uno","",_xlfn.LET(_xlpm.opcion,MOD(INT((COUNTIF($I$2:I141,I141)-1)/4),6)+1,CHOOSE(IF(AND(_xlpm.opcion=3,Q141="Sí"),1,_xlpm.opcion),"Falta de experiencia","Falta de formación","Dificultades con la hoja de vida","Horarios disponibles","Transporte","Internet")))</f>
        <v>Internet</v>
      </c>
      <c r="U141" s="9" t="str">
        <f>IF(I141="Tengo un emprendimiento o quiero iniciar uno","",IF(MOD(INT((COUNTIF($I$2:I141,I141)-1)/3),2)=0,"Sí","No"))</f>
        <v>No</v>
      </c>
      <c r="V141" s="9" t="str">
        <f>IF(I141="Tengo un emprendimiento o quiero iniciar uno",CHOOSE(MOD(COUNTIF($I$2:I141,I141)-1,3)+1,"Tengo un emprendimiento","Estoy iniciando un emprendimiento","Me interesa emprender"),"")</f>
        <v/>
      </c>
      <c r="W141" t="str">
        <f t="shared" si="41"/>
        <v/>
      </c>
      <c r="X141" s="9" t="str">
        <f>IF(I141="Tengo un emprendimiento o quiero iniciar uno",CHOOSE(MOD(COUNTIF($I$2:I141,I141)-1,5)+1,"Falta de financiación","Falta de conocimientos administrativos","Falta de conocimientos financieros","Falta de tiempo","Falta de herramientas"),"")</f>
        <v/>
      </c>
      <c r="Y141" s="9" t="str">
        <f t="shared" si="42"/>
        <v/>
      </c>
      <c r="Z141" t="str">
        <f>IF(I141="Tengo un emprendimiento o quiero iniciar uno",CHOOSE(INT(MOD((COUNTIF($I$2:I141,I141)-1)*7,39)/13)+1,"Sí","No","No conozco programas de ese tipo"),"")</f>
        <v/>
      </c>
      <c r="AA141" t="str">
        <f t="shared" si="43"/>
        <v>Puedo hacerlo con ayuda</v>
      </c>
      <c r="AB141" t="str">
        <f t="shared" si="43"/>
        <v>Puedo hacerlo con ayuda</v>
      </c>
      <c r="AC141" t="str">
        <f t="shared" si="44"/>
        <v>Puedo hacerlo con dificultad</v>
      </c>
      <c r="AD141" s="9" t="str">
        <f t="shared" si="45"/>
        <v>No puedo hacerlo</v>
      </c>
      <c r="AE141" t="str">
        <f t="shared" si="46"/>
        <v>Puedo hacerlo con dificultad</v>
      </c>
      <c r="AF141" s="9" t="str">
        <f t="shared" si="47"/>
        <v>Comunicación</v>
      </c>
      <c r="AG141" s="9" t="str">
        <f t="shared" si="48"/>
        <v>Horarios;Falta de información</v>
      </c>
      <c r="AH141" t="str">
        <f t="shared" si="49"/>
        <v>No conozco ninguno</v>
      </c>
      <c r="AI141" s="9" t="str">
        <f t="shared" si="50"/>
        <v>Presencial</v>
      </c>
      <c r="AJ141" s="9" t="str">
        <f t="shared" si="51"/>
        <v>Mañana entre semana</v>
      </c>
      <c r="AK141" s="9" t="str">
        <f t="shared" si="52"/>
        <v>Celular</v>
      </c>
    </row>
    <row r="142" spans="1:37">
      <c r="A142" t="str">
        <f t="shared" si="53"/>
        <v>SG141</v>
      </c>
      <c r="B142" t="s">
        <v>418</v>
      </c>
      <c r="C142" s="9" t="s">
        <v>427</v>
      </c>
      <c r="D142" t="str">
        <f t="shared" si="36"/>
        <v>Masculino</v>
      </c>
      <c r="E142" t="str">
        <f t="shared" si="37"/>
        <v>De 18 a 20 años</v>
      </c>
      <c r="F142">
        <f t="shared" si="38"/>
        <v>18</v>
      </c>
      <c r="G142" s="9" t="s">
        <v>428</v>
      </c>
      <c r="H142" s="9" t="str">
        <f t="shared" si="39"/>
        <v>Técnico</v>
      </c>
      <c r="I142" s="9" t="str">
        <f t="shared" si="40"/>
        <v>Actualmente no trabajo y estoy buscando empleo</v>
      </c>
      <c r="J142" s="13" t="str">
        <f>IF(I142="Trabajo actualmente como empleado",IF(MOD((COUNTIF($I$2:I142,"Trabajo actualmente como empleado")-1)*37,150)&lt;100,"Empleado con contrato","Empleado sin contrato formal"),IF(I142="Trabajo de manera independiente","Trabajo independiente",""))</f>
        <v/>
      </c>
      <c r="K142" s="9" t="str">
        <f>IF(OR(I142="Trabajo actualmente como empleado",I142="Trabajo de manera independiente"),CHOOSE(MOD(COUNTIF($I$2:I142,I142)-1,4)+1,"Menos de 3 meses","De 3 a 6 meses","De 7 a 12 meses","Más de un año"),"")</f>
        <v/>
      </c>
      <c r="L142" t="str">
        <f>IF(OR(I142="Trabajo actualmente como empleado",I142="Trabajo de manera independiente"),CHOOSE(MOD(COUNTIF($I$2:I142,I142)-1,3)+1,"Sí, completamente","Parcialmente","No"),"")</f>
        <v/>
      </c>
      <c r="M142" t="str">
        <f>IF(OR(I142="Trabajo actualmente como empleado",I142="Trabajo de manera independiente"),CHOOSE(MOD(INT((COUNTIF($I$2:I142,I142)-1)/3),4)+1,"1- Muy satisfecho/a","2- Satisfecho/a","3- Insatisfecho/a","4- Muy insatisfecho/a"),"")</f>
        <v/>
      </c>
      <c r="N142" t="str">
        <f>IF(OR(I142="Trabajo actualmente como empleado",I142="Trabajo de manera independiente"),_xlfn.LET(_xlpm.opcion,MOD(INT((COUNTIF($I$2:I142,I142)-1)/5),6)+1,CHOOSE(IF(AND(_xlpm.opcion=6,L142="Sí, completamente"),5,_xlpm.opcion),"Salario","Estabilidad laboral","Horario","Acceso a prestaciones","Oportunidades de crecimiento","Trabajar en un área relacionada con mi formación")),"")</f>
        <v/>
      </c>
      <c r="O142" s="9" t="str">
        <f>IF(OR(I142="Trabajo actualmente como empleado",I142="Trabajo de manera independiente"),_xlfn.LET(_xlpm.turno,MOD(COUNTIF($I$2:I142,I142)-1,5),_xlpm.nivel,VALUE(LEFT(M142,1)),IF(_xlpm.turno=4,"No estoy seguro/a",IF(_xlpm.turno&lt;IF(_xlpm.nivel&lt;=2,1,3),"Sí","No"))),"")</f>
        <v/>
      </c>
      <c r="P142" s="9" t="str">
        <f>_xlfn.LET(_xlpm.perfil,I142,_xlpm.turno,COUNTIF($I$2:I142,_xlpm.perfil)-1,_xlpm.busca,OR(_xlpm.perfil="Actualmente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trabajar"),IF(AND(_xlpm.trabaja,O142="No"),"Todavía no he iniciado una búsqueda activa",CHOOSE(MOD(_xlpm.turno*3,5)+1,"Menos de 1 mes","Entre 1 y 3 meses","Entre 4 y 6 meses","Más de 6 meses","Todavía no he iniciado una búsqueda activa")),"")))</f>
        <v>Entre 1 y 3 meses</v>
      </c>
      <c r="Q142" t="str">
        <f>IF(I142="Tengo un emprendimiento o quiero iniciar uno","",CHOOSE(MOD(INT((COUNTIF($I$2:I142,I142)-1)/7),3)+1,"Sí","No","Tengo una pero necesito actualizarla"))</f>
        <v>Sí</v>
      </c>
      <c r="R142" s="9" t="str">
        <f>IF(I142="Tengo un emprendimiento o quiero iniciar uno","",IF(I142="Busco mi primer empleo","No",IF(MOD(COUNTIF($I$2:I142,I142)-1,2)=0,"Sí","No")))</f>
        <v>No</v>
      </c>
      <c r="S142" t="str">
        <f>IF(I142="Tengo un emprendimiento o quiero iniciar uno","",CHOOSE(MOD(INT((COUNTIF($I$2:I142,I142)-1)/3),10)+1,"Portales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42" t="str">
        <f>IF(I142="Tengo un emprendimiento o quiero iniciar uno","",_xlfn.LET(_xlpm.opcion,MOD(INT((COUNTIF($I$2:I142,I142)-1)/4),6)+1,CHOOSE(IF(AND(_xlpm.opcion=3,Q142="Sí"),1,_xlpm.opcion),"Falta de experiencia","Falta de formación","Dificultades con la hoja de vida","Horarios disponibles","Transporte","Internet")))</f>
        <v>Internet</v>
      </c>
      <c r="U142" s="9" t="str">
        <f>IF(I142="Tengo un emprendimiento o quiero iniciar uno","",IF(MOD(INT((COUNTIF($I$2:I142,I142)-1)/3),2)=0,"Sí","No"))</f>
        <v>No</v>
      </c>
      <c r="V142" s="9" t="str">
        <f>IF(I142="Tengo un emprendimiento o quiero iniciar uno",CHOOSE(MOD(COUNTIF($I$2:I142,I142)-1,3)+1,"Tengo un emprendimiento","Estoy iniciando un emprendimiento","Me interesa emprender"),"")</f>
        <v/>
      </c>
      <c r="W142" t="str">
        <f t="shared" si="41"/>
        <v/>
      </c>
      <c r="X142" s="9" t="str">
        <f>IF(I142="Tengo un emprendimiento o quiero iniciar uno",CHOOSE(MOD(COUNTIF($I$2:I142,I142)-1,5)+1,"Falta de financiación","Falta de conocimientos administrativos","Falta de conocimientos financieros","Falta de tiempo","Falta de herramientas"),"")</f>
        <v/>
      </c>
      <c r="Y142" s="9" t="str">
        <f t="shared" si="42"/>
        <v/>
      </c>
      <c r="Z142" t="str">
        <f>IF(I142="Tengo un emprendimiento o quiero iniciar uno",CHOOSE(INT(MOD((COUNTIF($I$2:I142,I142)-1)*7,39)/13)+1,"Sí","No","No conozco programas de ese tipo"),"")</f>
        <v/>
      </c>
      <c r="AA142" t="str">
        <f t="shared" si="43"/>
        <v>Puedo hacerlo sin ayuda</v>
      </c>
      <c r="AB142" t="str">
        <f t="shared" si="43"/>
        <v>Puedo hacerlo sin ayuda</v>
      </c>
      <c r="AC142" t="str">
        <f t="shared" si="44"/>
        <v>No puedo hacerlo</v>
      </c>
      <c r="AD142" s="9" t="str">
        <f t="shared" si="45"/>
        <v>Puedo hacerlo con ayuda</v>
      </c>
      <c r="AE142" t="str">
        <f t="shared" si="46"/>
        <v>Puedo hacerlo con dificultad</v>
      </c>
      <c r="AF142" s="9" t="str">
        <f t="shared" si="47"/>
        <v>Liderazgo</v>
      </c>
      <c r="AG142" s="9" t="str">
        <f t="shared" si="48"/>
        <v>Horarios;Falta de información</v>
      </c>
      <c r="AH142" t="str">
        <f t="shared" si="49"/>
        <v>Ferias de empleo</v>
      </c>
      <c r="AI142" s="9" t="str">
        <f t="shared" si="50"/>
        <v>Virtual</v>
      </c>
      <c r="AJ142" s="9" t="str">
        <f t="shared" si="51"/>
        <v>Fines de semana</v>
      </c>
      <c r="AK142" s="9" t="str">
        <f t="shared" si="52"/>
        <v>WhatsApp</v>
      </c>
    </row>
    <row r="143" spans="1:37">
      <c r="A143" t="str">
        <f t="shared" si="53"/>
        <v>SG142</v>
      </c>
      <c r="B143" t="s">
        <v>418</v>
      </c>
      <c r="C143" s="9" t="s">
        <v>427</v>
      </c>
      <c r="D143" t="str">
        <f t="shared" si="36"/>
        <v>Masculino</v>
      </c>
      <c r="E143" t="str">
        <f t="shared" si="37"/>
        <v>De 20 a 22 años</v>
      </c>
      <c r="F143">
        <f t="shared" si="38"/>
        <v>20</v>
      </c>
      <c r="G143" s="9" t="s">
        <v>428</v>
      </c>
      <c r="H143" s="9" t="str">
        <f t="shared" si="39"/>
        <v>Tecnólogo</v>
      </c>
      <c r="I143" s="9" t="str">
        <f t="shared" si="40"/>
        <v>Tengo un emprendimiento o quiero iniciar uno</v>
      </c>
      <c r="J143" s="13" t="str">
        <f>IF(I143="Trabajo actualmente como empleado",IF(MOD((COUNTIF($I$2:I143,"Trabajo actualmente como empleado")-1)*37,150)&lt;100,"Empleado con contrato","Empleado sin contrato formal"),IF(I143="Trabajo de manera independiente","Trabajo independiente",""))</f>
        <v/>
      </c>
      <c r="K143" s="9" t="str">
        <f>IF(OR(I143="Trabajo actualmente como empleado",I143="Trabajo de manera independiente"),CHOOSE(MOD(COUNTIF($I$2:I143,I143)-1,4)+1,"Menos de 3 meses","De 3 a 6 meses","De 7 a 12 meses","Más de un año"),"")</f>
        <v/>
      </c>
      <c r="L143" t="str">
        <f>IF(OR(I143="Trabajo actualmente como empleado",I143="Trabajo de manera independiente"),CHOOSE(MOD(COUNTIF($I$2:I143,I143)-1,3)+1,"Sí, completamente","Parcialmente","No"),"")</f>
        <v/>
      </c>
      <c r="M143" t="str">
        <f>IF(OR(I143="Trabajo actualmente como empleado",I143="Trabajo de manera independiente"),CHOOSE(MOD(INT((COUNTIF($I$2:I143,I143)-1)/3),4)+1,"1- Muy satisfecho/a","2- Satisfecho/a","3- Insatisfecho/a","4- Muy insatisfecho/a"),"")</f>
        <v/>
      </c>
      <c r="N143" t="str">
        <f>IF(OR(I143="Trabajo actualmente como empleado",I143="Trabajo de manera independiente"),_xlfn.LET(_xlpm.opcion,MOD(INT((COUNTIF($I$2:I143,I143)-1)/5),6)+1,CHOOSE(IF(AND(_xlpm.opcion=6,L143="Sí, completamente"),5,_xlpm.opcion),"Salario","Estabilidad laboral","Horario","Acceso a prestaciones","Oportunidades de crecimiento","Trabajar en un área relacionada con mi formación")),"")</f>
        <v/>
      </c>
      <c r="O143" s="9" t="str">
        <f>IF(OR(I143="Trabajo actualmente como empleado",I143="Trabajo de manera independiente"),_xlfn.LET(_xlpm.turno,MOD(COUNTIF($I$2:I143,I143)-1,5),_xlpm.nivel,VALUE(LEFT(M143,1)),IF(_xlpm.turno=4,"No estoy seguro/a",IF(_xlpm.turno&lt;IF(_xlpm.nivel&lt;=2,1,3),"Sí","No"))),"")</f>
        <v/>
      </c>
      <c r="P143" s="9" t="str">
        <f>_xlfn.LET(_xlpm.perfil,I143,_xlpm.turno,COUNTIF($I$2:I143,_xlpm.perfil)-1,_xlpm.busca,OR(_xlpm.perfil="Actualmente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trabajar"),IF(AND(_xlpm.trabaja,O143="No"),"Todavía no he iniciado una búsqueda activa",CHOOSE(MOD(_xlpm.turno*3,5)+1,"Menos de 1 mes","Entre 1 y 3 meses","Entre 4 y 6 meses","Más de 6 meses","Todavía no he iniciado una búsqueda activa")),"")))</f>
        <v/>
      </c>
      <c r="Q143" t="str">
        <f>IF(I143="Tengo un emprendimiento o quiero iniciar uno","",CHOOSE(MOD(INT((COUNTIF($I$2:I143,I143)-1)/7),3)+1,"Sí","No","Tengo una pero necesito actualizarla"))</f>
        <v/>
      </c>
      <c r="R143" s="9" t="str">
        <f>IF(I143="Tengo un emprendimiento o quiero iniciar uno","",IF(I143="Busco mi primer empleo","No",IF(MOD(COUNTIF($I$2:I143,I143)-1,2)=0,"Sí","No")))</f>
        <v/>
      </c>
      <c r="S143" t="str">
        <f>IF(I143="Tengo un emprendimiento o quiero iniciar uno","",CHOOSE(MOD(INT((COUNTIF($I$2:I143,I143)-1)/3),10)+1,"Portales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43" t="str">
        <f>IF(I143="Tengo un emprendimiento o quiero iniciar uno","",_xlfn.LET(_xlpm.opcion,MOD(INT((COUNTIF($I$2:I143,I143)-1)/4),6)+1,CHOOSE(IF(AND(_xlpm.opcion=3,Q143="Sí"),1,_xlpm.opcion),"Falta de experiencia","Falta de formación","Dificultades con la hoja de vida","Horarios disponibles","Transporte","Internet")))</f>
        <v/>
      </c>
      <c r="U143" s="9" t="str">
        <f>IF(I143="Tengo un emprendimiento o quiero iniciar uno","",IF(MOD(INT((COUNTIF($I$2:I143,I143)-1)/3),2)=0,"Sí","No"))</f>
        <v/>
      </c>
      <c r="V143" s="9" t="str">
        <f>IF(I143="Tengo un emprendimiento o quiero iniciar uno",CHOOSE(MOD(COUNTIF($I$2:I143,I143)-1,3)+1,"Tengo un emprendimiento","Estoy iniciando un emprendimiento","Me interesa emprender"),"")</f>
        <v>Me interesa emprender</v>
      </c>
      <c r="W143" t="str">
        <f t="shared" si="41"/>
        <v/>
      </c>
      <c r="X143" s="9" t="str">
        <f>IF(I143="Tengo un emprendimiento o quiero iniciar uno",CHOOSE(MOD(COUNTIF($I$2:I143,I143)-1,5)+1,"Falta de financiación","Falta de conocimientos administrativos","Falta de conocimientos financieros","Falta de tiempo","Falta de herramientas"),"")</f>
        <v>Falta de conocimientos administrativos</v>
      </c>
      <c r="Y143" s="9" t="str">
        <f t="shared" si="42"/>
        <v>Falta de conocimientos administrativos</v>
      </c>
      <c r="Z143" t="str">
        <f>IF(I143="Tengo un emprendimiento o quiero iniciar uno",CHOOSE(INT(MOD((COUNTIF($I$2:I143,I143)-1)*7,39)/13)+1,"Sí","No","No conozco programas de ese tipo"),"")</f>
        <v>No conozco programas de ese tipo</v>
      </c>
      <c r="AA143" t="str">
        <f t="shared" si="43"/>
        <v>No puedo hacerlo</v>
      </c>
      <c r="AB143" t="str">
        <f t="shared" si="43"/>
        <v>No puedo hacerlo</v>
      </c>
      <c r="AC143" t="str">
        <f t="shared" si="44"/>
        <v>Puedo hacerlo con ayuda</v>
      </c>
      <c r="AD143" s="9" t="str">
        <f t="shared" si="45"/>
        <v>Puedo hacerlo con ayuda</v>
      </c>
      <c r="AE143" t="str">
        <f t="shared" si="46"/>
        <v>Puedo hacerlo sin ayuda</v>
      </c>
      <c r="AF143" s="9" t="str">
        <f t="shared" si="47"/>
        <v>Emprendimiento</v>
      </c>
      <c r="AG143" s="9" t="str">
        <f t="shared" si="48"/>
        <v>Ninguna</v>
      </c>
      <c r="AH143" t="str">
        <f t="shared" si="49"/>
        <v>Programas de emprendimiento</v>
      </c>
      <c r="AI143" s="9" t="str">
        <f t="shared" si="50"/>
        <v>Presencial y virtual</v>
      </c>
      <c r="AJ143" s="9" t="str">
        <f t="shared" si="51"/>
        <v>Diurno</v>
      </c>
      <c r="AK143" s="9" t="str">
        <f t="shared" si="52"/>
        <v>Redes sociales</v>
      </c>
    </row>
    <row r="144" spans="1:37">
      <c r="A144" t="str">
        <f t="shared" si="53"/>
        <v>SG143</v>
      </c>
      <c r="B144" t="s">
        <v>418</v>
      </c>
      <c r="C144" s="9" t="s">
        <v>427</v>
      </c>
      <c r="D144" t="str">
        <f t="shared" si="36"/>
        <v>Femenino</v>
      </c>
      <c r="E144" t="str">
        <f t="shared" si="37"/>
        <v>De 22 a 24 años</v>
      </c>
      <c r="F144">
        <f t="shared" si="38"/>
        <v>22</v>
      </c>
      <c r="G144" s="9" t="s">
        <v>428</v>
      </c>
      <c r="H144" s="9" t="str">
        <f t="shared" si="39"/>
        <v>Profesional</v>
      </c>
      <c r="I144" s="9" t="str">
        <f t="shared" si="40"/>
        <v>Trabajo actualmente como empleado</v>
      </c>
      <c r="J144" s="13" t="str">
        <f>IF(I144="Trabajo actualmente como empleado",IF(MOD((COUNTIF($I$2:I144,"Trabajo actualmente como empleado")-1)*37,150)&lt;100,"Empleado con contrato","Empleado sin contrato formal"),IF(I144="Trabajo de manera independiente","Trabajo independiente",""))</f>
        <v>Empleado con contrato</v>
      </c>
      <c r="K144" s="9" t="str">
        <f>IF(OR(I144="Trabajo actualmente como empleado",I144="Trabajo de manera independiente"),CHOOSE(MOD(COUNTIF($I$2:I144,I144)-1,4)+1,"Menos de 3 meses","De 3 a 6 meses","De 7 a 12 meses","Más de un año"),"")</f>
        <v>De 7 a 12 meses</v>
      </c>
      <c r="L144" t="str">
        <f>IF(OR(I144="Trabajo actualmente como empleado",I144="Trabajo de manera independiente"),CHOOSE(MOD(COUNTIF($I$2:I144,I144)-1,3)+1,"Sí, completamente","Parcialmente","No"),"")</f>
        <v>Parcialmente</v>
      </c>
      <c r="M144" t="str">
        <f>IF(OR(I144="Trabajo actualmente como empleado",I144="Trabajo de manera independiente"),CHOOSE(MOD(INT((COUNTIF($I$2:I144,I144)-1)/3),4)+1,"1- Muy satisfecho/a","2- Satisfecho/a","3- Insatisfecho/a","4- Muy insatisfecho/a"),"")</f>
        <v>4- Muy insatisfecho/a</v>
      </c>
      <c r="N144" t="str">
        <f>IF(OR(I144="Trabajo actualmente como empleado",I144="Trabajo de manera independiente"),_xlfn.LET(_xlpm.opcion,MOD(INT((COUNTIF($I$2:I144,I144)-1)/5),6)+1,CHOOSE(IF(AND(_xlpm.opcion=6,L144="Sí, completamente"),5,_xlpm.opcion),"Salario","Estabilidad laboral","Horario","Acceso a prestaciones","Oportunidades de crecimiento","Trabajar en un área relacionada con mi formación")),"")</f>
        <v>Acceso a prestaciones</v>
      </c>
      <c r="O144" s="9" t="str">
        <f>IF(OR(I144="Trabajo actualmente como empleado",I144="Trabajo de manera independiente"),_xlfn.LET(_xlpm.turno,MOD(COUNTIF($I$2:I144,I144)-1,5),_xlpm.nivel,VALUE(LEFT(M144,1)),IF(_xlpm.turno=4,"No estoy seguro/a",IF(_xlpm.turno&lt;IF(_xlpm.nivel&lt;=2,1,3),"Sí","No"))),"")</f>
        <v>Sí</v>
      </c>
      <c r="P144" s="9" t="str">
        <f>_xlfn.LET(_xlpm.perfil,I144,_xlpm.turno,COUNTIF($I$2:I144,_xlpm.perfil)-1,_xlpm.busca,OR(_xlpm.perfil="Actualmente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trabajar"),IF(AND(_xlpm.trabaja,O144="No"),"Todavía no he iniciado una búsqueda activa",CHOOSE(MOD(_xlpm.turno*3,5)+1,"Menos de 1 mes","Entre 1 y 3 meses","Entre 4 y 6 meses","Más de 6 meses","Todavía no he iniciado una búsqueda activa")),"")))</f>
        <v>Más de 6 meses</v>
      </c>
      <c r="Q144" t="str">
        <f>IF(I144="Tengo un emprendimiento o quiero iniciar uno","",CHOOSE(MOD(INT((COUNTIF($I$2:I144,I144)-1)/7),3)+1,"Sí","No","Tengo una pero necesito actualizarla"))</f>
        <v>Sí</v>
      </c>
      <c r="R144" s="9" t="str">
        <f>IF(I144="Tengo un emprendimiento o quiero iniciar uno","",IF(I144="Busco mi primer empleo","No",IF(MOD(COUNTIF($I$2:I144,I144)-1,2)=0,"Sí","No")))</f>
        <v>Sí</v>
      </c>
      <c r="S144" t="str">
        <f>IF(I144="Tengo un emprendimiento o quiero iniciar uno","",CHOOSE(MOD(INT((COUNTIF($I$2:I144,I144)-1)/3),10)+1,"Portales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44" t="str">
        <f>IF(I144="Tengo un emprendimiento o quiero iniciar uno","",_xlfn.LET(_xlpm.opcion,MOD(INT((COUNTIF($I$2:I144,I144)-1)/4),6)+1,CHOOSE(IF(AND(_xlpm.opcion=3,Q144="Sí"),1,_xlpm.opcion),"Falta de experiencia","Falta de formación","Dificultades con la hoja de vida","Horarios disponibles","Transporte","Internet")))</f>
        <v>Internet</v>
      </c>
      <c r="U144" s="9" t="str">
        <f>IF(I144="Tengo un emprendimiento o quiero iniciar uno","",IF(MOD(INT((COUNTIF($I$2:I144,I144)-1)/3),2)=0,"Sí","No"))</f>
        <v>No</v>
      </c>
      <c r="V144" s="9" t="str">
        <f>IF(I144="Tengo un emprendimiento o quiero iniciar uno",CHOOSE(MOD(COUNTIF($I$2:I144,I144)-1,3)+1,"Tengo un emprendimiento","Estoy iniciando un emprendimiento","Me interesa emprender"),"")</f>
        <v/>
      </c>
      <c r="W144" t="str">
        <f t="shared" si="41"/>
        <v/>
      </c>
      <c r="X144" s="9" t="str">
        <f>IF(I144="Tengo un emprendimiento o quiero iniciar uno",CHOOSE(MOD(COUNTIF($I$2:I144,I144)-1,5)+1,"Falta de financiación","Falta de conocimientos administrativos","Falta de conocimientos financieros","Falta de tiempo","Falta de herramientas"),"")</f>
        <v/>
      </c>
      <c r="Y144" s="9" t="str">
        <f t="shared" si="42"/>
        <v/>
      </c>
      <c r="Z144" t="str">
        <f>IF(I144="Tengo un emprendimiento o quiero iniciar uno",CHOOSE(INT(MOD((COUNTIF($I$2:I144,I144)-1)*7,39)/13)+1,"Sí","No","No conozco programas de ese tipo"),"")</f>
        <v/>
      </c>
      <c r="AA144" t="str">
        <f t="shared" si="43"/>
        <v>Puedo hacerlo con dificultad</v>
      </c>
      <c r="AB144" t="str">
        <f t="shared" si="43"/>
        <v>Puedo hacerlo con dificultad</v>
      </c>
      <c r="AC144" t="str">
        <f t="shared" si="44"/>
        <v>Puedo hacerlo con dificultad</v>
      </c>
      <c r="AD144" s="9" t="str">
        <f t="shared" si="45"/>
        <v>Puedo hacerlo con dificultad</v>
      </c>
      <c r="AE144" t="str">
        <f t="shared" si="46"/>
        <v>No puedo hacerlo</v>
      </c>
      <c r="AF144" s="9" t="str">
        <f t="shared" si="47"/>
        <v>Herramientas digitales</v>
      </c>
      <c r="AG144" s="9" t="str">
        <f t="shared" si="48"/>
        <v>Ninguna</v>
      </c>
      <c r="AH144" t="str">
        <f t="shared" si="49"/>
        <v>Oficina de orientación laboral</v>
      </c>
      <c r="AI144" s="9" t="str">
        <f t="shared" si="50"/>
        <v>Me es indiferente</v>
      </c>
      <c r="AJ144" s="9" t="str">
        <f t="shared" si="51"/>
        <v>Mañana entre semana</v>
      </c>
      <c r="AK144" s="9" t="str">
        <f t="shared" si="52"/>
        <v>Celular</v>
      </c>
    </row>
    <row r="145" spans="1:37">
      <c r="A145" t="str">
        <f t="shared" si="53"/>
        <v>SG144</v>
      </c>
      <c r="B145" t="s">
        <v>418</v>
      </c>
      <c r="C145" s="9" t="s">
        <v>427</v>
      </c>
      <c r="D145" t="str">
        <f t="shared" si="36"/>
        <v>Femenino</v>
      </c>
      <c r="E145" t="str">
        <f t="shared" si="37"/>
        <v>De 24 a 26 años</v>
      </c>
      <c r="F145">
        <f t="shared" si="38"/>
        <v>24</v>
      </c>
      <c r="G145" s="9" t="s">
        <v>428</v>
      </c>
      <c r="H145" s="9" t="str">
        <f t="shared" si="39"/>
        <v>Profesional</v>
      </c>
      <c r="I145" s="9" t="str">
        <f t="shared" si="40"/>
        <v>Actualmente no trabajo y estoy buscando empleo</v>
      </c>
      <c r="J145" s="13" t="str">
        <f>IF(I145="Trabajo actualmente como empleado",IF(MOD((COUNTIF($I$2:I145,"Trabajo actualmente como empleado")-1)*37,150)&lt;100,"Empleado con contrato","Empleado sin contrato formal"),IF(I145="Trabajo de manera independiente","Trabajo independiente",""))</f>
        <v/>
      </c>
      <c r="K145" s="9" t="str">
        <f>IF(OR(I145="Trabajo actualmente como empleado",I145="Trabajo de manera independiente"),CHOOSE(MOD(COUNTIF($I$2:I145,I145)-1,4)+1,"Menos de 3 meses","De 3 a 6 meses","De 7 a 12 meses","Más de un año"),"")</f>
        <v/>
      </c>
      <c r="L145" t="str">
        <f>IF(OR(I145="Trabajo actualmente como empleado",I145="Trabajo de manera independiente"),CHOOSE(MOD(COUNTIF($I$2:I145,I145)-1,3)+1,"Sí, completamente","Parcialmente","No"),"")</f>
        <v/>
      </c>
      <c r="M145" t="str">
        <f>IF(OR(I145="Trabajo actualmente como empleado",I145="Trabajo de manera independiente"),CHOOSE(MOD(INT((COUNTIF($I$2:I145,I145)-1)/3),4)+1,"1- Muy satisfecho/a","2- Satisfecho/a","3- Insatisfecho/a","4- Muy insatisfecho/a"),"")</f>
        <v/>
      </c>
      <c r="N145" t="str">
        <f>IF(OR(I145="Trabajo actualmente como empleado",I145="Trabajo de manera independiente"),_xlfn.LET(_xlpm.opcion,MOD(INT((COUNTIF($I$2:I145,I145)-1)/5),6)+1,CHOOSE(IF(AND(_xlpm.opcion=6,L145="Sí, completamente"),5,_xlpm.opcion),"Salario","Estabilidad laboral","Horario","Acceso a prestaciones","Oportunidades de crecimiento","Trabajar en un área relacionada con mi formación")),"")</f>
        <v/>
      </c>
      <c r="O145" s="9" t="str">
        <f>IF(OR(I145="Trabajo actualmente como empleado",I145="Trabajo de manera independiente"),_xlfn.LET(_xlpm.turno,MOD(COUNTIF($I$2:I145,I145)-1,5),_xlpm.nivel,VALUE(LEFT(M145,1)),IF(_xlpm.turno=4,"No estoy seguro/a",IF(_xlpm.turno&lt;IF(_xlpm.nivel&lt;=2,1,3),"Sí","No"))),"")</f>
        <v/>
      </c>
      <c r="P145" s="9" t="str">
        <f>_xlfn.LET(_xlpm.perfil,I145,_xlpm.turno,COUNTIF($I$2:I145,_xlpm.perfil)-1,_xlpm.busca,OR(_xlpm.perfil="Actualmente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trabajar"),IF(AND(_xlpm.trabaja,O145="No"),"Todavía no he iniciado una búsqueda activa",CHOOSE(MOD(_xlpm.turno*3,5)+1,"Menos de 1 mes","Entre 1 y 3 meses","Entre 4 y 6 meses","Más de 6 meses","Todavía no he iniciado una búsqueda activa")),"")))</f>
        <v>Menos de 1 mes</v>
      </c>
      <c r="Q145" t="str">
        <f>IF(I145="Tengo un emprendimiento o quiero iniciar uno","",CHOOSE(MOD(INT((COUNTIF($I$2:I145,I145)-1)/7),3)+1,"Sí","No","Tengo una pero necesito actualizarla"))</f>
        <v>Sí</v>
      </c>
      <c r="R145" s="9" t="str">
        <f>IF(I145="Tengo un emprendimiento o quiero iniciar uno","",IF(I145="Busco mi primer empleo","No",IF(MOD(COUNTIF($I$2:I145,I145)-1,2)=0,"Sí","No")))</f>
        <v>Sí</v>
      </c>
      <c r="S145" t="str">
        <f>IF(I145="Tengo un emprendimiento o quiero iniciar uno","",CHOOSE(MOD(INT((COUNTIF($I$2:I145,I145)-1)/3),10)+1,"Portales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45" t="str">
        <f>IF(I145="Tengo un emprendimiento o quiero iniciar uno","",_xlfn.LET(_xlpm.opcion,MOD(INT((COUNTIF($I$2:I145,I145)-1)/4),6)+1,CHOOSE(IF(AND(_xlpm.opcion=3,Q145="Sí"),1,_xlpm.opcion),"Falta de experiencia","Falta de formación","Dificultades con la hoja de vida","Horarios disponibles","Transporte","Internet")))</f>
        <v>Falta de experiencia</v>
      </c>
      <c r="U145" s="9" t="str">
        <f>IF(I145="Tengo un emprendimiento o quiero iniciar uno","",IF(MOD(INT((COUNTIF($I$2:I145,I145)-1)/3),2)=0,"Sí","No"))</f>
        <v>Sí</v>
      </c>
      <c r="V145" s="9" t="str">
        <f>IF(I145="Tengo un emprendimiento o quiero iniciar uno",CHOOSE(MOD(COUNTIF($I$2:I145,I145)-1,3)+1,"Tengo un emprendimiento","Estoy iniciando un emprendimiento","Me interesa emprender"),"")</f>
        <v/>
      </c>
      <c r="W145" t="str">
        <f t="shared" si="41"/>
        <v/>
      </c>
      <c r="X145" s="9" t="str">
        <f>IF(I145="Tengo un emprendimiento o quiero iniciar uno",CHOOSE(MOD(COUNTIF($I$2:I145,I145)-1,5)+1,"Falta de financiación","Falta de conocimientos administrativos","Falta de conocimientos financieros","Falta de tiempo","Falta de herramientas"),"")</f>
        <v/>
      </c>
      <c r="Y145" s="9" t="str">
        <f t="shared" si="42"/>
        <v/>
      </c>
      <c r="Z145" t="str">
        <f>IF(I145="Tengo un emprendimiento o quiero iniciar uno",CHOOSE(INT(MOD((COUNTIF($I$2:I145,I145)-1)*7,39)/13)+1,"Sí","No","No conozco programas de ese tipo"),"")</f>
        <v/>
      </c>
      <c r="AA145" t="str">
        <f t="shared" si="43"/>
        <v>No puedo hacerlo</v>
      </c>
      <c r="AB145" t="str">
        <f t="shared" si="43"/>
        <v>No puedo hacerlo</v>
      </c>
      <c r="AC145" t="str">
        <f t="shared" si="44"/>
        <v>No puedo hacerlo</v>
      </c>
      <c r="AD145" s="9" t="str">
        <f t="shared" si="45"/>
        <v>Puedo hacerlo sin ayuda</v>
      </c>
      <c r="AE145" t="str">
        <f t="shared" si="46"/>
        <v>No puedo hacerlo</v>
      </c>
      <c r="AF145" s="9" t="str">
        <f t="shared" si="47"/>
        <v>Educación financiera</v>
      </c>
      <c r="AG145" s="9" t="str">
        <f t="shared" si="48"/>
        <v>Ninguna</v>
      </c>
      <c r="AH145" t="str">
        <f t="shared" si="49"/>
        <v>Programas de emprendimiento</v>
      </c>
      <c r="AI145" s="9" t="str">
        <f t="shared" si="50"/>
        <v>Presencial</v>
      </c>
      <c r="AJ145" s="9" t="str">
        <f t="shared" si="51"/>
        <v>Fines de semana</v>
      </c>
      <c r="AK145" s="9" t="str">
        <f t="shared" si="52"/>
        <v>Correo electrónico</v>
      </c>
    </row>
    <row r="146" spans="1:37">
      <c r="A146" t="str">
        <f t="shared" si="53"/>
        <v>SG145</v>
      </c>
      <c r="B146" t="s">
        <v>418</v>
      </c>
      <c r="C146" s="9" t="s">
        <v>427</v>
      </c>
      <c r="D146" t="str">
        <f t="shared" si="36"/>
        <v>Masculino</v>
      </c>
      <c r="E146" t="str">
        <f t="shared" si="37"/>
        <v>De 26 a 28 años</v>
      </c>
      <c r="F146">
        <f t="shared" si="38"/>
        <v>27</v>
      </c>
      <c r="G146" s="9" t="s">
        <v>428</v>
      </c>
      <c r="H146" s="9" t="str">
        <f t="shared" si="39"/>
        <v>Posgrado</v>
      </c>
      <c r="I146" s="9" t="str">
        <f t="shared" si="40"/>
        <v>Trabajo actualmente como empleado</v>
      </c>
      <c r="J146" s="13" t="str">
        <f>IF(I146="Trabajo actualmente como empleado",IF(MOD((COUNTIF($I$2:I146,"Trabajo actualmente como empleado")-1)*37,150)&lt;100,"Empleado con contrato","Empleado sin contrato formal"),IF(I146="Trabajo de manera independiente","Trabajo independiente",""))</f>
        <v>Empleado con contrato</v>
      </c>
      <c r="K146" s="9" t="str">
        <f>IF(OR(I146="Trabajo actualmente como empleado",I146="Trabajo de manera independiente"),CHOOSE(MOD(COUNTIF($I$2:I146,I146)-1,4)+1,"Menos de 3 meses","De 3 a 6 meses","De 7 a 12 meses","Más de un año"),"")</f>
        <v>Más de un año</v>
      </c>
      <c r="L146" t="str">
        <f>IF(OR(I146="Trabajo actualmente como empleado",I146="Trabajo de manera independiente"),CHOOSE(MOD(COUNTIF($I$2:I146,I146)-1,3)+1,"Sí, completamente","Parcialmente","No"),"")</f>
        <v>No</v>
      </c>
      <c r="M146" t="str">
        <f>IF(OR(I146="Trabajo actualmente como empleado",I146="Trabajo de manera independiente"),CHOOSE(MOD(INT((COUNTIF($I$2:I146,I146)-1)/3),4)+1,"1- Muy satisfecho/a","2- Satisfecho/a","3- Insatisfecho/a","4- Muy insatisfecho/a"),"")</f>
        <v>4- Muy insatisfecho/a</v>
      </c>
      <c r="N146" t="str">
        <f>IF(OR(I146="Trabajo actualmente como empleado",I146="Trabajo de manera independiente"),_xlfn.LET(_xlpm.opcion,MOD(INT((COUNTIF($I$2:I146,I146)-1)/5),6)+1,CHOOSE(IF(AND(_xlpm.opcion=6,L146="Sí, completamente"),5,_xlpm.opcion),"Salario","Estabilidad laboral","Horario","Acceso a prestaciones","Oportunidades de crecimiento","Trabajar en un área relacionada con mi formación")),"")</f>
        <v>Acceso a prestaciones</v>
      </c>
      <c r="O146" s="9" t="str">
        <f>IF(OR(I146="Trabajo actualmente como empleado",I146="Trabajo de manera independiente"),_xlfn.LET(_xlpm.turno,MOD(COUNTIF($I$2:I146,I146)-1,5),_xlpm.nivel,VALUE(LEFT(M146,1)),IF(_xlpm.turno=4,"No estoy seguro/a",IF(_xlpm.turno&lt;IF(_xlpm.nivel&lt;=2,1,3),"Sí","No"))),"")</f>
        <v>Sí</v>
      </c>
      <c r="P146" s="9" t="str">
        <f>_xlfn.LET(_xlpm.perfil,I146,_xlpm.turno,COUNTIF($I$2:I146,_xlpm.perfil)-1,_xlpm.busca,OR(_xlpm.perfil="Actualmente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trabajar"),IF(AND(_xlpm.trabaja,O146="No"),"Todavía no he iniciado una búsqueda activa",CHOOSE(MOD(_xlpm.turno*3,5)+1,"Menos de 1 mes","Entre 1 y 3 meses","Entre 4 y 6 meses","Más de 6 meses","Todavía no he iniciado una búsqueda activa")),"")))</f>
        <v>Entre 1 y 3 meses</v>
      </c>
      <c r="Q146" t="str">
        <f>IF(I146="Tengo un emprendimiento o quiero iniciar uno","",CHOOSE(MOD(INT((COUNTIF($I$2:I146,I146)-1)/7),3)+1,"Sí","No","Tengo una pero necesito actualizarla"))</f>
        <v>Sí</v>
      </c>
      <c r="R146" s="9" t="str">
        <f>IF(I146="Tengo un emprendimiento o quiero iniciar uno","",IF(I146="Busco mi primer empleo","No",IF(MOD(COUNTIF($I$2:I146,I146)-1,2)=0,"Sí","No")))</f>
        <v>No</v>
      </c>
      <c r="S146" t="str">
        <f>IF(I146="Tengo un emprendimiento o quiero iniciar uno","",CHOOSE(MOD(INT((COUNTIF($I$2:I146,I146)-1)/3),10)+1,"Portales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46" t="str">
        <f>IF(I146="Tengo un emprendimiento o quiero iniciar uno","",_xlfn.LET(_xlpm.opcion,MOD(INT((COUNTIF($I$2:I146,I146)-1)/4),6)+1,CHOOSE(IF(AND(_xlpm.opcion=3,Q146="Sí"),1,_xlpm.opcion),"Falta de experiencia","Falta de formación","Dificultades con la hoja de vida","Horarios disponibles","Transporte","Internet")))</f>
        <v>Internet</v>
      </c>
      <c r="U146" s="9" t="str">
        <f>IF(I146="Tengo un emprendimiento o quiero iniciar uno","",IF(MOD(INT((COUNTIF($I$2:I146,I146)-1)/3),2)=0,"Sí","No"))</f>
        <v>No</v>
      </c>
      <c r="V146" s="9" t="str">
        <f>IF(I146="Tengo un emprendimiento o quiero iniciar uno",CHOOSE(MOD(COUNTIF($I$2:I146,I146)-1,3)+1,"Tengo un emprendimiento","Estoy iniciando un emprendimiento","Me interesa emprender"),"")</f>
        <v/>
      </c>
      <c r="W146" t="str">
        <f t="shared" si="41"/>
        <v/>
      </c>
      <c r="X146" s="9" t="str">
        <f>IF(I146="Tengo un emprendimiento o quiero iniciar uno",CHOOSE(MOD(COUNTIF($I$2:I146,I146)-1,5)+1,"Falta de financiación","Falta de conocimientos administrativos","Falta de conocimientos financieros","Falta de tiempo","Falta de herramientas"),"")</f>
        <v/>
      </c>
      <c r="Y146" s="9" t="str">
        <f t="shared" si="42"/>
        <v/>
      </c>
      <c r="Z146" t="str">
        <f>IF(I146="Tengo un emprendimiento o quiero iniciar uno",CHOOSE(INT(MOD((COUNTIF($I$2:I146,I146)-1)*7,39)/13)+1,"Sí","No","No conozco programas de ese tipo"),"")</f>
        <v/>
      </c>
      <c r="AA146" t="str">
        <f t="shared" si="43"/>
        <v>Puedo hacerlo con ayuda</v>
      </c>
      <c r="AB146" t="str">
        <f t="shared" si="43"/>
        <v>Puedo hacerlo con ayuda</v>
      </c>
      <c r="AC146" t="str">
        <f t="shared" si="44"/>
        <v>Puedo hacerlo con ayuda</v>
      </c>
      <c r="AD146" s="9" t="str">
        <f t="shared" si="45"/>
        <v>No puedo hacerlo</v>
      </c>
      <c r="AE146" t="str">
        <f t="shared" si="46"/>
        <v>Puedo hacerlo con ayuda</v>
      </c>
      <c r="AF146" s="9" t="str">
        <f t="shared" si="47"/>
        <v>Crear una hoja de vida;Preparación para entrevista</v>
      </c>
      <c r="AG146" s="9" t="str">
        <f t="shared" si="48"/>
        <v>Falta de experiencia</v>
      </c>
      <c r="AH146" t="str">
        <f t="shared" si="49"/>
        <v>No conozco ninguno</v>
      </c>
      <c r="AI146" s="9" t="str">
        <f t="shared" si="50"/>
        <v>Virtual</v>
      </c>
      <c r="AJ146" s="9" t="str">
        <f t="shared" si="51"/>
        <v>Diurno</v>
      </c>
      <c r="AK146" s="9" t="str">
        <f t="shared" si="52"/>
        <v>Redes sociales</v>
      </c>
    </row>
    <row r="147" spans="1:37">
      <c r="A147" t="str">
        <f t="shared" si="53"/>
        <v>SG146</v>
      </c>
      <c r="B147" t="s">
        <v>418</v>
      </c>
      <c r="C147" s="9" t="s">
        <v>427</v>
      </c>
      <c r="D147" t="str">
        <f t="shared" si="36"/>
        <v>Masculino</v>
      </c>
      <c r="E147" t="str">
        <f t="shared" si="37"/>
        <v>De 18 a 20 años</v>
      </c>
      <c r="F147">
        <f t="shared" si="38"/>
        <v>19</v>
      </c>
      <c r="G147" s="9" t="s">
        <v>428</v>
      </c>
      <c r="H147" s="9" t="str">
        <f t="shared" si="39"/>
        <v>Bachiller</v>
      </c>
      <c r="I147" s="9" t="str">
        <f t="shared" si="40"/>
        <v>Trabajo de manera independiente</v>
      </c>
      <c r="J147" s="13" t="str">
        <f>IF(I147="Trabajo actualmente como empleado",IF(MOD((COUNTIF($I$2:I147,"Trabajo actualmente como empleado")-1)*37,150)&lt;100,"Empleado con contrato","Empleado sin contrato formal"),IF(I147="Trabajo de manera independiente","Trabajo independiente",""))</f>
        <v>Trabajo independiente</v>
      </c>
      <c r="K147" s="9" t="str">
        <f>IF(OR(I147="Trabajo actualmente como empleado",I147="Trabajo de manera independiente"),CHOOSE(MOD(COUNTIF($I$2:I147,I147)-1,4)+1,"Menos de 3 meses","De 3 a 6 meses","De 7 a 12 meses","Más de un año"),"")</f>
        <v>Menos de 3 meses</v>
      </c>
      <c r="L147" t="str">
        <f>IF(OR(I147="Trabajo actualmente como empleado",I147="Trabajo de manera independiente"),CHOOSE(MOD(COUNTIF($I$2:I147,I147)-1,3)+1,"Sí, completamente","Parcialmente","No"),"")</f>
        <v>Sí, completamente</v>
      </c>
      <c r="M147" t="str">
        <f>IF(OR(I147="Trabajo actualmente como empleado",I147="Trabajo de manera independiente"),CHOOSE(MOD(INT((COUNTIF($I$2:I147,I147)-1)/3),4)+1,"1- Muy satisfecho/a","2- Satisfecho/a","3- Insatisfecho/a","4- Muy insatisfecho/a"),"")</f>
        <v>1- Muy satisfecho/a</v>
      </c>
      <c r="N147" t="str">
        <f>IF(OR(I147="Trabajo actualmente como empleado",I147="Trabajo de manera independiente"),_xlfn.LET(_xlpm.opcion,MOD(INT((COUNTIF($I$2:I147,I147)-1)/5),6)+1,CHOOSE(IF(AND(_xlpm.opcion=6,L147="Sí, completamente"),5,_xlpm.opcion),"Salario","Estabilidad laboral","Horario","Acceso a prestaciones","Oportunidades de crecimiento","Trabajar en un área relacionada con mi formación")),"")</f>
        <v>Oportunidades de crecimiento</v>
      </c>
      <c r="O147" s="9" t="str">
        <f>IF(OR(I147="Trabajo actualmente como empleado",I147="Trabajo de manera independiente"),_xlfn.LET(_xlpm.turno,MOD(COUNTIF($I$2:I147,I147)-1,5),_xlpm.nivel,VALUE(LEFT(M147,1)),IF(_xlpm.turno=4,"No estoy seguro/a",IF(_xlpm.turno&lt;IF(_xlpm.nivel&lt;=2,1,3),"Sí","No"))),"")</f>
        <v>No estoy seguro/a</v>
      </c>
      <c r="P147" s="9" t="str">
        <f>_xlfn.LET(_xlpm.perfil,I147,_xlpm.turno,COUNTIF($I$2:I147,_xlpm.perfil)-1,_xlpm.busca,OR(_xlpm.perfil="Actualmente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trabajar"),IF(AND(_xlpm.trabaja,O147="No"),"Todavía no he iniciado una búsqueda activa",CHOOSE(MOD(_xlpm.turno*3,5)+1,"Menos de 1 mes","Entre 1 y 3 meses","Entre 4 y 6 meses","Más de 6 meses","Todavía no he iniciado una búsqueda activa")),"")))</f>
        <v>Entre 4 y 6 meses</v>
      </c>
      <c r="Q147" t="str">
        <f>IF(I147="Tengo un emprendimiento o quiero iniciar uno","",CHOOSE(MOD(INT((COUNTIF($I$2:I147,I147)-1)/7),3)+1,"Sí","No","Tengo una pero necesito actualizarla"))</f>
        <v>Sí</v>
      </c>
      <c r="R147" s="9" t="str">
        <f>IF(I147="Tengo un emprendimiento o quiero iniciar uno","",IF(I147="Busco mi primer empleo","No",IF(MOD(COUNTIF($I$2:I147,I147)-1,2)=0,"Sí","No")))</f>
        <v>Sí</v>
      </c>
      <c r="S147" t="str">
        <f>IF(I147="Tengo un emprendimiento o quiero iniciar uno","",CHOOSE(MOD(INT((COUNTIF($I$2:I147,I147)-1)/3),10)+1,"Portales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47" t="str">
        <f>IF(I147="Tengo un emprendimiento o quiero iniciar uno","",_xlfn.LET(_xlpm.opcion,MOD(INT((COUNTIF($I$2:I147,I147)-1)/4),6)+1,CHOOSE(IF(AND(_xlpm.opcion=3,Q147="Sí"),1,_xlpm.opcion),"Falta de experiencia","Falta de formación","Dificultades con la hoja de vida","Horarios disponibles","Transporte","Internet")))</f>
        <v>Falta de experiencia</v>
      </c>
      <c r="U147" s="9" t="str">
        <f>IF(I147="Tengo un emprendimiento o quiero iniciar uno","",IF(MOD(INT((COUNTIF($I$2:I147,I147)-1)/3),2)=0,"Sí","No"))</f>
        <v>Sí</v>
      </c>
      <c r="V147" s="9" t="str">
        <f>IF(I147="Tengo un emprendimiento o quiero iniciar uno",CHOOSE(MOD(COUNTIF($I$2:I147,I147)-1,3)+1,"Tengo un emprendimiento","Estoy iniciando un emprendimiento","Me interesa emprender"),"")</f>
        <v/>
      </c>
      <c r="W147" t="str">
        <f t="shared" si="41"/>
        <v/>
      </c>
      <c r="X147" s="9" t="str">
        <f>IF(I147="Tengo un emprendimiento o quiero iniciar uno",CHOOSE(MOD(COUNTIF($I$2:I147,I147)-1,5)+1,"Falta de financiación","Falta de conocimientos administrativos","Falta de conocimientos financieros","Falta de tiempo","Falta de herramientas"),"")</f>
        <v/>
      </c>
      <c r="Y147" s="9" t="str">
        <f t="shared" si="42"/>
        <v/>
      </c>
      <c r="Z147" t="str">
        <f>IF(I147="Tengo un emprendimiento o quiero iniciar uno",CHOOSE(INT(MOD((COUNTIF($I$2:I147,I147)-1)*7,39)/13)+1,"Sí","No","No conozco programas de ese tipo"),"")</f>
        <v/>
      </c>
      <c r="AA147" t="str">
        <f t="shared" si="43"/>
        <v>Puedo hacerlo sin ayuda</v>
      </c>
      <c r="AB147" t="str">
        <f t="shared" si="43"/>
        <v>Puedo hacerlo sin ayuda</v>
      </c>
      <c r="AC147" t="str">
        <f t="shared" si="44"/>
        <v>Puedo hacerlo con dificultad</v>
      </c>
      <c r="AD147" s="9" t="str">
        <f t="shared" si="45"/>
        <v>No puedo hacerlo</v>
      </c>
      <c r="AE147" t="str">
        <f t="shared" si="46"/>
        <v>Puedo hacerlo con ayuda</v>
      </c>
      <c r="AF147" s="9" t="str">
        <f t="shared" si="47"/>
        <v>Comunicación;Liderazgo</v>
      </c>
      <c r="AG147" s="9" t="str">
        <f t="shared" si="48"/>
        <v>Falta de experiencia</v>
      </c>
      <c r="AH147" t="str">
        <f t="shared" si="49"/>
        <v>Ferias de empleo</v>
      </c>
      <c r="AI147" s="9" t="str">
        <f t="shared" si="50"/>
        <v>Presencial y virtual</v>
      </c>
      <c r="AJ147" s="9" t="str">
        <f t="shared" si="51"/>
        <v>Mañana entre semana</v>
      </c>
      <c r="AK147" s="9" t="str">
        <f t="shared" si="52"/>
        <v>WhatsApp</v>
      </c>
    </row>
    <row r="148" spans="1:37">
      <c r="A148" t="str">
        <f t="shared" si="53"/>
        <v>SG147</v>
      </c>
      <c r="B148" t="s">
        <v>418</v>
      </c>
      <c r="C148" s="9" t="s">
        <v>427</v>
      </c>
      <c r="D148" t="str">
        <f t="shared" si="36"/>
        <v>Femenino</v>
      </c>
      <c r="E148" t="str">
        <f t="shared" si="37"/>
        <v>De 20 a 22 años</v>
      </c>
      <c r="F148">
        <f t="shared" si="38"/>
        <v>21</v>
      </c>
      <c r="G148" s="9" t="s">
        <v>428</v>
      </c>
      <c r="H148" s="9" t="str">
        <f t="shared" si="39"/>
        <v>Bachiller</v>
      </c>
      <c r="I148" s="9" t="str">
        <f t="shared" si="40"/>
        <v>Busco mi primer empleo</v>
      </c>
      <c r="J148" s="13" t="str">
        <f>IF(I148="Trabajo actualmente como empleado",IF(MOD((COUNTIF($I$2:I148,"Trabajo actualmente como empleado")-1)*37,150)&lt;100,"Empleado con contrato","Empleado sin contrato formal"),IF(I148="Trabajo de manera independiente","Trabajo independiente",""))</f>
        <v/>
      </c>
      <c r="K148" s="9" t="str">
        <f>IF(OR(I148="Trabajo actualmente como empleado",I148="Trabajo de manera independiente"),CHOOSE(MOD(COUNTIF($I$2:I148,I148)-1,4)+1,"Menos de 3 meses","De 3 a 6 meses","De 7 a 12 meses","Más de un año"),"")</f>
        <v/>
      </c>
      <c r="L148" t="str">
        <f>IF(OR(I148="Trabajo actualmente como empleado",I148="Trabajo de manera independiente"),CHOOSE(MOD(COUNTIF($I$2:I148,I148)-1,3)+1,"Sí, completamente","Parcialmente","No"),"")</f>
        <v/>
      </c>
      <c r="M148" t="str">
        <f>IF(OR(I148="Trabajo actualmente como empleado",I148="Trabajo de manera independiente"),CHOOSE(MOD(INT((COUNTIF($I$2:I148,I148)-1)/3),4)+1,"1- Muy satisfecho/a","2- Satisfecho/a","3- Insatisfecho/a","4- Muy insatisfecho/a"),"")</f>
        <v/>
      </c>
      <c r="N148" t="str">
        <f>IF(OR(I148="Trabajo actualmente como empleado",I148="Trabajo de manera independiente"),_xlfn.LET(_xlpm.opcion,MOD(INT((COUNTIF($I$2:I148,I148)-1)/5),6)+1,CHOOSE(IF(AND(_xlpm.opcion=6,L148="Sí, completamente"),5,_xlpm.opcion),"Salario","Estabilidad laboral","Horario","Acceso a prestaciones","Oportunidades de crecimiento","Trabajar en un área relacionada con mi formación")),"")</f>
        <v/>
      </c>
      <c r="O148" s="9" t="str">
        <f>IF(OR(I148="Trabajo actualmente como empleado",I148="Trabajo de manera independiente"),_xlfn.LET(_xlpm.turno,MOD(COUNTIF($I$2:I148,I148)-1,5),_xlpm.nivel,VALUE(LEFT(M148,1)),IF(_xlpm.turno=4,"No estoy seguro/a",IF(_xlpm.turno&lt;IF(_xlpm.nivel&lt;=2,1,3),"Sí","No"))),"")</f>
        <v/>
      </c>
      <c r="P148" s="9" t="str">
        <f>_xlfn.LET(_xlpm.perfil,I148,_xlpm.turno,COUNTIF($I$2:I148,_xlpm.perfil)-1,_xlpm.busca,OR(_xlpm.perfil="Actualmente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trabajar"),IF(AND(_xlpm.trabaja,O148="No"),"Todavía no he iniciado una búsqueda activa",CHOOSE(MOD(_xlpm.turno*3,5)+1,"Menos de 1 mes","Entre 1 y 3 meses","Entre 4 y 6 meses","Más de 6 meses","Todavía no he iniciado una búsqueda activa")),"")))</f>
        <v>Menos de 1 mes</v>
      </c>
      <c r="Q148" t="str">
        <f>IF(I148="Tengo un emprendimiento o quiero iniciar uno","",CHOOSE(MOD(INT((COUNTIF($I$2:I148,I148)-1)/7),3)+1,"Sí","No","Tengo una pero necesito actualizarla"))</f>
        <v>Tengo una pero necesito actualizarla</v>
      </c>
      <c r="R148" s="9" t="str">
        <f>IF(I148="Tengo un emprendimiento o quiero iniciar uno","",IF(I148="Busco mi primer empleo","No",IF(MOD(COUNTIF($I$2:I148,I148)-1,2)=0,"Sí","No")))</f>
        <v>No</v>
      </c>
      <c r="S148" t="str">
        <f>IF(I148="Tengo un emprendimiento o quiero iniciar uno","",CHOOSE(MOD(INT((COUNTIF($I$2:I148,I148)-1)/3),10)+1,"Portales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48" t="str">
        <f>IF(I148="Tengo un emprendimiento o quiero iniciar uno","",_xlfn.LET(_xlpm.opcion,MOD(INT((COUNTIF($I$2:I148,I148)-1)/4),6)+1,CHOOSE(IF(AND(_xlpm.opcion=3,Q148="Sí"),1,_xlpm.opcion),"Falta de experiencia","Falta de formación","Dificultades con la hoja de vida","Horarios disponibles","Transporte","Internet")))</f>
        <v>Internet</v>
      </c>
      <c r="U148" s="9" t="str">
        <f>IF(I148="Tengo un emprendimiento o quiero iniciar uno","",IF(MOD(INT((COUNTIF($I$2:I148,I148)-1)/3),2)=0,"Sí","No"))</f>
        <v>Sí</v>
      </c>
      <c r="V148" s="9" t="str">
        <f>IF(I148="Tengo un emprendimiento o quiero iniciar uno",CHOOSE(MOD(COUNTIF($I$2:I148,I148)-1,3)+1,"Tengo un emprendimiento","Estoy iniciando un emprendimiento","Me interesa emprender"),"")</f>
        <v/>
      </c>
      <c r="W148" t="str">
        <f t="shared" si="41"/>
        <v/>
      </c>
      <c r="X148" s="9" t="str">
        <f>IF(I148="Tengo un emprendimiento o quiero iniciar uno",CHOOSE(MOD(COUNTIF($I$2:I148,I148)-1,5)+1,"Falta de financiación","Falta de conocimientos administrativos","Falta de conocimientos financieros","Falta de tiempo","Falta de herramientas"),"")</f>
        <v/>
      </c>
      <c r="Y148" s="9" t="str">
        <f t="shared" si="42"/>
        <v/>
      </c>
      <c r="Z148" t="str">
        <f>IF(I148="Tengo un emprendimiento o quiero iniciar uno",CHOOSE(INT(MOD((COUNTIF($I$2:I148,I148)-1)*7,39)/13)+1,"Sí","No","No conozco programas de ese tipo"),"")</f>
        <v/>
      </c>
      <c r="AA148" t="str">
        <f t="shared" si="43"/>
        <v>No puedo hacerlo</v>
      </c>
      <c r="AB148" t="str">
        <f t="shared" si="43"/>
        <v>No puedo hacerlo</v>
      </c>
      <c r="AC148" t="str">
        <f t="shared" si="44"/>
        <v>No puedo hacerlo</v>
      </c>
      <c r="AD148" s="9" t="str">
        <f t="shared" si="45"/>
        <v>Puedo hacerlo con ayuda</v>
      </c>
      <c r="AE148" t="str">
        <f t="shared" si="46"/>
        <v>Puedo hacerlo con dificultad</v>
      </c>
      <c r="AF148" s="9" t="str">
        <f t="shared" si="47"/>
        <v>Herramientas digitales;Educación financiera</v>
      </c>
      <c r="AG148" s="9" t="str">
        <f t="shared" si="48"/>
        <v>Falta de experiencia</v>
      </c>
      <c r="AH148" t="str">
        <f t="shared" si="49"/>
        <v>No conozco ninguno</v>
      </c>
      <c r="AI148" s="9" t="str">
        <f t="shared" si="50"/>
        <v>Me es indiferente</v>
      </c>
      <c r="AJ148" s="9" t="str">
        <f t="shared" si="51"/>
        <v>Fines de semana</v>
      </c>
      <c r="AK148" s="9" t="str">
        <f t="shared" si="52"/>
        <v>Correo electrónico</v>
      </c>
    </row>
    <row r="149" spans="1:37">
      <c r="A149" t="str">
        <f t="shared" si="53"/>
        <v>SG148</v>
      </c>
      <c r="B149" t="s">
        <v>418</v>
      </c>
      <c r="C149" s="9" t="s">
        <v>427</v>
      </c>
      <c r="D149" t="str">
        <f t="shared" si="36"/>
        <v>Masculino</v>
      </c>
      <c r="E149" t="str">
        <f t="shared" si="37"/>
        <v>De 22 a 24 años</v>
      </c>
      <c r="F149">
        <f t="shared" si="38"/>
        <v>23</v>
      </c>
      <c r="G149" s="9" t="s">
        <v>428</v>
      </c>
      <c r="H149" s="9" t="str">
        <f t="shared" si="39"/>
        <v>Bachiller</v>
      </c>
      <c r="I149" s="9" t="str">
        <f t="shared" si="40"/>
        <v>Trabajo actualmente como empleado</v>
      </c>
      <c r="J149" s="13" t="str">
        <f>IF(I149="Trabajo actualmente como empleado",IF(MOD((COUNTIF($I$2:I149,"Trabajo actualmente como empleado")-1)*37,150)&lt;100,"Empleado con contrato","Empleado sin contrato formal"),IF(I149="Trabajo de manera independiente","Trabajo independiente",""))</f>
        <v>Empleado sin contrato formal</v>
      </c>
      <c r="K149" s="9" t="str">
        <f>IF(OR(I149="Trabajo actualmente como empleado",I149="Trabajo de manera independiente"),CHOOSE(MOD(COUNTIF($I$2:I149,I149)-1,4)+1,"Menos de 3 meses","De 3 a 6 meses","De 7 a 12 meses","Más de un año"),"")</f>
        <v>Menos de 3 meses</v>
      </c>
      <c r="L149" t="str">
        <f>IF(OR(I149="Trabajo actualmente como empleado",I149="Trabajo de manera independiente"),CHOOSE(MOD(COUNTIF($I$2:I149,I149)-1,3)+1,"Sí, completamente","Parcialmente","No"),"")</f>
        <v>Sí, completamente</v>
      </c>
      <c r="M149" t="str">
        <f>IF(OR(I149="Trabajo actualmente como empleado",I149="Trabajo de manera independiente"),CHOOSE(MOD(INT((COUNTIF($I$2:I149,I149)-1)/3),4)+1,"1- Muy satisfecho/a","2- Satisfecho/a","3- Insatisfecho/a","4- Muy insatisfecho/a"),"")</f>
        <v>1- Muy satisfecho/a</v>
      </c>
      <c r="N149" t="str">
        <f>IF(OR(I149="Trabajo actualmente como empleado",I149="Trabajo de manera independiente"),_xlfn.LET(_xlpm.opcion,MOD(INT((COUNTIF($I$2:I149,I149)-1)/5),6)+1,CHOOSE(IF(AND(_xlpm.opcion=6,L149="Sí, completamente"),5,_xlpm.opcion),"Salario","Estabilidad laboral","Horario","Acceso a prestaciones","Oportunidades de crecimiento","Trabajar en un área relacionada con mi formación")),"")</f>
        <v>Acceso a prestaciones</v>
      </c>
      <c r="O149" s="9" t="str">
        <f>IF(OR(I149="Trabajo actualmente como empleado",I149="Trabajo de manera independiente"),_xlfn.LET(_xlpm.turno,MOD(COUNTIF($I$2:I149,I149)-1,5),_xlpm.nivel,VALUE(LEFT(M149,1)),IF(_xlpm.turno=4,"No estoy seguro/a",IF(_xlpm.turno&lt;IF(_xlpm.nivel&lt;=2,1,3),"Sí","No"))),"")</f>
        <v>No</v>
      </c>
      <c r="P149" s="9" t="str">
        <f>_xlfn.LET(_xlpm.perfil,I149,_xlpm.turno,COUNTIF($I$2:I149,_xlpm.perfil)-1,_xlpm.busca,OR(_xlpm.perfil="Actualmente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trabajar"),IF(AND(_xlpm.trabaja,O149="No"),"Todavía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49" t="str">
        <f>IF(I149="Tengo un emprendimiento o quiero iniciar uno","",CHOOSE(MOD(INT((COUNTIF($I$2:I149,I149)-1)/7),3)+1,"Sí","No","Tengo una pero necesito actualizarla"))</f>
        <v>Sí</v>
      </c>
      <c r="R149" s="9" t="str">
        <f>IF(I149="Tengo un emprendimiento o quiero iniciar uno","",IF(I149="Busco mi primer empleo","No",IF(MOD(COUNTIF($I$2:I149,I149)-1,2)=0,"Sí","No")))</f>
        <v>Sí</v>
      </c>
      <c r="S149" t="str">
        <f>IF(I149="Tengo un emprendimiento o quiero iniciar uno","",CHOOSE(MOD(INT((COUNTIF($I$2:I149,I149)-1)/3),10)+1,"Portales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49" t="str">
        <f>IF(I149="Tengo un emprendimiento o quiero iniciar uno","",_xlfn.LET(_xlpm.opcion,MOD(INT((COUNTIF($I$2:I149,I149)-1)/4),6)+1,CHOOSE(IF(AND(_xlpm.opcion=3,Q149="Sí"),1,_xlpm.opcion),"Falta de experiencia","Falta de formación","Dificultades con la hoja de vida","Horarios disponibles","Transporte","Internet")))</f>
        <v>Falta de experiencia</v>
      </c>
      <c r="U149" s="9" t="str">
        <f>IF(I149="Tengo un emprendimiento o quiero iniciar uno","",IF(MOD(INT((COUNTIF($I$2:I149,I149)-1)/3),2)=0,"Sí","No"))</f>
        <v>Sí</v>
      </c>
      <c r="V149" s="9" t="str">
        <f>IF(I149="Tengo un emprendimiento o quiero iniciar uno",CHOOSE(MOD(COUNTIF($I$2:I149,I149)-1,3)+1,"Tengo un emprendimiento","Estoy iniciando un emprendimiento","Me interesa emprender"),"")</f>
        <v/>
      </c>
      <c r="W149" t="str">
        <f t="shared" si="41"/>
        <v/>
      </c>
      <c r="X149" s="9" t="str">
        <f>IF(I149="Tengo un emprendimiento o quiero iniciar uno",CHOOSE(MOD(COUNTIF($I$2:I149,I149)-1,5)+1,"Falta de financiación","Falta de conocimientos administrativos","Falta de conocimientos financieros","Falta de tiempo","Falta de herramientas"),"")</f>
        <v/>
      </c>
      <c r="Y149" s="9" t="str">
        <f t="shared" si="42"/>
        <v/>
      </c>
      <c r="Z149" t="str">
        <f>IF(I149="Tengo un emprendimiento o quiero iniciar uno",CHOOSE(INT(MOD((COUNTIF($I$2:I149,I149)-1)*7,39)/13)+1,"Sí","No","No conozco programas de ese tipo"),"")</f>
        <v/>
      </c>
      <c r="AA149" t="str">
        <f t="shared" si="43"/>
        <v>Puedo hacerlo con dificultad</v>
      </c>
      <c r="AB149" t="str">
        <f t="shared" si="43"/>
        <v>Puedo hacerlo con dificultad</v>
      </c>
      <c r="AC149" t="str">
        <f t="shared" si="44"/>
        <v>Puedo hacerlo con ayuda</v>
      </c>
      <c r="AD149" s="9" t="str">
        <f t="shared" si="45"/>
        <v>Puedo hacerlo con dificultad</v>
      </c>
      <c r="AE149" t="str">
        <f t="shared" si="46"/>
        <v>Puedo hacerlo sin ayuda</v>
      </c>
      <c r="AF149" s="9" t="str">
        <f t="shared" si="47"/>
        <v>Crear una hoja de vida</v>
      </c>
      <c r="AG149" s="9" t="str">
        <f t="shared" si="48"/>
        <v>Distancia</v>
      </c>
      <c r="AH149" t="str">
        <f t="shared" si="49"/>
        <v>Oficina de orientación laboral</v>
      </c>
      <c r="AI149" s="9" t="str">
        <f t="shared" si="50"/>
        <v>Presencial</v>
      </c>
      <c r="AJ149" s="9" t="str">
        <f t="shared" si="51"/>
        <v>Diurno</v>
      </c>
      <c r="AK149" s="9" t="str">
        <f t="shared" si="52"/>
        <v>Celular</v>
      </c>
    </row>
    <row r="150" spans="1:37">
      <c r="A150" t="str">
        <f t="shared" si="53"/>
        <v>SG149</v>
      </c>
      <c r="B150" t="s">
        <v>418</v>
      </c>
      <c r="C150" s="9" t="s">
        <v>427</v>
      </c>
      <c r="D150" t="str">
        <f t="shared" si="36"/>
        <v>Masculino</v>
      </c>
      <c r="E150" t="str">
        <f t="shared" si="37"/>
        <v>De 24 a 26 años</v>
      </c>
      <c r="F150">
        <f t="shared" si="38"/>
        <v>25</v>
      </c>
      <c r="G150" s="9" t="s">
        <v>428</v>
      </c>
      <c r="H150" s="9" t="str">
        <f t="shared" si="39"/>
        <v>Técnico</v>
      </c>
      <c r="I150" s="9" t="str">
        <f t="shared" si="40"/>
        <v>Trabajo de manera independiente</v>
      </c>
      <c r="J150" s="13" t="str">
        <f>IF(I150="Trabajo actualmente como empleado",IF(MOD((COUNTIF($I$2:I150,"Trabajo actualmente como empleado")-1)*37,150)&lt;100,"Empleado con contrato","Empleado sin contrato formal"),IF(I150="Trabajo de manera independiente","Trabajo independiente",""))</f>
        <v>Trabajo independiente</v>
      </c>
      <c r="K150" s="9" t="str">
        <f>IF(OR(I150="Trabajo actualmente como empleado",I150="Trabajo de manera independiente"),CHOOSE(MOD(COUNTIF($I$2:I150,I150)-1,4)+1,"Menos de 3 meses","De 3 a 6 meses","De 7 a 12 meses","Más de un año"),"")</f>
        <v>De 3 a 6 meses</v>
      </c>
      <c r="L150" t="str">
        <f>IF(OR(I150="Trabajo actualmente como empleado",I150="Trabajo de manera independiente"),CHOOSE(MOD(COUNTIF($I$2:I150,I150)-1,3)+1,"Sí, completamente","Parcialmente","No"),"")</f>
        <v>Parcialmente</v>
      </c>
      <c r="M150" t="str">
        <f>IF(OR(I150="Trabajo actualmente como empleado",I150="Trabajo de manera independiente"),CHOOSE(MOD(INT((COUNTIF($I$2:I150,I150)-1)/3),4)+1,"1- Muy satisfecho/a","2- Satisfecho/a","3- Insatisfecho/a","4- Muy insatisfecho/a"),"")</f>
        <v>1- Muy satisfecho/a</v>
      </c>
      <c r="N150" t="str">
        <f>IF(OR(I150="Trabajo actualmente como empleado",I150="Trabajo de manera independiente"),_xlfn.LET(_xlpm.opcion,MOD(INT((COUNTIF($I$2:I150,I150)-1)/5),6)+1,CHOOSE(IF(AND(_xlpm.opcion=6,L150="Sí,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50" s="9" t="str">
        <f>IF(OR(I150="Trabajo actualmente como empleado",I150="Trabajo de manera independiente"),_xlfn.LET(_xlpm.turno,MOD(COUNTIF($I$2:I150,I150)-1,5),_xlpm.nivel,VALUE(LEFT(M150,1)),IF(_xlpm.turno=4,"No estoy seguro/a",IF(_xlpm.turno&lt;IF(_xlpm.nivel&lt;=2,1,3),"Sí","No"))),"")</f>
        <v>Sí</v>
      </c>
      <c r="P150" s="9" t="str">
        <f>_xlfn.LET(_xlpm.perfil,I150,_xlpm.turno,COUNTIF($I$2:I150,_xlpm.perfil)-1,_xlpm.busca,OR(_xlpm.perfil="Actualmente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trabajar"),IF(AND(_xlpm.trabaja,O150="No"),"Todavía no he iniciado una búsqueda activa",CHOOSE(MOD(_xlpm.turno*3,5)+1,"Menos de 1 mes","Entre 1 y 3 meses","Entre 4 y 6 meses","Más de 6 meses","Todavía no he iniciado una búsqueda activa")),"")))</f>
        <v>Menos de 1 mes</v>
      </c>
      <c r="Q150" t="str">
        <f>IF(I150="Tengo un emprendimiento o quiero iniciar uno","",CHOOSE(MOD(INT((COUNTIF($I$2:I150,I150)-1)/7),3)+1,"Sí","No","Tengo una pero necesito actualizarla"))</f>
        <v>Sí</v>
      </c>
      <c r="R150" s="9" t="str">
        <f>IF(I150="Tengo un emprendimiento o quiero iniciar uno","",IF(I150="Busco mi primer empleo","No",IF(MOD(COUNTIF($I$2:I150,I150)-1,2)=0,"Sí","No")))</f>
        <v>No</v>
      </c>
      <c r="S150" t="str">
        <f>IF(I150="Tengo un emprendimiento o quiero iniciar uno","",CHOOSE(MOD(INT((COUNTIF($I$2:I150,I150)-1)/3),10)+1,"Portales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50" t="str">
        <f>IF(I150="Tengo un emprendimiento o quiero iniciar uno","",_xlfn.LET(_xlpm.opcion,MOD(INT((COUNTIF($I$2:I150,I150)-1)/4),6)+1,CHOOSE(IF(AND(_xlpm.opcion=3,Q150="Sí"),1,_xlpm.opcion),"Falta de experiencia","Falta de formación","Dificultades con la hoja de vida","Horarios disponibles","Transporte","Internet")))</f>
        <v>Falta de experiencia</v>
      </c>
      <c r="U150" s="9" t="str">
        <f>IF(I150="Tengo un emprendimiento o quiero iniciar uno","",IF(MOD(INT((COUNTIF($I$2:I150,I150)-1)/3),2)=0,"Sí","No"))</f>
        <v>Sí</v>
      </c>
      <c r="V150" s="9" t="str">
        <f>IF(I150="Tengo un emprendimiento o quiero iniciar uno",CHOOSE(MOD(COUNTIF($I$2:I150,I150)-1,3)+1,"Tengo un emprendimiento","Estoy iniciando un emprendimiento","Me interesa emprender"),"")</f>
        <v/>
      </c>
      <c r="W150" t="str">
        <f t="shared" si="41"/>
        <v/>
      </c>
      <c r="X150" s="9" t="str">
        <f>IF(I150="Tengo un emprendimiento o quiero iniciar uno",CHOOSE(MOD(COUNTIF($I$2:I150,I150)-1,5)+1,"Falta de financiación","Falta de conocimientos administrativos","Falta de conocimientos financieros","Falta de tiempo","Falta de herramientas"),"")</f>
        <v/>
      </c>
      <c r="Y150" s="9" t="str">
        <f t="shared" si="42"/>
        <v/>
      </c>
      <c r="Z150" t="str">
        <f>IF(I150="Tengo un emprendimiento o quiero iniciar uno",CHOOSE(INT(MOD((COUNTIF($I$2:I150,I150)-1)*7,39)/13)+1,"Sí","No","No conozco programas de ese tipo"),"")</f>
        <v/>
      </c>
      <c r="AA150" t="str">
        <f t="shared" si="43"/>
        <v>No puedo hacerlo</v>
      </c>
      <c r="AB150" t="str">
        <f t="shared" si="43"/>
        <v>No puedo hacerlo</v>
      </c>
      <c r="AC150" t="str">
        <f t="shared" si="44"/>
        <v>Puedo hacerlo con dificultad</v>
      </c>
      <c r="AD150" s="9" t="str">
        <f t="shared" si="45"/>
        <v>Puedo hacerlo sin ayuda</v>
      </c>
      <c r="AE150" t="str">
        <f t="shared" si="46"/>
        <v>Puedo hacerlo sin ayuda</v>
      </c>
      <c r="AF150" s="9" t="str">
        <f t="shared" si="47"/>
        <v>Preparación para entrevista</v>
      </c>
      <c r="AG150" s="9" t="str">
        <f t="shared" si="48"/>
        <v>Distancia</v>
      </c>
      <c r="AH150" t="str">
        <f t="shared" si="49"/>
        <v>Programas de emprendimiento</v>
      </c>
      <c r="AI150" s="9" t="str">
        <f t="shared" si="50"/>
        <v>Virtual</v>
      </c>
      <c r="AJ150" s="9" t="str">
        <f t="shared" si="51"/>
        <v>Mañana entre semana</v>
      </c>
      <c r="AK150" s="9" t="str">
        <f t="shared" si="52"/>
        <v>WhatsApp</v>
      </c>
    </row>
    <row r="151" spans="1:37">
      <c r="A151" t="str">
        <f t="shared" si="53"/>
        <v>SG150</v>
      </c>
      <c r="B151" t="s">
        <v>418</v>
      </c>
      <c r="C151" s="9" t="s">
        <v>427</v>
      </c>
      <c r="D151" t="str">
        <f t="shared" si="36"/>
        <v>Femenino</v>
      </c>
      <c r="E151" t="str">
        <f t="shared" si="37"/>
        <v>De 26 a 28 años</v>
      </c>
      <c r="F151">
        <f t="shared" si="38"/>
        <v>28</v>
      </c>
      <c r="G151" s="9" t="s">
        <v>428</v>
      </c>
      <c r="H151" s="9" t="str">
        <f t="shared" si="39"/>
        <v>Tecnólogo</v>
      </c>
      <c r="I151" s="9" t="str">
        <f t="shared" si="40"/>
        <v>Estudio y quiero comenzar a trabajar</v>
      </c>
      <c r="J151" s="13" t="str">
        <f>IF(I151="Trabajo actualmente como empleado",IF(MOD((COUNTIF($I$2:I151,"Trabajo actualmente como empleado")-1)*37,150)&lt;100,"Empleado con contrato","Empleado sin contrato formal"),IF(I151="Trabajo de manera independiente","Trabajo independiente",""))</f>
        <v/>
      </c>
      <c r="K151" s="9" t="str">
        <f>IF(OR(I151="Trabajo actualmente como empleado",I151="Trabajo de manera independiente"),CHOOSE(MOD(COUNTIF($I$2:I151,I151)-1,4)+1,"Menos de 3 meses","De 3 a 6 meses","De 7 a 12 meses","Más de un año"),"")</f>
        <v/>
      </c>
      <c r="L151" t="str">
        <f>IF(OR(I151="Trabajo actualmente como empleado",I151="Trabajo de manera independiente"),CHOOSE(MOD(COUNTIF($I$2:I151,I151)-1,3)+1,"Sí, completamente","Parcialmente","No"),"")</f>
        <v/>
      </c>
      <c r="M151" t="str">
        <f>IF(OR(I151="Trabajo actualmente como empleado",I151="Trabajo de manera independiente"),CHOOSE(MOD(INT((COUNTIF($I$2:I151,I151)-1)/3),4)+1,"1- Muy satisfecho/a","2- Satisfecho/a","3- Insatisfecho/a","4- Muy insatisfecho/a"),"")</f>
        <v/>
      </c>
      <c r="N151" t="str">
        <f>IF(OR(I151="Trabajo actualmente como empleado",I151="Trabajo de manera independiente"),_xlfn.LET(_xlpm.opcion,MOD(INT((COUNTIF($I$2:I151,I151)-1)/5),6)+1,CHOOSE(IF(AND(_xlpm.opcion=6,L151="Sí, completamente"),5,_xlpm.opcion),"Salario","Estabilidad laboral","Horario","Acceso a prestaciones","Oportunidades de crecimiento","Trabajar en un área relacionada con mi formación")),"")</f>
        <v/>
      </c>
      <c r="O151" s="9" t="str">
        <f>IF(OR(I151="Trabajo actualmente como empleado",I151="Trabajo de manera independiente"),_xlfn.LET(_xlpm.turno,MOD(COUNTIF($I$2:I151,I151)-1,5),_xlpm.nivel,VALUE(LEFT(M151,1)),IF(_xlpm.turno=4,"No estoy seguro/a",IF(_xlpm.turno&lt;IF(_xlpm.nivel&lt;=2,1,3),"Sí","No"))),"")</f>
        <v/>
      </c>
      <c r="P151" s="9" t="str">
        <f>_xlfn.LET(_xlpm.perfil,I151,_xlpm.turno,COUNTIF($I$2:I151,_xlpm.perfil)-1,_xlpm.busca,OR(_xlpm.perfil="Actualmente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trabajar"),IF(AND(_xlpm.trabaja,O151="No"),"Todavía no he iniciado una búsqueda activa",CHOOSE(MOD(_xlpm.turno*3,5)+1,"Menos de 1 mes","Entre 1 y 3 meses","Entre 4 y 6 meses","Más de 6 meses","Todavía no he iniciado una búsqueda activa")),"")))</f>
        <v>Más de 6 meses</v>
      </c>
      <c r="Q151" t="str">
        <f>IF(I151="Tengo un emprendimiento o quiero iniciar uno","",CHOOSE(MOD(INT((COUNTIF($I$2:I151,I151)-1)/7),3)+1,"Sí","No","Tengo una pero necesito actualizarla"))</f>
        <v>Tengo una pero necesito actualizarla</v>
      </c>
      <c r="R151" s="9" t="str">
        <f>IF(I151="Tengo un emprendimiento o quiero iniciar uno","",IF(I151="Busco mi primer empleo","No",IF(MOD(COUNTIF($I$2:I151,I151)-1,2)=0,"Sí","No")))</f>
        <v>Sí</v>
      </c>
      <c r="S151" t="str">
        <f>IF(I151="Tengo un emprendimiento o quiero iniciar uno","",CHOOSE(MOD(INT((COUNTIF($I$2:I151,I151)-1)/3),10)+1,"Portales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51" t="str">
        <f>IF(I151="Tengo un emprendimiento o quiero iniciar uno","",_xlfn.LET(_xlpm.opcion,MOD(INT((COUNTIF($I$2:I151,I151)-1)/4),6)+1,CHOOSE(IF(AND(_xlpm.opcion=3,Q151="Sí"),1,_xlpm.opcion),"Falta de experiencia","Falta de formación","Dificultades con la hoja de vida","Horarios disponibles","Transporte","Internet")))</f>
        <v>Transporte</v>
      </c>
      <c r="U151" s="9" t="str">
        <f>IF(I151="Tengo un emprendimiento o quiero iniciar uno","",IF(MOD(INT((COUNTIF($I$2:I151,I151)-1)/3),2)=0,"Sí","No"))</f>
        <v>No</v>
      </c>
      <c r="V151" s="9" t="str">
        <f>IF(I151="Tengo un emprendimiento o quiero iniciar uno",CHOOSE(MOD(COUNTIF($I$2:I151,I151)-1,3)+1,"Tengo un emprendimiento","Estoy iniciando un emprendimiento","Me interesa emprender"),"")</f>
        <v/>
      </c>
      <c r="W151" t="str">
        <f t="shared" si="41"/>
        <v/>
      </c>
      <c r="X151" s="9" t="str">
        <f>IF(I151="Tengo un emprendimiento o quiero iniciar uno",CHOOSE(MOD(COUNTIF($I$2:I151,I151)-1,5)+1,"Falta de financiación","Falta de conocimientos administrativos","Falta de conocimientos financieros","Falta de tiempo","Falta de herramientas"),"")</f>
        <v/>
      </c>
      <c r="Y151" s="9" t="str">
        <f t="shared" si="42"/>
        <v/>
      </c>
      <c r="Z151" t="str">
        <f>IF(I151="Tengo un emprendimiento o quiero iniciar uno",CHOOSE(INT(MOD((COUNTIF($I$2:I151,I151)-1)*7,39)/13)+1,"Sí","No","No conozco programas de ese tipo"),"")</f>
        <v/>
      </c>
      <c r="AA151" t="str">
        <f t="shared" si="43"/>
        <v>Puedo hacerlo con ayuda</v>
      </c>
      <c r="AB151" t="str">
        <f t="shared" si="43"/>
        <v>Puedo hacerlo con ayuda</v>
      </c>
      <c r="AC151" t="str">
        <f t="shared" si="44"/>
        <v>No puedo hacerlo</v>
      </c>
      <c r="AD151" s="9" t="str">
        <f t="shared" si="45"/>
        <v>Puedo hacerlo sin ayuda</v>
      </c>
      <c r="AE151" t="str">
        <f t="shared" si="46"/>
        <v>No puedo hacerlo</v>
      </c>
      <c r="AF151" s="9" t="str">
        <f t="shared" si="47"/>
        <v>Comunicación</v>
      </c>
      <c r="AG151" s="9" t="str">
        <f t="shared" si="48"/>
        <v>Distancia</v>
      </c>
      <c r="AH151" t="str">
        <f t="shared" si="49"/>
        <v>Oficina de orientación laboral</v>
      </c>
      <c r="AI151" s="9" t="str">
        <f t="shared" si="50"/>
        <v>Presencial y virtual</v>
      </c>
      <c r="AJ151" s="9" t="str">
        <f t="shared" si="51"/>
        <v>Fines de semana</v>
      </c>
      <c r="AK151" s="9" t="str">
        <f t="shared" si="52"/>
        <v>Redes sociales</v>
      </c>
    </row>
    <row r="152" spans="1:37">
      <c r="A152" t="str">
        <f t="shared" si="53"/>
        <v>SG151</v>
      </c>
      <c r="B152" t="s">
        <v>418</v>
      </c>
      <c r="C152" s="9" t="s">
        <v>427</v>
      </c>
      <c r="D152" t="str">
        <f t="shared" si="36"/>
        <v>Femenino</v>
      </c>
      <c r="E152" t="str">
        <f t="shared" si="37"/>
        <v>De 18 a 20 años</v>
      </c>
      <c r="F152">
        <f t="shared" si="38"/>
        <v>18</v>
      </c>
      <c r="G152" s="9" t="s">
        <v>428</v>
      </c>
      <c r="H152" s="9" t="str">
        <f t="shared" si="39"/>
        <v>Bachiller</v>
      </c>
      <c r="I152" s="9" t="str">
        <f t="shared" si="40"/>
        <v>Trabajo actualmente como empleado</v>
      </c>
      <c r="J152" s="13" t="str">
        <f>IF(I152="Trabajo actualmente como empleado",IF(MOD((COUNTIF($I$2:I152,"Trabajo actualmente como empleado")-1)*37,150)&lt;100,"Empleado con contrato","Empleado sin contrato formal"),IF(I152="Trabajo de manera independiente","Trabajo independiente",""))</f>
        <v>Empleado con contrato</v>
      </c>
      <c r="K152" s="9" t="str">
        <f>IF(OR(I152="Trabajo actualmente como empleado",I152="Trabajo de manera independiente"),CHOOSE(MOD(COUNTIF($I$2:I152,I152)-1,4)+1,"Menos de 3 meses","De 3 a 6 meses","De 7 a 12 meses","Más de un año"),"")</f>
        <v>De 3 a 6 meses</v>
      </c>
      <c r="L152" t="str">
        <f>IF(OR(I152="Trabajo actualmente como empleado",I152="Trabajo de manera independiente"),CHOOSE(MOD(COUNTIF($I$2:I152,I152)-1,3)+1,"Sí, completamente","Parcialmente","No"),"")</f>
        <v>Parcialmente</v>
      </c>
      <c r="M152" t="str">
        <f>IF(OR(I152="Trabajo actualmente como empleado",I152="Trabajo de manera independiente"),CHOOSE(MOD(INT((COUNTIF($I$2:I152,I152)-1)/3),4)+1,"1- Muy satisfecho/a","2- Satisfecho/a","3- Insatisfecho/a","4- Muy insatisfecho/a"),"")</f>
        <v>1- Muy satisfecho/a</v>
      </c>
      <c r="N152" t="str">
        <f>IF(OR(I152="Trabajo actualmente como empleado",I152="Trabajo de manera independiente"),_xlfn.LET(_xlpm.opcion,MOD(INT((COUNTIF($I$2:I152,I152)-1)/5),6)+1,CHOOSE(IF(AND(_xlpm.opcion=6,L152="Sí, completamente"),5,_xlpm.opcion),"Salario","Estabilidad laboral","Horario","Acceso a prestaciones","Oportunidades de crecimiento","Trabajar en un área relacionada con mi formación")),"")</f>
        <v>Acceso a prestaciones</v>
      </c>
      <c r="O152" s="9" t="str">
        <f>IF(OR(I152="Trabajo actualmente como empleado",I152="Trabajo de manera independiente"),_xlfn.LET(_xlpm.turno,MOD(COUNTIF($I$2:I152,I152)-1,5),_xlpm.nivel,VALUE(LEFT(M152,1)),IF(_xlpm.turno=4,"No estoy seguro/a",IF(_xlpm.turno&lt;IF(_xlpm.nivel&lt;=2,1,3),"Sí","No"))),"")</f>
        <v>No estoy seguro/a</v>
      </c>
      <c r="P152" s="9" t="str">
        <f>_xlfn.LET(_xlpm.perfil,I152,_xlpm.turno,COUNTIF($I$2:I152,_xlpm.perfil)-1,_xlpm.busca,OR(_xlpm.perfil="Actualmente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trabajar"),IF(AND(_xlpm.trabaja,O152="No"),"Todavía no he iniciado una búsqueda activa",CHOOSE(MOD(_xlpm.turno*3,5)+1,"Menos de 1 mes","Entre 1 y 3 meses","Entre 4 y 6 meses","Más de 6 meses","Todavía no he iniciado una búsqueda activa")),"")))</f>
        <v>Entre 4 y 6 meses</v>
      </c>
      <c r="Q152" t="str">
        <f>IF(I152="Tengo un emprendimiento o quiero iniciar uno","",CHOOSE(MOD(INT((COUNTIF($I$2:I152,I152)-1)/7),3)+1,"Sí","No","Tengo una pero necesito actualizarla"))</f>
        <v>No</v>
      </c>
      <c r="R152" s="9" t="str">
        <f>IF(I152="Tengo un emprendimiento o quiero iniciar uno","",IF(I152="Busco mi primer empleo","No",IF(MOD(COUNTIF($I$2:I152,I152)-1,2)=0,"Sí","No")))</f>
        <v>No</v>
      </c>
      <c r="S152" t="str">
        <f>IF(I152="Tengo un emprendimiento o quiero iniciar uno","",CHOOSE(MOD(INT((COUNTIF($I$2:I152,I152)-1)/3),10)+1,"Portales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52" t="str">
        <f>IF(I152="Tengo un emprendimiento o quiero iniciar uno","",_xlfn.LET(_xlpm.opcion,MOD(INT((COUNTIF($I$2:I152,I152)-1)/4),6)+1,CHOOSE(IF(AND(_xlpm.opcion=3,Q152="Sí"),1,_xlpm.opcion),"Falta de experiencia","Falta de formación","Dificultades con la hoja de vida","Horarios disponibles","Transporte","Internet")))</f>
        <v>Falta de experiencia</v>
      </c>
      <c r="U152" s="9" t="str">
        <f>IF(I152="Tengo un emprendimiento o quiero iniciar uno","",IF(MOD(INT((COUNTIF($I$2:I152,I152)-1)/3),2)=0,"Sí","No"))</f>
        <v>Sí</v>
      </c>
      <c r="V152" s="9" t="str">
        <f>IF(I152="Tengo un emprendimiento o quiero iniciar uno",CHOOSE(MOD(COUNTIF($I$2:I152,I152)-1,3)+1,"Tengo un emprendimiento","Estoy iniciando un emprendimiento","Me interesa emprender"),"")</f>
        <v/>
      </c>
      <c r="W152" t="str">
        <f t="shared" si="41"/>
        <v/>
      </c>
      <c r="X152" s="9" t="str">
        <f>IF(I152="Tengo un emprendimiento o quiero iniciar uno",CHOOSE(MOD(COUNTIF($I$2:I152,I152)-1,5)+1,"Falta de financiación","Falta de conocimientos administrativos","Falta de conocimientos financieros","Falta de tiempo","Falta de herramientas"),"")</f>
        <v/>
      </c>
      <c r="Y152" s="9" t="str">
        <f t="shared" si="42"/>
        <v/>
      </c>
      <c r="Z152" t="str">
        <f>IF(I152="Tengo un emprendimiento o quiero iniciar uno",CHOOSE(INT(MOD((COUNTIF($I$2:I152,I152)-1)*7,39)/13)+1,"Sí","No","No conozco programas de ese tipo"),"")</f>
        <v/>
      </c>
      <c r="AA152" t="str">
        <f t="shared" si="43"/>
        <v>Puedo hacerlo sin ayuda</v>
      </c>
      <c r="AB152" t="str">
        <f t="shared" si="43"/>
        <v>Puedo hacerlo sin ayuda</v>
      </c>
      <c r="AC152" t="str">
        <f t="shared" si="44"/>
        <v>Puedo hacerlo con ayuda</v>
      </c>
      <c r="AD152" s="9" t="str">
        <f t="shared" si="45"/>
        <v>No puedo hacerlo</v>
      </c>
      <c r="AE152" t="str">
        <f t="shared" si="46"/>
        <v>No puedo hacerlo</v>
      </c>
      <c r="AF152" s="9" t="str">
        <f t="shared" si="47"/>
        <v>Liderazgo</v>
      </c>
      <c r="AG152" s="9" t="str">
        <f t="shared" si="48"/>
        <v>Falta de experiencia;Falta de información</v>
      </c>
      <c r="AH152" t="str">
        <f t="shared" si="49"/>
        <v>Ferias de empleo</v>
      </c>
      <c r="AI152" s="9" t="str">
        <f t="shared" si="50"/>
        <v>Me es indiferente</v>
      </c>
      <c r="AJ152" s="9" t="str">
        <f t="shared" si="51"/>
        <v>Diurno</v>
      </c>
      <c r="AK152" s="9" t="str">
        <f t="shared" si="52"/>
        <v>Celular</v>
      </c>
    </row>
    <row r="153" spans="1:37">
      <c r="A153" t="str">
        <f t="shared" si="53"/>
        <v>SG152</v>
      </c>
      <c r="B153" t="s">
        <v>418</v>
      </c>
      <c r="C153" s="9" t="s">
        <v>427</v>
      </c>
      <c r="D153" t="str">
        <f t="shared" si="36"/>
        <v>Masculino</v>
      </c>
      <c r="E153" t="str">
        <f t="shared" si="37"/>
        <v>De 20 a 22 años</v>
      </c>
      <c r="F153">
        <f t="shared" si="38"/>
        <v>20</v>
      </c>
      <c r="G153" s="9" t="s">
        <v>428</v>
      </c>
      <c r="H153" s="9" t="str">
        <f t="shared" si="39"/>
        <v>Técnico</v>
      </c>
      <c r="I153" s="9" t="str">
        <f t="shared" si="40"/>
        <v>Actualmente no trabajo y estoy buscando empleo</v>
      </c>
      <c r="J153" s="13" t="str">
        <f>IF(I153="Trabajo actualmente como empleado",IF(MOD((COUNTIF($I$2:I153,"Trabajo actualmente como empleado")-1)*37,150)&lt;100,"Empleado con contrato","Empleado sin contrato formal"),IF(I153="Trabajo de manera independiente","Trabajo independiente",""))</f>
        <v/>
      </c>
      <c r="K153" s="9" t="str">
        <f>IF(OR(I153="Trabajo actualmente como empleado",I153="Trabajo de manera independiente"),CHOOSE(MOD(COUNTIF($I$2:I153,I153)-1,4)+1,"Menos de 3 meses","De 3 a 6 meses","De 7 a 12 meses","Más de un año"),"")</f>
        <v/>
      </c>
      <c r="L153" t="str">
        <f>IF(OR(I153="Trabajo actualmente como empleado",I153="Trabajo de manera independiente"),CHOOSE(MOD(COUNTIF($I$2:I153,I153)-1,3)+1,"Sí, completamente","Parcialmente","No"),"")</f>
        <v/>
      </c>
      <c r="M153" t="str">
        <f>IF(OR(I153="Trabajo actualmente como empleado",I153="Trabajo de manera independiente"),CHOOSE(MOD(INT((COUNTIF($I$2:I153,I153)-1)/3),4)+1,"1- Muy satisfecho/a","2- Satisfecho/a","3- Insatisfecho/a","4- Muy insatisfecho/a"),"")</f>
        <v/>
      </c>
      <c r="N153" t="str">
        <f>IF(OR(I153="Trabajo actualmente como empleado",I153="Trabajo de manera independiente"),_xlfn.LET(_xlpm.opcion,MOD(INT((COUNTIF($I$2:I153,I153)-1)/5),6)+1,CHOOSE(IF(AND(_xlpm.opcion=6,L153="Sí, completamente"),5,_xlpm.opcion),"Salario","Estabilidad laboral","Horario","Acceso a prestaciones","Oportunidades de crecimiento","Trabajar en un área relacionada con mi formación")),"")</f>
        <v/>
      </c>
      <c r="O153" s="9" t="str">
        <f>IF(OR(I153="Trabajo actualmente como empleado",I153="Trabajo de manera independiente"),_xlfn.LET(_xlpm.turno,MOD(COUNTIF($I$2:I153,I153)-1,5),_xlpm.nivel,VALUE(LEFT(M153,1)),IF(_xlpm.turno=4,"No estoy seguro/a",IF(_xlpm.turno&lt;IF(_xlpm.nivel&lt;=2,1,3),"Sí","No"))),"")</f>
        <v/>
      </c>
      <c r="P153" s="9" t="str">
        <f>_xlfn.LET(_xlpm.perfil,I153,_xlpm.turno,COUNTIF($I$2:I153,_xlpm.perfil)-1,_xlpm.busca,OR(_xlpm.perfil="Actualmente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trabajar"),IF(AND(_xlpm.trabaja,O153="No"),"Todavía no he iniciado una búsqueda activa",CHOOSE(MOD(_xlpm.turno*3,5)+1,"Menos de 1 mes","Entre 1 y 3 meses","Entre 4 y 6 meses","Más de 6 meses","Todavía no he iniciado una búsqueda activa")),"")))</f>
        <v>Más de 6 meses</v>
      </c>
      <c r="Q153" t="str">
        <f>IF(I153="Tengo un emprendimiento o quiero iniciar uno","",CHOOSE(MOD(INT((COUNTIF($I$2:I153,I153)-1)/7),3)+1,"Sí","No","Tengo una pero necesito actualizarla"))</f>
        <v>Sí</v>
      </c>
      <c r="R153" s="9" t="str">
        <f>IF(I153="Tengo un emprendimiento o quiero iniciar uno","",IF(I153="Busco mi primer empleo","No",IF(MOD(COUNTIF($I$2:I153,I153)-1,2)=0,"Sí","No")))</f>
        <v>No</v>
      </c>
      <c r="S153" t="str">
        <f>IF(I153="Tengo un emprendimiento o quiero iniciar uno","",CHOOSE(MOD(INT((COUNTIF($I$2:I153,I153)-1)/3),10)+1,"Portales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53" t="str">
        <f>IF(I153="Tengo un emprendimiento o quiero iniciar uno","",_xlfn.LET(_xlpm.opcion,MOD(INT((COUNTIF($I$2:I153,I153)-1)/4),6)+1,CHOOSE(IF(AND(_xlpm.opcion=3,Q153="Sí"),1,_xlpm.opcion),"Falta de experiencia","Falta de formación","Dificultades con la hoja de vida","Horarios disponibles","Transporte","Internet")))</f>
        <v>Falta de experiencia</v>
      </c>
      <c r="U153" s="9" t="str">
        <f>IF(I153="Tengo un emprendimiento o quiero iniciar uno","",IF(MOD(INT((COUNTIF($I$2:I153,I153)-1)/3),2)=0,"Sí","No"))</f>
        <v>Sí</v>
      </c>
      <c r="V153" s="9" t="str">
        <f>IF(I153="Tengo un emprendimiento o quiero iniciar uno",CHOOSE(MOD(COUNTIF($I$2:I153,I153)-1,3)+1,"Tengo un emprendimiento","Estoy iniciando un emprendimiento","Me interesa emprender"),"")</f>
        <v/>
      </c>
      <c r="W153" t="str">
        <f t="shared" si="41"/>
        <v/>
      </c>
      <c r="X153" s="9" t="str">
        <f>IF(I153="Tengo un emprendimiento o quiero iniciar uno",CHOOSE(MOD(COUNTIF($I$2:I153,I153)-1,5)+1,"Falta de financiación","Falta de conocimientos administrativos","Falta de conocimientos financieros","Falta de tiempo","Falta de herramientas"),"")</f>
        <v/>
      </c>
      <c r="Y153" s="9" t="str">
        <f t="shared" si="42"/>
        <v/>
      </c>
      <c r="Z153" t="str">
        <f>IF(I153="Tengo un emprendimiento o quiero iniciar uno",CHOOSE(INT(MOD((COUNTIF($I$2:I153,I153)-1)*7,39)/13)+1,"Sí","No","No conozco programas de ese tipo"),"")</f>
        <v/>
      </c>
      <c r="AA153" t="str">
        <f t="shared" si="43"/>
        <v>No puedo hacerlo</v>
      </c>
      <c r="AB153" t="str">
        <f t="shared" si="43"/>
        <v>No puedo hacerlo</v>
      </c>
      <c r="AC153" t="str">
        <f t="shared" si="44"/>
        <v>Puedo hacerlo con dificultad</v>
      </c>
      <c r="AD153" s="9" t="str">
        <f t="shared" si="45"/>
        <v>Puedo hacerlo con ayuda</v>
      </c>
      <c r="AE153" t="str">
        <f t="shared" si="46"/>
        <v>Puedo hacerlo con ayuda</v>
      </c>
      <c r="AF153" s="9" t="str">
        <f t="shared" si="47"/>
        <v>Emprendimiento</v>
      </c>
      <c r="AG153" s="9" t="str">
        <f t="shared" si="48"/>
        <v>Falta de experiencia;Falta de información</v>
      </c>
      <c r="AH153" t="str">
        <f t="shared" si="49"/>
        <v>No conozco ninguno</v>
      </c>
      <c r="AI153" s="9" t="str">
        <f t="shared" si="50"/>
        <v>Presencial</v>
      </c>
      <c r="AJ153" s="9" t="str">
        <f t="shared" si="51"/>
        <v>Mañana entre semana</v>
      </c>
      <c r="AK153" s="9" t="str">
        <f t="shared" si="52"/>
        <v>Correo electrónico</v>
      </c>
    </row>
    <row r="154" spans="1:37">
      <c r="A154" t="str">
        <f t="shared" si="53"/>
        <v>SG153</v>
      </c>
      <c r="B154" t="s">
        <v>418</v>
      </c>
      <c r="C154" s="9" t="s">
        <v>427</v>
      </c>
      <c r="D154" t="str">
        <f t="shared" si="36"/>
        <v>Masculino</v>
      </c>
      <c r="E154" t="str">
        <f t="shared" si="37"/>
        <v>De 22 a 24 años</v>
      </c>
      <c r="F154">
        <f t="shared" si="38"/>
        <v>22</v>
      </c>
      <c r="G154" s="9" t="s">
        <v>428</v>
      </c>
      <c r="H154" s="9" t="str">
        <f t="shared" si="39"/>
        <v>Tecnólogo</v>
      </c>
      <c r="I154" s="9" t="str">
        <f t="shared" si="40"/>
        <v>Estudio y quiero comenzar a trabajar</v>
      </c>
      <c r="J154" s="13" t="str">
        <f>IF(I154="Trabajo actualmente como empleado",IF(MOD((COUNTIF($I$2:I154,"Trabajo actualmente como empleado")-1)*37,150)&lt;100,"Empleado con contrato","Empleado sin contrato formal"),IF(I154="Trabajo de manera independiente","Trabajo independiente",""))</f>
        <v/>
      </c>
      <c r="K154" s="9" t="str">
        <f>IF(OR(I154="Trabajo actualmente como empleado",I154="Trabajo de manera independiente"),CHOOSE(MOD(COUNTIF($I$2:I154,I154)-1,4)+1,"Menos de 3 meses","De 3 a 6 meses","De 7 a 12 meses","Más de un año"),"")</f>
        <v/>
      </c>
      <c r="L154" t="str">
        <f>IF(OR(I154="Trabajo actualmente como empleado",I154="Trabajo de manera independiente"),CHOOSE(MOD(COUNTIF($I$2:I154,I154)-1,3)+1,"Sí, completamente","Parcialmente","No"),"")</f>
        <v/>
      </c>
      <c r="M154" t="str">
        <f>IF(OR(I154="Trabajo actualmente como empleado",I154="Trabajo de manera independiente"),CHOOSE(MOD(INT((COUNTIF($I$2:I154,I154)-1)/3),4)+1,"1- Muy satisfecho/a","2- Satisfecho/a","3- Insatisfecho/a","4- Muy insatisfecho/a"),"")</f>
        <v/>
      </c>
      <c r="N154" t="str">
        <f>IF(OR(I154="Trabajo actualmente como empleado",I154="Trabajo de manera independiente"),_xlfn.LET(_xlpm.opcion,MOD(INT((COUNTIF($I$2:I154,I154)-1)/5),6)+1,CHOOSE(IF(AND(_xlpm.opcion=6,L154="Sí, completamente"),5,_xlpm.opcion),"Salario","Estabilidad laboral","Horario","Acceso a prestaciones","Oportunidades de crecimiento","Trabajar en un área relacionada con mi formación")),"")</f>
        <v/>
      </c>
      <c r="O154" s="9" t="str">
        <f>IF(OR(I154="Trabajo actualmente como empleado",I154="Trabajo de manera independiente"),_xlfn.LET(_xlpm.turno,MOD(COUNTIF($I$2:I154,I154)-1,5),_xlpm.nivel,VALUE(LEFT(M154,1)),IF(_xlpm.turno=4,"No estoy seguro/a",IF(_xlpm.turno&lt;IF(_xlpm.nivel&lt;=2,1,3),"Sí","No"))),"")</f>
        <v/>
      </c>
      <c r="P154" s="9" t="str">
        <f>_xlfn.LET(_xlpm.perfil,I154,_xlpm.turno,COUNTIF($I$2:I154,_xlpm.perfil)-1,_xlpm.busca,OR(_xlpm.perfil="Actualmente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trabajar"),IF(AND(_xlpm.trabaja,O154="No"),"Todavía no he iniciado una búsqueda activa",CHOOSE(MOD(_xlpm.turno*3,5)+1,"Menos de 1 mes","Entre 1 y 3 meses","Entre 4 y 6 meses","Más de 6 meses","Todavía no he iniciado una búsqueda activa")),"")))</f>
        <v>Entre 1 y 3 meses</v>
      </c>
      <c r="Q154" t="str">
        <f>IF(I154="Tengo un emprendimiento o quiero iniciar uno","",CHOOSE(MOD(INT((COUNTIF($I$2:I154,I154)-1)/7),3)+1,"Sí","No","Tengo una pero necesito actualizarla"))</f>
        <v>Tengo una pero necesito actualizarla</v>
      </c>
      <c r="R154" s="9" t="str">
        <f>IF(I154="Tengo un emprendimiento o quiero iniciar uno","",IF(I154="Busco mi primer empleo","No",IF(MOD(COUNTIF($I$2:I154,I154)-1,2)=0,"Sí","No")))</f>
        <v>No</v>
      </c>
      <c r="S154" t="str">
        <f>IF(I154="Tengo un emprendimiento o quiero iniciar uno","",CHOOSE(MOD(INT((COUNTIF($I$2:I154,I154)-1)/3),10)+1,"Portales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154" t="str">
        <f>IF(I154="Tengo un emprendimiento o quiero iniciar uno","",_xlfn.LET(_xlpm.opcion,MOD(INT((COUNTIF($I$2:I154,I154)-1)/4),6)+1,CHOOSE(IF(AND(_xlpm.opcion=3,Q154="Sí"),1,_xlpm.opcion),"Falta de experiencia","Falta de formación","Dificultades con la hoja de vida","Horarios disponibles","Transporte","Internet")))</f>
        <v>Transporte</v>
      </c>
      <c r="U154" s="9" t="str">
        <f>IF(I154="Tengo un emprendimiento o quiero iniciar uno","",IF(MOD(INT((COUNTIF($I$2:I154,I154)-1)/3),2)=0,"Sí","No"))</f>
        <v>No</v>
      </c>
      <c r="V154" s="9" t="str">
        <f>IF(I154="Tengo un emprendimiento o quiero iniciar uno",CHOOSE(MOD(COUNTIF($I$2:I154,I154)-1,3)+1,"Tengo un emprendimiento","Estoy iniciando un emprendimiento","Me interesa emprender"),"")</f>
        <v/>
      </c>
      <c r="W154" t="str">
        <f t="shared" si="41"/>
        <v/>
      </c>
      <c r="X154" s="9" t="str">
        <f>IF(I154="Tengo un emprendimiento o quiero iniciar uno",CHOOSE(MOD(COUNTIF($I$2:I154,I154)-1,5)+1,"Falta de financiación","Falta de conocimientos administrativos","Falta de conocimientos financieros","Falta de tiempo","Falta de herramientas"),"")</f>
        <v/>
      </c>
      <c r="Y154" s="9" t="str">
        <f t="shared" si="42"/>
        <v/>
      </c>
      <c r="Z154" t="str">
        <f>IF(I154="Tengo un emprendimiento o quiero iniciar uno",CHOOSE(INT(MOD((COUNTIF($I$2:I154,I154)-1)*7,39)/13)+1,"Sí","No","No conozco programas de ese tipo"),"")</f>
        <v/>
      </c>
      <c r="AA154" t="str">
        <f t="shared" si="43"/>
        <v>Puedo hacerlo con dificultad</v>
      </c>
      <c r="AB154" t="str">
        <f t="shared" si="43"/>
        <v>Puedo hacerlo con dificultad</v>
      </c>
      <c r="AC154" t="str">
        <f t="shared" si="44"/>
        <v>Puedo hacerlo sin ayuda</v>
      </c>
      <c r="AD154" s="9" t="str">
        <f t="shared" si="45"/>
        <v>Puedo hacerlo con dificultad</v>
      </c>
      <c r="AE154" t="str">
        <f t="shared" si="46"/>
        <v>Puedo hacerlo con dificultad</v>
      </c>
      <c r="AF154" s="9" t="str">
        <f t="shared" si="47"/>
        <v>Herramientas digitales</v>
      </c>
      <c r="AG154" s="9" t="str">
        <f t="shared" si="48"/>
        <v>Falta de experiencia;Falta de información</v>
      </c>
      <c r="AH154" t="str">
        <f t="shared" si="49"/>
        <v>Ferias de empleo</v>
      </c>
      <c r="AI154" s="9" t="str">
        <f t="shared" si="50"/>
        <v>Virtual</v>
      </c>
      <c r="AJ154" s="9" t="str">
        <f t="shared" si="51"/>
        <v>Fines de semana</v>
      </c>
      <c r="AK154" s="9" t="str">
        <f t="shared" si="52"/>
        <v>Redes sociales</v>
      </c>
    </row>
    <row r="155" spans="1:37">
      <c r="A155" t="str">
        <f t="shared" si="53"/>
        <v>SG154</v>
      </c>
      <c r="B155" t="s">
        <v>418</v>
      </c>
      <c r="C155" s="9" t="s">
        <v>427</v>
      </c>
      <c r="D155" t="str">
        <f t="shared" si="36"/>
        <v>Femenino</v>
      </c>
      <c r="E155" t="str">
        <f t="shared" si="37"/>
        <v>De 24 a 26 años</v>
      </c>
      <c r="F155">
        <f t="shared" si="38"/>
        <v>24</v>
      </c>
      <c r="G155" s="9" t="s">
        <v>428</v>
      </c>
      <c r="H155" s="9" t="str">
        <f t="shared" si="39"/>
        <v>Profesional</v>
      </c>
      <c r="I155" s="9" t="str">
        <f t="shared" si="40"/>
        <v>Trabajo actualmente como empleado</v>
      </c>
      <c r="J155" s="13" t="str">
        <f>IF(I155="Trabajo actualmente como empleado",IF(MOD((COUNTIF($I$2:I155,"Trabajo actualmente como empleado")-1)*37,150)&lt;100,"Empleado con contrato","Empleado sin contrato formal"),IF(I155="Trabajo de manera independiente","Trabajo independiente",""))</f>
        <v>Empleado con contrato</v>
      </c>
      <c r="K155" s="9" t="str">
        <f>IF(OR(I155="Trabajo actualmente como empleado",I155="Trabajo de manera independiente"),CHOOSE(MOD(COUNTIF($I$2:I155,I155)-1,4)+1,"Menos de 3 meses","De 3 a 6 meses","De 7 a 12 meses","Más de un año"),"")</f>
        <v>De 7 a 12 meses</v>
      </c>
      <c r="L155" t="str">
        <f>IF(OR(I155="Trabajo actualmente como empleado",I155="Trabajo de manera independiente"),CHOOSE(MOD(COUNTIF($I$2:I155,I155)-1,3)+1,"Sí, completamente","Parcialmente","No"),"")</f>
        <v>No</v>
      </c>
      <c r="M155" t="str">
        <f>IF(OR(I155="Trabajo actualmente como empleado",I155="Trabajo de manera independiente"),CHOOSE(MOD(INT((COUNTIF($I$2:I155,I155)-1)/3),4)+1,"1- Muy satisfecho/a","2- Satisfecho/a","3- Insatisfecho/a","4- Muy insatisfecho/a"),"")</f>
        <v>1- Muy satisfecho/a</v>
      </c>
      <c r="N155" t="str">
        <f>IF(OR(I155="Trabajo actualmente como empleado",I155="Trabajo de manera independiente"),_xlfn.LET(_xlpm.opcion,MOD(INT((COUNTIF($I$2:I155,I155)-1)/5),6)+1,CHOOSE(IF(AND(_xlpm.opcion=6,L155="Sí, completamente"),5,_xlpm.opcion),"Salario","Estabilidad laboral","Horario","Acceso a prestaciones","Oportunidades de crecimiento","Trabajar en un área relacionada con mi formación")),"")</f>
        <v>Oportunidades de crecimiento</v>
      </c>
      <c r="O155" s="9" t="str">
        <f>IF(OR(I155="Trabajo actualmente como empleado",I155="Trabajo de manera independiente"),_xlfn.LET(_xlpm.turno,MOD(COUNTIF($I$2:I155,I155)-1,5),_xlpm.nivel,VALUE(LEFT(M155,1)),IF(_xlpm.turno=4,"No estoy seguro/a",IF(_xlpm.turno&lt;IF(_xlpm.nivel&lt;=2,1,3),"Sí","No"))),"")</f>
        <v>Sí</v>
      </c>
      <c r="P155" s="9" t="str">
        <f>_xlfn.LET(_xlpm.perfil,I155,_xlpm.turno,COUNTIF($I$2:I155,_xlpm.perfil)-1,_xlpm.busca,OR(_xlpm.perfil="Actualmente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trabajar"),IF(AND(_xlpm.trabaja,O155="No"),"Todavía no he iniciado una búsqueda activa",CHOOSE(MOD(_xlpm.turno*3,5)+1,"Menos de 1 mes","Entre 1 y 3 meses","Entre 4 y 6 meses","Más de 6 meses","Todavía no he iniciado una búsqueda activa")),"")))</f>
        <v>Menos de 1 mes</v>
      </c>
      <c r="Q155" t="str">
        <f>IF(I155="Tengo un emprendimiento o quiero iniciar uno","",CHOOSE(MOD(INT((COUNTIF($I$2:I155,I155)-1)/7),3)+1,"Sí","No","Tengo una pero necesito actualizarla"))</f>
        <v>No</v>
      </c>
      <c r="R155" s="9" t="str">
        <f>IF(I155="Tengo un emprendimiento o quiero iniciar uno","",IF(I155="Busco mi primer empleo","No",IF(MOD(COUNTIF($I$2:I155,I155)-1,2)=0,"Sí","No")))</f>
        <v>Sí</v>
      </c>
      <c r="S155" t="str">
        <f>IF(I155="Tengo un emprendimiento o quiero iniciar uno","",CHOOSE(MOD(INT((COUNTIF($I$2:I155,I155)-1)/3),10)+1,"Portales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55" t="str">
        <f>IF(I155="Tengo un emprendimiento o quiero iniciar uno","",_xlfn.LET(_xlpm.opcion,MOD(INT((COUNTIF($I$2:I155,I155)-1)/4),6)+1,CHOOSE(IF(AND(_xlpm.opcion=3,Q155="Sí"),1,_xlpm.opcion),"Falta de experiencia","Falta de formación","Dificultades con la hoja de vida","Horarios disponibles","Transporte","Internet")))</f>
        <v>Falta de experiencia</v>
      </c>
      <c r="U155" s="9" t="str">
        <f>IF(I155="Tengo un emprendimiento o quiero iniciar uno","",IF(MOD(INT((COUNTIF($I$2:I155,I155)-1)/3),2)=0,"Sí","No"))</f>
        <v>Sí</v>
      </c>
      <c r="V155" s="9" t="str">
        <f>IF(I155="Tengo un emprendimiento o quiero iniciar uno",CHOOSE(MOD(COUNTIF($I$2:I155,I155)-1,3)+1,"Tengo un emprendimiento","Estoy iniciando un emprendimiento","Me interesa emprender"),"")</f>
        <v/>
      </c>
      <c r="W155" t="str">
        <f t="shared" si="41"/>
        <v/>
      </c>
      <c r="X155" s="9" t="str">
        <f>IF(I155="Tengo un emprendimiento o quiero iniciar uno",CHOOSE(MOD(COUNTIF($I$2:I155,I155)-1,5)+1,"Falta de financiación","Falta de conocimientos administrativos","Falta de conocimientos financieros","Falta de tiempo","Falta de herramientas"),"")</f>
        <v/>
      </c>
      <c r="Y155" s="9" t="str">
        <f t="shared" si="42"/>
        <v/>
      </c>
      <c r="Z155" t="str">
        <f>IF(I155="Tengo un emprendimiento o quiero iniciar uno",CHOOSE(INT(MOD((COUNTIF($I$2:I155,I155)-1)*7,39)/13)+1,"Sí","No","No conozco programas de ese tipo"),"")</f>
        <v/>
      </c>
      <c r="AA155" t="str">
        <f t="shared" si="43"/>
        <v>No puedo hacerlo</v>
      </c>
      <c r="AB155" t="str">
        <f t="shared" si="43"/>
        <v>No puedo hacerlo</v>
      </c>
      <c r="AC155" t="str">
        <f t="shared" si="44"/>
        <v>Puedo hacerlo con ayuda</v>
      </c>
      <c r="AD155" s="9" t="str">
        <f t="shared" si="45"/>
        <v>Puedo hacerlo con dificultad</v>
      </c>
      <c r="AE155" t="str">
        <f t="shared" si="46"/>
        <v>Puedo hacerlo con dificultad</v>
      </c>
      <c r="AF155" s="9" t="str">
        <f t="shared" si="47"/>
        <v>Educación financiera</v>
      </c>
      <c r="AG155" s="9" t="str">
        <f t="shared" si="48"/>
        <v>Costos de transporte;Distancia</v>
      </c>
      <c r="AH155" t="str">
        <f t="shared" si="49"/>
        <v>Programas de emprendimiento</v>
      </c>
      <c r="AI155" s="9" t="str">
        <f t="shared" si="50"/>
        <v>Presencial y virtual</v>
      </c>
      <c r="AJ155" s="9" t="str">
        <f t="shared" si="51"/>
        <v>Nocturno</v>
      </c>
      <c r="AK155" s="9" t="str">
        <f t="shared" si="52"/>
        <v>WhatsApp</v>
      </c>
    </row>
    <row r="156" spans="1:37">
      <c r="A156" t="str">
        <f t="shared" si="53"/>
        <v>SG155</v>
      </c>
      <c r="B156" t="s">
        <v>418</v>
      </c>
      <c r="C156" s="9" t="s">
        <v>427</v>
      </c>
      <c r="D156" t="str">
        <f t="shared" si="36"/>
        <v>Masculino</v>
      </c>
      <c r="E156" t="str">
        <f t="shared" si="37"/>
        <v>De 26 a 28 años</v>
      </c>
      <c r="F156">
        <f t="shared" si="38"/>
        <v>26</v>
      </c>
      <c r="G156" s="9" t="s">
        <v>428</v>
      </c>
      <c r="H156" s="9" t="str">
        <f t="shared" si="39"/>
        <v>Profesional</v>
      </c>
      <c r="I156" s="9" t="str">
        <f t="shared" si="40"/>
        <v>Actualmente no trabajo y estoy buscando empleo</v>
      </c>
      <c r="J156" s="13" t="str">
        <f>IF(I156="Trabajo actualmente como empleado",IF(MOD((COUNTIF($I$2:I156,"Trabajo actualmente como empleado")-1)*37,150)&lt;100,"Empleado con contrato","Empleado sin contrato formal"),IF(I156="Trabajo de manera independiente","Trabajo independiente",""))</f>
        <v/>
      </c>
      <c r="K156" s="9" t="str">
        <f>IF(OR(I156="Trabajo actualmente como empleado",I156="Trabajo de manera independiente"),CHOOSE(MOD(COUNTIF($I$2:I156,I156)-1,4)+1,"Menos de 3 meses","De 3 a 6 meses","De 7 a 12 meses","Más de un año"),"")</f>
        <v/>
      </c>
      <c r="L156" t="str">
        <f>IF(OR(I156="Trabajo actualmente como empleado",I156="Trabajo de manera independiente"),CHOOSE(MOD(COUNTIF($I$2:I156,I156)-1,3)+1,"Sí, completamente","Parcialmente","No"),"")</f>
        <v/>
      </c>
      <c r="M156" t="str">
        <f>IF(OR(I156="Trabajo actualmente como empleado",I156="Trabajo de manera independiente"),CHOOSE(MOD(INT((COUNTIF($I$2:I156,I156)-1)/3),4)+1,"1- Muy satisfecho/a","2- Satisfecho/a","3- Insatisfecho/a","4- Muy insatisfecho/a"),"")</f>
        <v/>
      </c>
      <c r="N156" t="str">
        <f>IF(OR(I156="Trabajo actualmente como empleado",I156="Trabajo de manera independiente"),_xlfn.LET(_xlpm.opcion,MOD(INT((COUNTIF($I$2:I156,I156)-1)/5),6)+1,CHOOSE(IF(AND(_xlpm.opcion=6,L156="Sí, completamente"),5,_xlpm.opcion),"Salario","Estabilidad laboral","Horario","Acceso a prestaciones","Oportunidades de crecimiento","Trabajar en un área relacionada con mi formación")),"")</f>
        <v/>
      </c>
      <c r="O156" s="9" t="str">
        <f>IF(OR(I156="Trabajo actualmente como empleado",I156="Trabajo de manera independiente"),_xlfn.LET(_xlpm.turno,MOD(COUNTIF($I$2:I156,I156)-1,5),_xlpm.nivel,VALUE(LEFT(M156,1)),IF(_xlpm.turno=4,"No estoy seguro/a",IF(_xlpm.turno&lt;IF(_xlpm.nivel&lt;=2,1,3),"Sí","No"))),"")</f>
        <v/>
      </c>
      <c r="P156" s="9" t="str">
        <f>_xlfn.LET(_xlpm.perfil,I156,_xlpm.turno,COUNTIF($I$2:I156,_xlpm.perfil)-1,_xlpm.busca,OR(_xlpm.perfil="Actualmente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trabajar"),IF(AND(_xlpm.trabaja,O156="No"),"Todavía no he iniciado una búsqueda activa",CHOOSE(MOD(_xlpm.turno*3,5)+1,"Menos de 1 mes","Entre 1 y 3 meses","Entre 4 y 6 meses","Más de 6 meses","Todavía no he iniciado una búsqueda activa")),"")))</f>
        <v>Entre 4 y 6 meses</v>
      </c>
      <c r="Q156" t="str">
        <f>IF(I156="Tengo un emprendimiento o quiero iniciar uno","",CHOOSE(MOD(INT((COUNTIF($I$2:I156,I156)-1)/7),3)+1,"Sí","No","Tengo una pero necesito actualizarla"))</f>
        <v>Sí</v>
      </c>
      <c r="R156" s="9" t="str">
        <f>IF(I156="Tengo un emprendimiento o quiero iniciar uno","",IF(I156="Busco mi primer empleo","No",IF(MOD(COUNTIF($I$2:I156,I156)-1,2)=0,"Sí","No")))</f>
        <v>Sí</v>
      </c>
      <c r="S156" t="str">
        <f>IF(I156="Tengo un emprendimiento o quiero iniciar uno","",CHOOSE(MOD(INT((COUNTIF($I$2:I156,I156)-1)/3),10)+1,"Portales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56" t="str">
        <f>IF(I156="Tengo un emprendimiento o quiero iniciar uno","",_xlfn.LET(_xlpm.opcion,MOD(INT((COUNTIF($I$2:I156,I156)-1)/4),6)+1,CHOOSE(IF(AND(_xlpm.opcion=3,Q156="Sí"),1,_xlpm.opcion),"Falta de experiencia","Falta de formación","Dificultades con la hoja de vida","Horarios disponibles","Transporte","Internet")))</f>
        <v>Falta de experiencia</v>
      </c>
      <c r="U156" s="9" t="str">
        <f>IF(I156="Tengo un emprendimiento o quiero iniciar uno","",IF(MOD(INT((COUNTIF($I$2:I156,I156)-1)/3),2)=0,"Sí","No"))</f>
        <v>Sí</v>
      </c>
      <c r="V156" s="9" t="str">
        <f>IF(I156="Tengo un emprendimiento o quiero iniciar uno",CHOOSE(MOD(COUNTIF($I$2:I156,I156)-1,3)+1,"Tengo un emprendimiento","Estoy iniciando un emprendimiento","Me interesa emprender"),"")</f>
        <v/>
      </c>
      <c r="W156" t="str">
        <f t="shared" si="41"/>
        <v/>
      </c>
      <c r="X156" s="9" t="str">
        <f>IF(I156="Tengo un emprendimiento o quiero iniciar uno",CHOOSE(MOD(COUNTIF($I$2:I156,I156)-1,5)+1,"Falta de financiación","Falta de conocimientos administrativos","Falta de conocimientos financieros","Falta de tiempo","Falta de herramientas"),"")</f>
        <v/>
      </c>
      <c r="Y156" s="9" t="str">
        <f t="shared" si="42"/>
        <v/>
      </c>
      <c r="Z156" t="str">
        <f>IF(I156="Tengo un emprendimiento o quiero iniciar uno",CHOOSE(INT(MOD((COUNTIF($I$2:I156,I156)-1)*7,39)/13)+1,"Sí","No","No conozco programas de ese tipo"),"")</f>
        <v/>
      </c>
      <c r="AA156" t="str">
        <f t="shared" si="43"/>
        <v>Puedo hacerlo con ayuda</v>
      </c>
      <c r="AB156" t="str">
        <f t="shared" si="43"/>
        <v>Puedo hacerlo con ayuda</v>
      </c>
      <c r="AC156" t="str">
        <f t="shared" si="44"/>
        <v>Puedo hacerlo con dificultad</v>
      </c>
      <c r="AD156" s="9" t="str">
        <f t="shared" si="45"/>
        <v>Puedo hacerlo sin ayuda</v>
      </c>
      <c r="AE156" t="str">
        <f t="shared" si="46"/>
        <v>Puedo hacerlo sin ayuda</v>
      </c>
      <c r="AF156" s="9" t="str">
        <f t="shared" si="47"/>
        <v>Crear una hoja de vida;Preparación para entrevista</v>
      </c>
      <c r="AG156" s="9" t="str">
        <f t="shared" si="48"/>
        <v>Costos de transporte;Distancia</v>
      </c>
      <c r="AH156" t="str">
        <f t="shared" si="49"/>
        <v>Oficina de orientación laboral</v>
      </c>
      <c r="AI156" s="9" t="str">
        <f t="shared" si="50"/>
        <v>Me es indiferente</v>
      </c>
      <c r="AJ156" s="9" t="str">
        <f t="shared" si="51"/>
        <v>Mañana entre semana</v>
      </c>
      <c r="AK156" s="9" t="str">
        <f t="shared" si="52"/>
        <v>Correo electrónico</v>
      </c>
    </row>
    <row r="157" spans="1:37">
      <c r="A157" t="str">
        <f t="shared" si="53"/>
        <v>SG156</v>
      </c>
      <c r="B157" t="s">
        <v>418</v>
      </c>
      <c r="C157" s="9" t="s">
        <v>427</v>
      </c>
      <c r="D157" t="str">
        <f t="shared" si="36"/>
        <v>Masculino</v>
      </c>
      <c r="E157" t="str">
        <f t="shared" si="37"/>
        <v>De 18 a 20 años</v>
      </c>
      <c r="F157">
        <f t="shared" si="38"/>
        <v>19</v>
      </c>
      <c r="G157" s="9" t="s">
        <v>428</v>
      </c>
      <c r="H157" s="9" t="str">
        <f t="shared" si="39"/>
        <v>Tecnólogo</v>
      </c>
      <c r="I157" s="9" t="str">
        <f t="shared" si="40"/>
        <v>Tengo un emprendimiento o quiero iniciar uno</v>
      </c>
      <c r="J157" s="13" t="str">
        <f>IF(I157="Trabajo actualmente como empleado",IF(MOD((COUNTIF($I$2:I157,"Trabajo actualmente como empleado")-1)*37,150)&lt;100,"Empleado con contrato","Empleado sin contrato formal"),IF(I157="Trabajo de manera independiente","Trabajo independiente",""))</f>
        <v/>
      </c>
      <c r="K157" s="9" t="str">
        <f>IF(OR(I157="Trabajo actualmente como empleado",I157="Trabajo de manera independiente"),CHOOSE(MOD(COUNTIF($I$2:I157,I157)-1,4)+1,"Menos de 3 meses","De 3 a 6 meses","De 7 a 12 meses","Más de un año"),"")</f>
        <v/>
      </c>
      <c r="L157" t="str">
        <f>IF(OR(I157="Trabajo actualmente como empleado",I157="Trabajo de manera independiente"),CHOOSE(MOD(COUNTIF($I$2:I157,I157)-1,3)+1,"Sí, completamente","Parcialmente","No"),"")</f>
        <v/>
      </c>
      <c r="M157" t="str">
        <f>IF(OR(I157="Trabajo actualmente como empleado",I157="Trabajo de manera independiente"),CHOOSE(MOD(INT((COUNTIF($I$2:I157,I157)-1)/3),4)+1,"1- Muy satisfecho/a","2- Satisfecho/a","3- Insatisfecho/a","4- Muy insatisfecho/a"),"")</f>
        <v/>
      </c>
      <c r="N157" t="str">
        <f>IF(OR(I157="Trabajo actualmente como empleado",I157="Trabajo de manera independiente"),_xlfn.LET(_xlpm.opcion,MOD(INT((COUNTIF($I$2:I157,I157)-1)/5),6)+1,CHOOSE(IF(AND(_xlpm.opcion=6,L157="Sí, completamente"),5,_xlpm.opcion),"Salario","Estabilidad laboral","Horario","Acceso a prestaciones","Oportunidades de crecimiento","Trabajar en un área relacionada con mi formación")),"")</f>
        <v/>
      </c>
      <c r="O157" s="9" t="str">
        <f>IF(OR(I157="Trabajo actualmente como empleado",I157="Trabajo de manera independiente"),_xlfn.LET(_xlpm.turno,MOD(COUNTIF($I$2:I157,I157)-1,5),_xlpm.nivel,VALUE(LEFT(M157,1)),IF(_xlpm.turno=4,"No estoy seguro/a",IF(_xlpm.turno&lt;IF(_xlpm.nivel&lt;=2,1,3),"Sí","No"))),"")</f>
        <v/>
      </c>
      <c r="P157" s="9" t="str">
        <f>_xlfn.LET(_xlpm.perfil,I157,_xlpm.turno,COUNTIF($I$2:I157,_xlpm.perfil)-1,_xlpm.busca,OR(_xlpm.perfil="Actualmente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trabajar"),IF(AND(_xlpm.trabaja,O157="No"),"Todavía no he iniciado una búsqueda activa",CHOOSE(MOD(_xlpm.turno*3,5)+1,"Menos de 1 mes","Entre 1 y 3 meses","Entre 4 y 6 meses","Más de 6 meses","Todavía no he iniciado una búsqueda activa")),"")))</f>
        <v/>
      </c>
      <c r="Q157" t="str">
        <f>IF(I157="Tengo un emprendimiento o quiero iniciar uno","",CHOOSE(MOD(INT((COUNTIF($I$2:I157,I157)-1)/7),3)+1,"Sí","No","Tengo una pero necesito actualizarla"))</f>
        <v/>
      </c>
      <c r="R157" s="9" t="str">
        <f>IF(I157="Tengo un emprendimiento o quiero iniciar uno","",IF(I157="Busco mi primer empleo","No",IF(MOD(COUNTIF($I$2:I157,I157)-1,2)=0,"Sí","No")))</f>
        <v/>
      </c>
      <c r="S157" t="str">
        <f>IF(I157="Tengo un emprendimiento o quiero iniciar uno","",CHOOSE(MOD(INT((COUNTIF($I$2:I157,I157)-1)/3),10)+1,"Portales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57" t="str">
        <f>IF(I157="Tengo un emprendimiento o quiero iniciar uno","",_xlfn.LET(_xlpm.opcion,MOD(INT((COUNTIF($I$2:I157,I157)-1)/4),6)+1,CHOOSE(IF(AND(_xlpm.opcion=3,Q157="Sí"),1,_xlpm.opcion),"Falta de experiencia","Falta de formación","Dificultades con la hoja de vida","Horarios disponibles","Transporte","Internet")))</f>
        <v/>
      </c>
      <c r="U157" s="9" t="str">
        <f>IF(I157="Tengo un emprendimiento o quiero iniciar uno","",IF(MOD(INT((COUNTIF($I$2:I157,I157)-1)/3),2)=0,"Sí","No"))</f>
        <v/>
      </c>
      <c r="V157" s="9" t="str">
        <f>IF(I157="Tengo un emprendimiento o quiero iniciar uno",CHOOSE(MOD(COUNTIF($I$2:I157,I157)-1,3)+1,"Tengo un emprendimiento","Estoy iniciando un emprendimiento","Me interesa emprender"),"")</f>
        <v>Tengo un emprendimiento</v>
      </c>
      <c r="W157" t="str">
        <f t="shared" si="41"/>
        <v>Funcionamiento estable</v>
      </c>
      <c r="X157" s="9" t="str">
        <f>IF(I157="Tengo un emprendimiento o quiero iniciar uno",CHOOSE(MOD(COUNTIF($I$2:I157,I157)-1,5)+1,"Falta de financiación","Falta de conocimientos administrativos","Falta de conocimientos financieros","Falta de tiempo","Falta de herramientas"),"")</f>
        <v>Falta de conocimientos financieros</v>
      </c>
      <c r="Y157" s="9" t="str">
        <f t="shared" si="42"/>
        <v>Falta de conocimientos financieros</v>
      </c>
      <c r="Z157" t="str">
        <f>IF(I157="Tengo un emprendimiento o quiero iniciar uno",CHOOSE(INT(MOD((COUNTIF($I$2:I157,I157)-1)*7,39)/13)+1,"Sí","No","No conozco programas de ese tipo"),"")</f>
        <v>Sí</v>
      </c>
      <c r="AA157" t="str">
        <f t="shared" si="43"/>
        <v>Puedo hacerlo sin ayuda</v>
      </c>
      <c r="AB157" t="str">
        <f t="shared" si="43"/>
        <v>Puedo hacerlo sin ayuda</v>
      </c>
      <c r="AC157" t="str">
        <f t="shared" si="44"/>
        <v>Puedo hacerlo sin ayuda</v>
      </c>
      <c r="AD157" s="9" t="str">
        <f t="shared" si="45"/>
        <v>No puedo hacerlo</v>
      </c>
      <c r="AE157" t="str">
        <f t="shared" si="46"/>
        <v>Puedo hacerlo sin ayuda</v>
      </c>
      <c r="AF157" s="9" t="str">
        <f t="shared" si="47"/>
        <v>Comunicación;Liderazgo</v>
      </c>
      <c r="AG157" s="9" t="str">
        <f t="shared" si="48"/>
        <v>Costos de transporte;Distancia</v>
      </c>
      <c r="AH157" t="str">
        <f t="shared" si="49"/>
        <v>Programas de emprendimiento</v>
      </c>
      <c r="AI157" s="9" t="str">
        <f t="shared" si="50"/>
        <v>Presencial</v>
      </c>
      <c r="AJ157" s="9" t="str">
        <f t="shared" si="51"/>
        <v>Fines de semana</v>
      </c>
      <c r="AK157" s="9" t="str">
        <f t="shared" si="52"/>
        <v>Celular</v>
      </c>
    </row>
    <row r="158" spans="1:37">
      <c r="A158" t="str">
        <f t="shared" si="53"/>
        <v>SG157</v>
      </c>
      <c r="B158" t="s">
        <v>418</v>
      </c>
      <c r="C158" s="9" t="s">
        <v>427</v>
      </c>
      <c r="D158" t="str">
        <f t="shared" si="36"/>
        <v>Femenino</v>
      </c>
      <c r="E158" t="str">
        <f t="shared" si="37"/>
        <v>De 20 a 22 años</v>
      </c>
      <c r="F158">
        <f t="shared" si="38"/>
        <v>21</v>
      </c>
      <c r="G158" s="9" t="s">
        <v>428</v>
      </c>
      <c r="H158" s="9" t="str">
        <f t="shared" si="39"/>
        <v>Tecnólogo</v>
      </c>
      <c r="I158" s="9" t="str">
        <f t="shared" si="40"/>
        <v>Trabajo de manera independiente</v>
      </c>
      <c r="J158" s="13" t="str">
        <f>IF(I158="Trabajo actualmente como empleado",IF(MOD((COUNTIF($I$2:I158,"Trabajo actualmente como empleado")-1)*37,150)&lt;100,"Empleado con contrato","Empleado sin contrato formal"),IF(I158="Trabajo de manera independiente","Trabajo independiente",""))</f>
        <v>Trabajo independiente</v>
      </c>
      <c r="K158" s="9" t="str">
        <f>IF(OR(I158="Trabajo actualmente como empleado",I158="Trabajo de manera independiente"),CHOOSE(MOD(COUNTIF($I$2:I158,I158)-1,4)+1,"Menos de 3 meses","De 3 a 6 meses","De 7 a 12 meses","Más de un año"),"")</f>
        <v>De 7 a 12 meses</v>
      </c>
      <c r="L158" t="str">
        <f>IF(OR(I158="Trabajo actualmente como empleado",I158="Trabajo de manera independiente"),CHOOSE(MOD(COUNTIF($I$2:I158,I158)-1,3)+1,"Sí, completamente","Parcialmente","No"),"")</f>
        <v>No</v>
      </c>
      <c r="M158" t="str">
        <f>IF(OR(I158="Trabajo actualmente como empleado",I158="Trabajo de manera independiente"),CHOOSE(MOD(INT((COUNTIF($I$2:I158,I158)-1)/3),4)+1,"1- Muy satisfecho/a","2- Satisfecho/a","3- Insatisfecho/a","4- Muy insatisfecho/a"),"")</f>
        <v>1- Muy satisfecho/a</v>
      </c>
      <c r="N158" t="str">
        <f>IF(OR(I158="Trabajo actualmente como empleado",I158="Trabajo de manera independiente"),_xlfn.LET(_xlpm.opcion,MOD(INT((COUNTIF($I$2:I158,I158)-1)/5),6)+1,CHOOSE(IF(AND(_xlpm.opcion=6,L158="Sí,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58" s="9" t="str">
        <f>IF(OR(I158="Trabajo actualmente como empleado",I158="Trabajo de manera independiente"),_xlfn.LET(_xlpm.turno,MOD(COUNTIF($I$2:I158,I158)-1,5),_xlpm.nivel,VALUE(LEFT(M158,1)),IF(_xlpm.turno=4,"No estoy seguro/a",IF(_xlpm.turno&lt;IF(_xlpm.nivel&lt;=2,1,3),"Sí","No"))),"")</f>
        <v>No</v>
      </c>
      <c r="P158" s="9" t="str">
        <f>_xlfn.LET(_xlpm.perfil,I158,_xlpm.turno,COUNTIF($I$2:I158,_xlpm.perfil)-1,_xlpm.busca,OR(_xlpm.perfil="Actualmente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58" t="str">
        <f>IF(I158="Tengo un emprendimiento o quiero iniciar uno","",CHOOSE(MOD(INT((COUNTIF($I$2:I158,I158)-1)/7),3)+1,"Sí","No","Tengo una pero necesito actualizarla"))</f>
        <v>Sí</v>
      </c>
      <c r="R158" s="9" t="str">
        <f>IF(I158="Tengo un emprendimiento o quiero iniciar uno","",IF(I158="Busco mi primer empleo","No",IF(MOD(COUNTIF($I$2:I158,I158)-1,2)=0,"Sí","No")))</f>
        <v>Sí</v>
      </c>
      <c r="S158" t="str">
        <f>IF(I158="Tengo un emprendimiento o quiero iniciar uno","",CHOOSE(MOD(INT((COUNTIF($I$2:I158,I158)-1)/3),10)+1,"Portales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58" t="str">
        <f>IF(I158="Tengo un emprendimiento o quiero iniciar uno","",_xlfn.LET(_xlpm.opcion,MOD(INT((COUNTIF($I$2:I158,I158)-1)/4),6)+1,CHOOSE(IF(AND(_xlpm.opcion=3,Q158="Sí"),1,_xlpm.opcion),"Falta de experiencia","Falta de formación","Dificultades con la hoja de vida","Horarios disponibles","Transporte","Internet")))</f>
        <v>Falta de experiencia</v>
      </c>
      <c r="U158" s="9" t="str">
        <f>IF(I158="Tengo un emprendimiento o quiero iniciar uno","",IF(MOD(INT((COUNTIF($I$2:I158,I158)-1)/3),2)=0,"Sí","No"))</f>
        <v>Sí</v>
      </c>
      <c r="V158" s="9" t="str">
        <f>IF(I158="Tengo un emprendimiento o quiero iniciar uno",CHOOSE(MOD(COUNTIF($I$2:I158,I158)-1,3)+1,"Tengo un emprendimiento","Estoy iniciando un emprendimiento","Me interesa emprender"),"")</f>
        <v/>
      </c>
      <c r="W158" t="str">
        <f t="shared" si="41"/>
        <v/>
      </c>
      <c r="X158" s="9" t="str">
        <f>IF(I158="Tengo un emprendimiento o quiero iniciar uno",CHOOSE(MOD(COUNTIF($I$2:I158,I158)-1,5)+1,"Falta de financiación","Falta de conocimientos administrativos","Falta de conocimientos financieros","Falta de tiempo","Falta de herramientas"),"")</f>
        <v/>
      </c>
      <c r="Y158" s="9" t="str">
        <f t="shared" si="42"/>
        <v/>
      </c>
      <c r="Z158" t="str">
        <f>IF(I158="Tengo un emprendimiento o quiero iniciar uno",CHOOSE(INT(MOD((COUNTIF($I$2:I158,I158)-1)*7,39)/13)+1,"Sí","No","No conozco programas de ese tipo"),"")</f>
        <v/>
      </c>
      <c r="AA158" t="str">
        <f t="shared" si="43"/>
        <v>No puedo hacerlo</v>
      </c>
      <c r="AB158" t="str">
        <f t="shared" si="43"/>
        <v>No puedo hacerlo</v>
      </c>
      <c r="AC158" t="str">
        <f t="shared" si="44"/>
        <v>Puedo hacerlo con ayuda</v>
      </c>
      <c r="AD158" s="9" t="str">
        <f t="shared" si="45"/>
        <v>Puedo hacerlo con ayuda</v>
      </c>
      <c r="AE158" t="str">
        <f t="shared" si="46"/>
        <v>No puedo hacerlo</v>
      </c>
      <c r="AF158" s="9" t="str">
        <f t="shared" si="47"/>
        <v>Herramientas digitales;Educación financiera</v>
      </c>
      <c r="AG158" s="9" t="str">
        <f t="shared" si="48"/>
        <v>Falta de información</v>
      </c>
      <c r="AH158" t="str">
        <f t="shared" si="49"/>
        <v>No conozco ninguno</v>
      </c>
      <c r="AI158" s="9" t="str">
        <f t="shared" si="50"/>
        <v>Presencial y virtual</v>
      </c>
      <c r="AJ158" s="9" t="str">
        <f t="shared" si="51"/>
        <v>Nocturno</v>
      </c>
      <c r="AK158" s="9" t="str">
        <f t="shared" si="52"/>
        <v>WhatsApp</v>
      </c>
    </row>
    <row r="159" spans="1:37">
      <c r="A159" t="str">
        <f t="shared" si="53"/>
        <v>SG158</v>
      </c>
      <c r="B159" t="s">
        <v>418</v>
      </c>
      <c r="C159" s="9" t="s">
        <v>427</v>
      </c>
      <c r="D159" t="str">
        <f t="shared" si="36"/>
        <v>Femenino</v>
      </c>
      <c r="E159" t="str">
        <f t="shared" si="37"/>
        <v>De 22 a 24 años</v>
      </c>
      <c r="F159">
        <f t="shared" si="38"/>
        <v>23</v>
      </c>
      <c r="G159" s="9" t="s">
        <v>428</v>
      </c>
      <c r="H159" s="9" t="str">
        <f t="shared" si="39"/>
        <v>Profesional</v>
      </c>
      <c r="I159" s="9" t="str">
        <f t="shared" si="40"/>
        <v>Busco mi primer empleo</v>
      </c>
      <c r="J159" s="13" t="str">
        <f>IF(I159="Trabajo actualmente como empleado",IF(MOD((COUNTIF($I$2:I159,"Trabajo actualmente como empleado")-1)*37,150)&lt;100,"Empleado con contrato","Empleado sin contrato formal"),IF(I159="Trabajo de manera independiente","Trabajo independiente",""))</f>
        <v/>
      </c>
      <c r="K159" s="9" t="str">
        <f>IF(OR(I159="Trabajo actualmente como empleado",I159="Trabajo de manera independiente"),CHOOSE(MOD(COUNTIF($I$2:I159,I159)-1,4)+1,"Menos de 3 meses","De 3 a 6 meses","De 7 a 12 meses","Más de un año"),"")</f>
        <v/>
      </c>
      <c r="L159" t="str">
        <f>IF(OR(I159="Trabajo actualmente como empleado",I159="Trabajo de manera independiente"),CHOOSE(MOD(COUNTIF($I$2:I159,I159)-1,3)+1,"Sí, completamente","Parcialmente","No"),"")</f>
        <v/>
      </c>
      <c r="M159" t="str">
        <f>IF(OR(I159="Trabajo actualmente como empleado",I159="Trabajo de manera independiente"),CHOOSE(MOD(INT((COUNTIF($I$2:I159,I159)-1)/3),4)+1,"1- Muy satisfecho/a","2- Satisfecho/a","3- Insatisfecho/a","4- Muy insatisfecho/a"),"")</f>
        <v/>
      </c>
      <c r="N159" t="str">
        <f>IF(OR(I159="Trabajo actualmente como empleado",I159="Trabajo de manera independiente"),_xlfn.LET(_xlpm.opcion,MOD(INT((COUNTIF($I$2:I159,I159)-1)/5),6)+1,CHOOSE(IF(AND(_xlpm.opcion=6,L159="Sí, completamente"),5,_xlpm.opcion),"Salario","Estabilidad laboral","Horario","Acceso a prestaciones","Oportunidades de crecimiento","Trabajar en un área relacionada con mi formación")),"")</f>
        <v/>
      </c>
      <c r="O159" s="9" t="str">
        <f>IF(OR(I159="Trabajo actualmente como empleado",I159="Trabajo de manera independiente"),_xlfn.LET(_xlpm.turno,MOD(COUNTIF($I$2:I159,I159)-1,5),_xlpm.nivel,VALUE(LEFT(M159,1)),IF(_xlpm.turno=4,"No estoy seguro/a",IF(_xlpm.turno&lt;IF(_xlpm.nivel&lt;=2,1,3),"Sí","No"))),"")</f>
        <v/>
      </c>
      <c r="P159" s="9" t="str">
        <f>_xlfn.LET(_xlpm.perfil,I159,_xlpm.turno,COUNTIF($I$2:I159,_xlpm.perfil)-1,_xlpm.busca,OR(_xlpm.perfil="Actualmente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trabajar"),IF(AND(_xlpm.trabaja,O159="No"),"Todavía no he iniciado una búsqueda activa",CHOOSE(MOD(_xlpm.turno*3,5)+1,"Menos de 1 mes","Entre 1 y 3 meses","Entre 4 y 6 meses","Más de 6 meses","Todavía no he iniciado una búsqueda activa")),"")))</f>
        <v>Más de 6 meses</v>
      </c>
      <c r="Q159" t="str">
        <f>IF(I159="Tengo un emprendimiento o quiero iniciar uno","",CHOOSE(MOD(INT((COUNTIF($I$2:I159,I159)-1)/7),3)+1,"Sí","No","Tengo una pero necesito actualizarla"))</f>
        <v>Sí</v>
      </c>
      <c r="R159" s="9" t="str">
        <f>IF(I159="Tengo un emprendimiento o quiero iniciar uno","",IF(I159="Busco mi primer empleo","No",IF(MOD(COUNTIF($I$2:I159,I159)-1,2)=0,"Sí","No")))</f>
        <v>No</v>
      </c>
      <c r="S159" t="str">
        <f>IF(I159="Tengo un emprendimiento o quiero iniciar uno","",CHOOSE(MOD(INT((COUNTIF($I$2:I159,I159)-1)/3),10)+1,"Portales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59" t="str">
        <f>IF(I159="Tengo un emprendimiento o quiero iniciar uno","",_xlfn.LET(_xlpm.opcion,MOD(INT((COUNTIF($I$2:I159,I159)-1)/4),6)+1,CHOOSE(IF(AND(_xlpm.opcion=3,Q159="Sí"),1,_xlpm.opcion),"Falta de experiencia","Falta de formación","Dificultades con la hoja de vida","Horarios disponibles","Transporte","Internet")))</f>
        <v>Internet</v>
      </c>
      <c r="U159" s="9" t="str">
        <f>IF(I159="Tengo un emprendimiento o quiero iniciar uno","",IF(MOD(INT((COUNTIF($I$2:I159,I159)-1)/3),2)=0,"Sí","No"))</f>
        <v>No</v>
      </c>
      <c r="V159" s="9" t="str">
        <f>IF(I159="Tengo un emprendimiento o quiero iniciar uno",CHOOSE(MOD(COUNTIF($I$2:I159,I159)-1,3)+1,"Tengo un emprendimiento","Estoy iniciando un emprendimiento","Me interesa emprender"),"")</f>
        <v/>
      </c>
      <c r="W159" t="str">
        <f t="shared" si="41"/>
        <v/>
      </c>
      <c r="X159" s="9" t="str">
        <f>IF(I159="Tengo un emprendimiento o quiero iniciar uno",CHOOSE(MOD(COUNTIF($I$2:I159,I159)-1,5)+1,"Falta de financiación","Falta de conocimientos administrativos","Falta de conocimientos financieros","Falta de tiempo","Falta de herramientas"),"")</f>
        <v/>
      </c>
      <c r="Y159" s="9" t="str">
        <f t="shared" si="42"/>
        <v/>
      </c>
      <c r="Z159" t="str">
        <f>IF(I159="Tengo un emprendimiento o quiero iniciar uno",CHOOSE(INT(MOD((COUNTIF($I$2:I159,I159)-1)*7,39)/13)+1,"Sí","No","No conozco programas de ese tipo"),"")</f>
        <v/>
      </c>
      <c r="AA159" t="str">
        <f t="shared" si="43"/>
        <v>Puedo hacerlo con dificultad</v>
      </c>
      <c r="AB159" t="str">
        <f t="shared" si="43"/>
        <v>Puedo hacerlo con dificultad</v>
      </c>
      <c r="AC159" t="str">
        <f t="shared" si="44"/>
        <v>Puedo hacerlo con dificultad</v>
      </c>
      <c r="AD159" s="9" t="str">
        <f t="shared" si="45"/>
        <v>Puedo hacerlo con ayuda</v>
      </c>
      <c r="AE159" t="str">
        <f t="shared" si="46"/>
        <v>Puedo hacerlo con ayuda</v>
      </c>
      <c r="AF159" s="9" t="str">
        <f t="shared" si="47"/>
        <v>Crear una hoja de vida</v>
      </c>
      <c r="AG159" s="9" t="str">
        <f t="shared" si="48"/>
        <v>Falta de información</v>
      </c>
      <c r="AH159" t="str">
        <f t="shared" si="49"/>
        <v>Ferias de empleo</v>
      </c>
      <c r="AI159" s="9" t="str">
        <f t="shared" si="50"/>
        <v>Me es indiferente</v>
      </c>
      <c r="AJ159" s="9" t="str">
        <f t="shared" si="51"/>
        <v>Mañana entre semana</v>
      </c>
      <c r="AK159" s="9" t="str">
        <f t="shared" si="52"/>
        <v>Redes sociales</v>
      </c>
    </row>
    <row r="160" spans="1:37">
      <c r="A160" t="str">
        <f t="shared" si="53"/>
        <v>SG159</v>
      </c>
      <c r="B160" t="s">
        <v>418</v>
      </c>
      <c r="C160" s="9" t="s">
        <v>427</v>
      </c>
      <c r="D160" t="str">
        <f t="shared" si="36"/>
        <v>Masculino</v>
      </c>
      <c r="E160" t="str">
        <f t="shared" si="37"/>
        <v>De 24 a 26 años</v>
      </c>
      <c r="F160">
        <f t="shared" si="38"/>
        <v>25</v>
      </c>
      <c r="G160" s="9" t="s">
        <v>428</v>
      </c>
      <c r="H160" s="9" t="str">
        <f t="shared" si="39"/>
        <v>Posgrado</v>
      </c>
      <c r="I160" s="9" t="str">
        <f t="shared" si="40"/>
        <v>Trabajo actualmente como empleado</v>
      </c>
      <c r="J160" s="13" t="str">
        <f>IF(I160="Trabajo actualmente como empleado",IF(MOD((COUNTIF($I$2:I160,"Trabajo actualmente como empleado")-1)*37,150)&lt;100,"Empleado con contrato","Empleado sin contrato formal"),IF(I160="Trabajo de manera independiente","Trabajo independiente",""))</f>
        <v>Empleado con contrato</v>
      </c>
      <c r="K160" s="9" t="str">
        <f>IF(OR(I160="Trabajo actualmente como empleado",I160="Trabajo de manera independiente"),CHOOSE(MOD(COUNTIF($I$2:I160,I160)-1,4)+1,"Menos de 3 meses","De 3 a 6 meses","De 7 a 12 meses","Más de un año"),"")</f>
        <v>Más de un año</v>
      </c>
      <c r="L160" t="str">
        <f>IF(OR(I160="Trabajo actualmente como empleado",I160="Trabajo de manera independiente"),CHOOSE(MOD(COUNTIF($I$2:I160,I160)-1,3)+1,"Sí, completamente","Parcialmente","No"),"")</f>
        <v>Sí, completamente</v>
      </c>
      <c r="M160" t="str">
        <f>IF(OR(I160="Trabajo actualmente como empleado",I160="Trabajo de manera independiente"),CHOOSE(MOD(INT((COUNTIF($I$2:I160,I160)-1)/3),4)+1,"1- Muy satisfecho/a","2- Satisfecho/a","3- Insatisfecho/a","4- Muy insatisfecho/a"),"")</f>
        <v>2- Satisfecho/a</v>
      </c>
      <c r="N160" t="str">
        <f>IF(OR(I160="Trabajo actualmente como empleado",I160="Trabajo de manera independiente"),_xlfn.LET(_xlpm.opcion,MOD(INT((COUNTIF($I$2:I160,I160)-1)/5),6)+1,CHOOSE(IF(AND(_xlpm.opcion=6,L160="Sí, completamente"),5,_xlpm.opcion),"Salario","Estabilidad laboral","Horario","Acceso a prestaciones","Oportunidades de crecimiento","Trabajar en un área relacionada con mi formación")),"")</f>
        <v>Oportunidades de crecimiento</v>
      </c>
      <c r="O160" s="9" t="str">
        <f>IF(OR(I160="Trabajo actualmente como empleado",I160="Trabajo de manera independiente"),_xlfn.LET(_xlpm.turno,MOD(COUNTIF($I$2:I160,I160)-1,5),_xlpm.nivel,VALUE(LEFT(M160,1)),IF(_xlpm.turno=4,"No estoy seguro/a",IF(_xlpm.turno&lt;IF(_xlpm.nivel&lt;=2,1,3),"Sí","No"))),"")</f>
        <v>No</v>
      </c>
      <c r="P160" s="9" t="str">
        <f>_xlfn.LET(_xlpm.perfil,I160,_xlpm.turno,COUNTIF($I$2:I160,_xlpm.perfil)-1,_xlpm.busca,OR(_xlpm.perfil="Actualmente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60" t="str">
        <f>IF(I160="Tengo un emprendimiento o quiero iniciar uno","",CHOOSE(MOD(INT((COUNTIF($I$2:I160,I160)-1)/7),3)+1,"Sí","No","Tengo una pero necesito actualizarla"))</f>
        <v>No</v>
      </c>
      <c r="R160" s="9" t="str">
        <f>IF(I160="Tengo un emprendimiento o quiero iniciar uno","",IF(I160="Busco mi primer empleo","No",IF(MOD(COUNTIF($I$2:I160,I160)-1,2)=0,"Sí","No")))</f>
        <v>No</v>
      </c>
      <c r="S160" t="str">
        <f>IF(I160="Tengo un emprendimiento o quiero iniciar uno","",CHOOSE(MOD(INT((COUNTIF($I$2:I160,I160)-1)/3),10)+1,"Portales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60" t="str">
        <f>IF(I160="Tengo un emprendimiento o quiero iniciar uno","",_xlfn.LET(_xlpm.opcion,MOD(INT((COUNTIF($I$2:I160,I160)-1)/4),6)+1,CHOOSE(IF(AND(_xlpm.opcion=3,Q160="Sí"),1,_xlpm.opcion),"Falta de experiencia","Falta de formación","Dificultades con la hoja de vida","Horarios disponibles","Transporte","Internet")))</f>
        <v>Falta de experiencia</v>
      </c>
      <c r="U160" s="9" t="str">
        <f>IF(I160="Tengo un emprendimiento o quiero iniciar uno","",IF(MOD(INT((COUNTIF($I$2:I160,I160)-1)/3),2)=0,"Sí","No"))</f>
        <v>No</v>
      </c>
      <c r="V160" s="9" t="str">
        <f>IF(I160="Tengo un emprendimiento o quiero iniciar uno",CHOOSE(MOD(COUNTIF($I$2:I160,I160)-1,3)+1,"Tengo un emprendimiento","Estoy iniciando un emprendimiento","Me interesa emprender"),"")</f>
        <v/>
      </c>
      <c r="W160" t="str">
        <f t="shared" si="41"/>
        <v/>
      </c>
      <c r="X160" s="9" t="str">
        <f>IF(I160="Tengo un emprendimiento o quiero iniciar uno",CHOOSE(MOD(COUNTIF($I$2:I160,I160)-1,5)+1,"Falta de financiación","Falta de conocimientos administrativos","Falta de conocimientos financieros","Falta de tiempo","Falta de herramientas"),"")</f>
        <v/>
      </c>
      <c r="Y160" s="9" t="str">
        <f t="shared" si="42"/>
        <v/>
      </c>
      <c r="Z160" t="str">
        <f>IF(I160="Tengo un emprendimiento o quiero iniciar uno",CHOOSE(INT(MOD((COUNTIF($I$2:I160,I160)-1)*7,39)/13)+1,"Sí","No","No conozco programas de ese tipo"),"")</f>
        <v/>
      </c>
      <c r="AA160" t="str">
        <f t="shared" si="43"/>
        <v>No puedo hacerlo</v>
      </c>
      <c r="AB160" t="str">
        <f t="shared" si="43"/>
        <v>No puedo hacerlo</v>
      </c>
      <c r="AC160" t="str">
        <f t="shared" si="44"/>
        <v>Puedo hacerlo sin ayuda</v>
      </c>
      <c r="AD160" s="9" t="str">
        <f t="shared" si="45"/>
        <v>Puedo hacerlo con dificultad</v>
      </c>
      <c r="AE160" t="str">
        <f t="shared" si="46"/>
        <v>Puedo hacerlo con ayuda</v>
      </c>
      <c r="AF160" s="9" t="str">
        <f t="shared" si="47"/>
        <v>Preparación para entrevista</v>
      </c>
      <c r="AG160" s="9" t="str">
        <f t="shared" si="48"/>
        <v>Falta de información</v>
      </c>
      <c r="AH160" t="str">
        <f t="shared" si="49"/>
        <v>No conozco ninguno</v>
      </c>
      <c r="AI160" s="9" t="str">
        <f t="shared" si="50"/>
        <v>Presencial</v>
      </c>
      <c r="AJ160" s="9" t="str">
        <f t="shared" si="51"/>
        <v>Fines de semana</v>
      </c>
      <c r="AK160" s="9" t="str">
        <f t="shared" si="52"/>
        <v>Celular</v>
      </c>
    </row>
    <row r="161" spans="1:37">
      <c r="A161" t="str">
        <f t="shared" si="53"/>
        <v>SG160</v>
      </c>
      <c r="B161" t="s">
        <v>418</v>
      </c>
      <c r="C161" s="9" t="s">
        <v>427</v>
      </c>
      <c r="D161" t="str">
        <f t="shared" si="36"/>
        <v>Masculino</v>
      </c>
      <c r="E161" t="str">
        <f t="shared" si="37"/>
        <v>De 26 a 28 años</v>
      </c>
      <c r="F161">
        <f t="shared" si="38"/>
        <v>27</v>
      </c>
      <c r="G161" s="9" t="s">
        <v>428</v>
      </c>
      <c r="H161" s="9" t="str">
        <f t="shared" si="39"/>
        <v>Bachiller</v>
      </c>
      <c r="I161" s="9" t="str">
        <f t="shared" si="40"/>
        <v>Trabajo de manera independiente</v>
      </c>
      <c r="J161" s="13" t="str">
        <f>IF(I161="Trabajo actualmente como empleado",IF(MOD((COUNTIF($I$2:I161,"Trabajo actualmente como empleado")-1)*37,150)&lt;100,"Empleado con contrato","Empleado sin contrato formal"),IF(I161="Trabajo de manera independiente","Trabajo independiente",""))</f>
        <v>Trabajo independiente</v>
      </c>
      <c r="K161" s="9" t="str">
        <f>IF(OR(I161="Trabajo actualmente como empleado",I161="Trabajo de manera independiente"),CHOOSE(MOD(COUNTIF($I$2:I161,I161)-1,4)+1,"Menos de 3 meses","De 3 a 6 meses","De 7 a 12 meses","Más de un año"),"")</f>
        <v>Más de un año</v>
      </c>
      <c r="L161" t="str">
        <f>IF(OR(I161="Trabajo actualmente como empleado",I161="Trabajo de manera independiente"),CHOOSE(MOD(COUNTIF($I$2:I161,I161)-1,3)+1,"Sí, completamente","Parcialmente","No"),"")</f>
        <v>Sí, completamente</v>
      </c>
      <c r="M161" t="str">
        <f>IF(OR(I161="Trabajo actualmente como empleado",I161="Trabajo de manera independiente"),CHOOSE(MOD(INT((COUNTIF($I$2:I161,I161)-1)/3),4)+1,"1- Muy satisfecho/a","2- Satisfecho/a","3- Insatisfecho/a","4- Muy insatisfecho/a"),"")</f>
        <v>2- Satisfecho/a</v>
      </c>
      <c r="N161" t="str">
        <f>IF(OR(I161="Trabajo actualmente como empleado",I161="Trabajo de manera independiente"),_xlfn.LET(_xlpm.opcion,MOD(INT((COUNTIF($I$2:I161,I161)-1)/5),6)+1,CHOOSE(IF(AND(_xlpm.opcion=6,L161="Sí, completamente"),5,_xlpm.opcion),"Salario","Estabilidad laboral","Horario","Acceso a prestaciones","Oportunidades de crecimiento","Trabajar en un área relacionada con mi formación")),"")</f>
        <v>Oportunidades de crecimiento</v>
      </c>
      <c r="O161" s="9" t="str">
        <f>IF(OR(I161="Trabajo actualmente como empleado",I161="Trabajo de manera independiente"),_xlfn.LET(_xlpm.turno,MOD(COUNTIF($I$2:I161,I161)-1,5),_xlpm.nivel,VALUE(LEFT(M161,1)),IF(_xlpm.turno=4,"No estoy seguro/a",IF(_xlpm.turno&lt;IF(_xlpm.nivel&lt;=2,1,3),"Sí","No"))),"")</f>
        <v>No</v>
      </c>
      <c r="P161" s="9" t="str">
        <f>_xlfn.LET(_xlpm.perfil,I161,_xlpm.turno,COUNTIF($I$2:I161,_xlpm.perfil)-1,_xlpm.busca,OR(_xlpm.perfil="Actualmente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61" t="str">
        <f>IF(I161="Tengo un emprendimiento o quiero iniciar uno","",CHOOSE(MOD(INT((COUNTIF($I$2:I161,I161)-1)/7),3)+1,"Sí","No","Tengo una pero necesito actualizarla"))</f>
        <v>Sí</v>
      </c>
      <c r="R161" s="9" t="str">
        <f>IF(I161="Tengo un emprendimiento o quiero iniciar uno","",IF(I161="Busco mi primer empleo","No",IF(MOD(COUNTIF($I$2:I161,I161)-1,2)=0,"Sí","No")))</f>
        <v>No</v>
      </c>
      <c r="S161" t="str">
        <f>IF(I161="Tengo un emprendimiento o quiero iniciar uno","",CHOOSE(MOD(INT((COUNTIF($I$2:I161,I161)-1)/3),10)+1,"Portales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61" t="str">
        <f>IF(I161="Tengo un emprendimiento o quiero iniciar uno","",_xlfn.LET(_xlpm.opcion,MOD(INT((COUNTIF($I$2:I161,I161)-1)/4),6)+1,CHOOSE(IF(AND(_xlpm.opcion=3,Q161="Sí"),1,_xlpm.opcion),"Falta de experiencia","Falta de formación","Dificultades con la hoja de vida","Horarios disponibles","Transporte","Internet")))</f>
        <v>Falta de experiencia</v>
      </c>
      <c r="U161" s="9" t="str">
        <f>IF(I161="Tengo un emprendimiento o quiero iniciar uno","",IF(MOD(INT((COUNTIF($I$2:I161,I161)-1)/3),2)=0,"Sí","No"))</f>
        <v>No</v>
      </c>
      <c r="V161" s="9" t="str">
        <f>IF(I161="Tengo un emprendimiento o quiero iniciar uno",CHOOSE(MOD(COUNTIF($I$2:I161,I161)-1,3)+1,"Tengo un emprendimiento","Estoy iniciando un emprendimiento","Me interesa emprender"),"")</f>
        <v/>
      </c>
      <c r="W161" t="str">
        <f t="shared" si="41"/>
        <v/>
      </c>
      <c r="X161" s="9" t="str">
        <f>IF(I161="Tengo un emprendimiento o quiero iniciar uno",CHOOSE(MOD(COUNTIF($I$2:I161,I161)-1,5)+1,"Falta de financiación","Falta de conocimientos administrativos","Falta de conocimientos financieros","Falta de tiempo","Falta de herramientas"),"")</f>
        <v/>
      </c>
      <c r="Y161" s="9" t="str">
        <f t="shared" si="42"/>
        <v/>
      </c>
      <c r="Z161" t="str">
        <f>IF(I161="Tengo un emprendimiento o quiero iniciar uno",CHOOSE(INT(MOD((COUNTIF($I$2:I161,I161)-1)*7,39)/13)+1,"Sí","No","No conozco programas de ese tipo"),"")</f>
        <v/>
      </c>
      <c r="AA161" t="str">
        <f t="shared" si="43"/>
        <v>Puedo hacerlo con ayuda</v>
      </c>
      <c r="AB161" t="str">
        <f t="shared" si="43"/>
        <v>Puedo hacerlo con ayuda</v>
      </c>
      <c r="AC161" t="str">
        <f t="shared" si="44"/>
        <v>Puedo hacerlo con ayuda</v>
      </c>
      <c r="AD161" s="9" t="str">
        <f t="shared" si="45"/>
        <v>Puedo hacerlo sin ayuda</v>
      </c>
      <c r="AE161" t="str">
        <f t="shared" si="46"/>
        <v>Puedo hacerlo con dificultad</v>
      </c>
      <c r="AF161" s="9" t="str">
        <f t="shared" si="47"/>
        <v>Comunicación</v>
      </c>
      <c r="AG161" s="9" t="str">
        <f t="shared" si="48"/>
        <v>Horarios</v>
      </c>
      <c r="AH161" t="str">
        <f t="shared" si="49"/>
        <v>Oficina de orientación laboral</v>
      </c>
      <c r="AI161" s="9" t="str">
        <f t="shared" si="50"/>
        <v>Virtual</v>
      </c>
      <c r="AJ161" s="9" t="str">
        <f t="shared" si="51"/>
        <v>Nocturno</v>
      </c>
      <c r="AK161" s="9" t="str">
        <f t="shared" si="52"/>
        <v>Correo electrónico</v>
      </c>
    </row>
    <row r="162" spans="1:37">
      <c r="A162" t="str">
        <f t="shared" si="53"/>
        <v>SG161</v>
      </c>
      <c r="B162" t="s">
        <v>418</v>
      </c>
      <c r="C162" s="9" t="s">
        <v>427</v>
      </c>
      <c r="D162" t="str">
        <f t="shared" si="36"/>
        <v>Femenino</v>
      </c>
      <c r="E162" t="str">
        <f t="shared" si="37"/>
        <v>De 18 a 20 años</v>
      </c>
      <c r="F162">
        <f t="shared" si="38"/>
        <v>18</v>
      </c>
      <c r="G162" s="9" t="s">
        <v>428</v>
      </c>
      <c r="H162" s="9" t="str">
        <f t="shared" si="39"/>
        <v>Bachiller</v>
      </c>
      <c r="I162" s="9" t="str">
        <f t="shared" si="40"/>
        <v>Busco mi primer empleo</v>
      </c>
      <c r="J162" s="13" t="str">
        <f>IF(I162="Trabajo actualmente como empleado",IF(MOD((COUNTIF($I$2:I162,"Trabajo actualmente como empleado")-1)*37,150)&lt;100,"Empleado con contrato","Empleado sin contrato formal"),IF(I162="Trabajo de manera independiente","Trabajo independiente",""))</f>
        <v/>
      </c>
      <c r="K162" s="9" t="str">
        <f>IF(OR(I162="Trabajo actualmente como empleado",I162="Trabajo de manera independiente"),CHOOSE(MOD(COUNTIF($I$2:I162,I162)-1,4)+1,"Menos de 3 meses","De 3 a 6 meses","De 7 a 12 meses","Más de un año"),"")</f>
        <v/>
      </c>
      <c r="L162" t="str">
        <f>IF(OR(I162="Trabajo actualmente como empleado",I162="Trabajo de manera independiente"),CHOOSE(MOD(COUNTIF($I$2:I162,I162)-1,3)+1,"Sí, completamente","Parcialmente","No"),"")</f>
        <v/>
      </c>
      <c r="M162" t="str">
        <f>IF(OR(I162="Trabajo actualmente como empleado",I162="Trabajo de manera independiente"),CHOOSE(MOD(INT((COUNTIF($I$2:I162,I162)-1)/3),4)+1,"1- Muy satisfecho/a","2- Satisfecho/a","3- Insatisfecho/a","4- Muy insatisfecho/a"),"")</f>
        <v/>
      </c>
      <c r="N162" t="str">
        <f>IF(OR(I162="Trabajo actualmente como empleado",I162="Trabajo de manera independiente"),_xlfn.LET(_xlpm.opcion,MOD(INT((COUNTIF($I$2:I162,I162)-1)/5),6)+1,CHOOSE(IF(AND(_xlpm.opcion=6,L162="Sí, completamente"),5,_xlpm.opcion),"Salario","Estabilidad laboral","Horario","Acceso a prestaciones","Oportunidades de crecimiento","Trabajar en un área relacionada con mi formación")),"")</f>
        <v/>
      </c>
      <c r="O162" s="9" t="str">
        <f>IF(OR(I162="Trabajo actualmente como empleado",I162="Trabajo de manera independiente"),_xlfn.LET(_xlpm.turno,MOD(COUNTIF($I$2:I162,I162)-1,5),_xlpm.nivel,VALUE(LEFT(M162,1)),IF(_xlpm.turno=4,"No estoy seguro/a",IF(_xlpm.turno&lt;IF(_xlpm.nivel&lt;=2,1,3),"Sí","No"))),"")</f>
        <v/>
      </c>
      <c r="P162" s="9" t="str">
        <f>_xlfn.LET(_xlpm.perfil,I162,_xlpm.turno,COUNTIF($I$2:I162,_xlpm.perfil)-1,_xlpm.busca,OR(_xlpm.perfil="Actualmente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trabajar"),IF(AND(_xlpm.trabaja,O162="No"),"Todavía no he iniciado una búsqueda activa",CHOOSE(MOD(_xlpm.turno*3,5)+1,"Menos de 1 mes","Entre 1 y 3 meses","Entre 4 y 6 meses","Más de 6 meses","Todavía no he iniciado una búsqueda activa")),"")))</f>
        <v>Entre 4 y 6 meses</v>
      </c>
      <c r="Q162" t="str">
        <f>IF(I162="Tengo un emprendimiento o quiero iniciar uno","",CHOOSE(MOD(INT((COUNTIF($I$2:I162,I162)-1)/7),3)+1,"Sí","No","Tengo una pero necesito actualizarla"))</f>
        <v>Sí</v>
      </c>
      <c r="R162" s="9" t="str">
        <f>IF(I162="Tengo un emprendimiento o quiero iniciar uno","",IF(I162="Busco mi primer empleo","No",IF(MOD(COUNTIF($I$2:I162,I162)-1,2)=0,"Sí","No")))</f>
        <v>No</v>
      </c>
      <c r="S162" t="str">
        <f>IF(I162="Tengo un emprendimiento o quiero iniciar uno","",CHOOSE(MOD(INT((COUNTIF($I$2:I162,I162)-1)/3),10)+1,"Portales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62" t="str">
        <f>IF(I162="Tengo un emprendimiento o quiero iniciar uno","",_xlfn.LET(_xlpm.opcion,MOD(INT((COUNTIF($I$2:I162,I162)-1)/4),6)+1,CHOOSE(IF(AND(_xlpm.opcion=3,Q162="Sí"),1,_xlpm.opcion),"Falta de experiencia","Falta de formación","Dificultades con la hoja de vida","Horarios disponibles","Transporte","Internet")))</f>
        <v>Internet</v>
      </c>
      <c r="U162" s="9" t="str">
        <f>IF(I162="Tengo un emprendimiento o quiero iniciar uno","",IF(MOD(INT((COUNTIF($I$2:I162,I162)-1)/3),2)=0,"Sí","No"))</f>
        <v>No</v>
      </c>
      <c r="V162" s="9" t="str">
        <f>IF(I162="Tengo un emprendimiento o quiero iniciar uno",CHOOSE(MOD(COUNTIF($I$2:I162,I162)-1,3)+1,"Tengo un emprendimiento","Estoy iniciando un emprendimiento","Me interesa emprender"),"")</f>
        <v/>
      </c>
      <c r="W162" t="str">
        <f t="shared" si="41"/>
        <v/>
      </c>
      <c r="X162" s="9" t="str">
        <f>IF(I162="Tengo un emprendimiento o quiero iniciar uno",CHOOSE(MOD(COUNTIF($I$2:I162,I162)-1,5)+1,"Falta de financiación","Falta de conocimientos administrativos","Falta de conocimientos financieros","Falta de tiempo","Falta de herramientas"),"")</f>
        <v/>
      </c>
      <c r="Y162" s="9" t="str">
        <f t="shared" si="42"/>
        <v/>
      </c>
      <c r="Z162" t="str">
        <f>IF(I162="Tengo un emprendimiento o quiero iniciar uno",CHOOSE(INT(MOD((COUNTIF($I$2:I162,I162)-1)*7,39)/13)+1,"Sí","No","No conozco programas de ese tipo"),"")</f>
        <v/>
      </c>
      <c r="AA162" t="str">
        <f t="shared" si="43"/>
        <v>Puedo hacerlo sin ayuda</v>
      </c>
      <c r="AB162" t="str">
        <f t="shared" si="43"/>
        <v>Puedo hacerlo sin ayuda</v>
      </c>
      <c r="AC162" t="str">
        <f t="shared" si="44"/>
        <v>Puedo hacerlo con dificultad</v>
      </c>
      <c r="AD162" s="9" t="str">
        <f t="shared" si="45"/>
        <v>No puedo hacerlo</v>
      </c>
      <c r="AE162" t="str">
        <f t="shared" si="46"/>
        <v>Puedo hacerlo sin ayuda</v>
      </c>
      <c r="AF162" s="9" t="str">
        <f t="shared" si="47"/>
        <v>Liderazgo</v>
      </c>
      <c r="AG162" s="9" t="str">
        <f t="shared" si="48"/>
        <v>Horarios</v>
      </c>
      <c r="AH162" t="str">
        <f t="shared" si="49"/>
        <v>Programas de emprendimiento</v>
      </c>
      <c r="AI162" s="9" t="str">
        <f t="shared" si="50"/>
        <v>Presencial y virtual</v>
      </c>
      <c r="AJ162" s="9" t="str">
        <f t="shared" si="51"/>
        <v>Mañana entre semana</v>
      </c>
      <c r="AK162" s="9" t="str">
        <f t="shared" si="52"/>
        <v>Redes sociales</v>
      </c>
    </row>
    <row r="163" spans="1:37">
      <c r="A163" t="str">
        <f t="shared" si="53"/>
        <v>SG162</v>
      </c>
      <c r="B163" t="s">
        <v>418</v>
      </c>
      <c r="C163" s="9" t="s">
        <v>427</v>
      </c>
      <c r="D163" t="str">
        <f t="shared" si="36"/>
        <v>Masculino</v>
      </c>
      <c r="E163" t="str">
        <f t="shared" si="37"/>
        <v>De 20 a 22 años</v>
      </c>
      <c r="F163">
        <f t="shared" si="38"/>
        <v>20</v>
      </c>
      <c r="G163" s="9" t="s">
        <v>428</v>
      </c>
      <c r="H163" s="9" t="str">
        <f t="shared" si="39"/>
        <v>Bachiller</v>
      </c>
      <c r="I163" s="9" t="str">
        <f t="shared" si="40"/>
        <v>Trabajo actualmente como empleado</v>
      </c>
      <c r="J163" s="13" t="str">
        <f>IF(I163="Trabajo actualmente como empleado",IF(MOD((COUNTIF($I$2:I163,"Trabajo actualmente como empleado")-1)*37,150)&lt;100,"Empleado con contrato","Empleado sin contrato formal"),IF(I163="Trabajo de manera independiente","Trabajo independiente",""))</f>
        <v>Empleado sin contrato formal</v>
      </c>
      <c r="K163" s="9" t="str">
        <f>IF(OR(I163="Trabajo actualmente como empleado",I163="Trabajo de manera independiente"),CHOOSE(MOD(COUNTIF($I$2:I163,I163)-1,4)+1,"Menos de 3 meses","De 3 a 6 meses","De 7 a 12 meses","Más de un año"),"")</f>
        <v>Menos de 3 meses</v>
      </c>
      <c r="L163" t="str">
        <f>IF(OR(I163="Trabajo actualmente como empleado",I163="Trabajo de manera independiente"),CHOOSE(MOD(COUNTIF($I$2:I163,I163)-1,3)+1,"Sí, completamente","Parcialmente","No"),"")</f>
        <v>Parcialmente</v>
      </c>
      <c r="M163" t="str">
        <f>IF(OR(I163="Trabajo actualmente como empleado",I163="Trabajo de manera independiente"),CHOOSE(MOD(INT((COUNTIF($I$2:I163,I163)-1)/3),4)+1,"1- Muy satisfecho/a","2- Satisfecho/a","3- Insatisfecho/a","4- Muy insatisfecho/a"),"")</f>
        <v>2- Satisfecho/a</v>
      </c>
      <c r="N163" t="str">
        <f>IF(OR(I163="Trabajo actualmente como empleado",I163="Trabajo de manera independiente"),_xlfn.LET(_xlpm.opcion,MOD(INT((COUNTIF($I$2:I163,I163)-1)/5),6)+1,CHOOSE(IF(AND(_xlpm.opcion=6,L163="Sí, completamente"),5,_xlpm.opcion),"Salario","Estabilidad laboral","Horario","Acceso a prestaciones","Oportunidades de crecimiento","Trabajar en un área relacionada con mi formación")),"")</f>
        <v>Oportunidades de crecimiento</v>
      </c>
      <c r="O163" s="9" t="str">
        <f>IF(OR(I163="Trabajo actualmente como empleado",I163="Trabajo de manera independiente"),_xlfn.LET(_xlpm.turno,MOD(COUNTIF($I$2:I163,I163)-1,5),_xlpm.nivel,VALUE(LEFT(M163,1)),IF(_xlpm.turno=4,"No estoy seguro/a",IF(_xlpm.turno&lt;IF(_xlpm.nivel&lt;=2,1,3),"Sí","No"))),"")</f>
        <v>No</v>
      </c>
      <c r="P163" s="9" t="str">
        <f>_xlfn.LET(_xlpm.perfil,I163,_xlpm.turno,COUNTIF($I$2:I163,_xlpm.perfil)-1,_xlpm.busca,OR(_xlpm.perfil="Actualmente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63" t="str">
        <f>IF(I163="Tengo un emprendimiento o quiero iniciar uno","",CHOOSE(MOD(INT((COUNTIF($I$2:I163,I163)-1)/7),3)+1,"Sí","No","Tengo una pero necesito actualizarla"))</f>
        <v>No</v>
      </c>
      <c r="R163" s="9" t="str">
        <f>IF(I163="Tengo un emprendimiento o quiero iniciar uno","",IF(I163="Busco mi primer empleo","No",IF(MOD(COUNTIF($I$2:I163,I163)-1,2)=0,"Sí","No")))</f>
        <v>Sí</v>
      </c>
      <c r="S163" t="str">
        <f>IF(I163="Tengo un emprendimiento o quiero iniciar uno","",CHOOSE(MOD(INT((COUNTIF($I$2:I163,I163)-1)/3),10)+1,"Portales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63" t="str">
        <f>IF(I163="Tengo un emprendimiento o quiero iniciar uno","",_xlfn.LET(_xlpm.opcion,MOD(INT((COUNTIF($I$2:I163,I163)-1)/4),6)+1,CHOOSE(IF(AND(_xlpm.opcion=3,Q163="Sí"),1,_xlpm.opcion),"Falta de experiencia","Falta de formación","Dificultades con la hoja de vida","Horarios disponibles","Transporte","Internet")))</f>
        <v>Falta de formación</v>
      </c>
      <c r="U163" s="9" t="str">
        <f>IF(I163="Tengo un emprendimiento o quiero iniciar uno","",IF(MOD(INT((COUNTIF($I$2:I163,I163)-1)/3),2)=0,"Sí","No"))</f>
        <v>No</v>
      </c>
      <c r="V163" s="9" t="str">
        <f>IF(I163="Tengo un emprendimiento o quiero iniciar uno",CHOOSE(MOD(COUNTIF($I$2:I163,I163)-1,3)+1,"Tengo un emprendimiento","Estoy iniciando un emprendimiento","Me interesa emprender"),"")</f>
        <v/>
      </c>
      <c r="W163" t="str">
        <f t="shared" si="41"/>
        <v/>
      </c>
      <c r="X163" s="9" t="str">
        <f>IF(I163="Tengo un emprendimiento o quiero iniciar uno",CHOOSE(MOD(COUNTIF($I$2:I163,I163)-1,5)+1,"Falta de financiación","Falta de conocimientos administrativos","Falta de conocimientos financieros","Falta de tiempo","Falta de herramientas"),"")</f>
        <v/>
      </c>
      <c r="Y163" s="9" t="str">
        <f t="shared" si="42"/>
        <v/>
      </c>
      <c r="Z163" t="str">
        <f>IF(I163="Tengo un emprendimiento o quiero iniciar uno",CHOOSE(INT(MOD((COUNTIF($I$2:I163,I163)-1)*7,39)/13)+1,"Sí","No","No conozco programas de ese tipo"),"")</f>
        <v/>
      </c>
      <c r="AA163" t="str">
        <f t="shared" si="43"/>
        <v>No puedo hacerlo</v>
      </c>
      <c r="AB163" t="str">
        <f t="shared" si="43"/>
        <v>No puedo hacerlo</v>
      </c>
      <c r="AC163" t="str">
        <f t="shared" si="44"/>
        <v>Puedo hacerlo sin ayuda</v>
      </c>
      <c r="AD163" s="9" t="str">
        <f t="shared" si="45"/>
        <v>No puedo hacerlo</v>
      </c>
      <c r="AE163" t="str">
        <f t="shared" si="46"/>
        <v>Puedo hacerlo sin ayuda</v>
      </c>
      <c r="AF163" s="9" t="str">
        <f t="shared" si="47"/>
        <v>Emprendimiento</v>
      </c>
      <c r="AG163" s="9" t="str">
        <f t="shared" si="48"/>
        <v>Horarios</v>
      </c>
      <c r="AH163" t="str">
        <f t="shared" si="49"/>
        <v>Oficina de orientación laboral</v>
      </c>
      <c r="AI163" s="9" t="str">
        <f t="shared" si="50"/>
        <v>Me es indiferente</v>
      </c>
      <c r="AJ163" s="9" t="str">
        <f t="shared" si="51"/>
        <v>Fines de semana</v>
      </c>
      <c r="AK163" s="9" t="str">
        <f t="shared" si="52"/>
        <v>WhatsApp</v>
      </c>
    </row>
    <row r="164" spans="1:37">
      <c r="A164" t="str">
        <f t="shared" si="53"/>
        <v>SG163</v>
      </c>
      <c r="B164" t="s">
        <v>418</v>
      </c>
      <c r="C164" s="9" t="s">
        <v>427</v>
      </c>
      <c r="D164" t="str">
        <f t="shared" si="36"/>
        <v>Masculino</v>
      </c>
      <c r="E164" t="str">
        <f t="shared" si="37"/>
        <v>De 22 a 24 años</v>
      </c>
      <c r="F164">
        <f t="shared" si="38"/>
        <v>22</v>
      </c>
      <c r="G164" s="9" t="s">
        <v>428</v>
      </c>
      <c r="H164" s="9" t="str">
        <f t="shared" si="39"/>
        <v>Técnico</v>
      </c>
      <c r="I164" s="9" t="str">
        <f t="shared" si="40"/>
        <v>Actualmente no trabajo y estoy buscando empleo</v>
      </c>
      <c r="J164" s="13" t="str">
        <f>IF(I164="Trabajo actualmente como empleado",IF(MOD((COUNTIF($I$2:I164,"Trabajo actualmente como empleado")-1)*37,150)&lt;100,"Empleado con contrato","Empleado sin contrato formal"),IF(I164="Trabajo de manera independiente","Trabajo independiente",""))</f>
        <v/>
      </c>
      <c r="K164" s="9" t="str">
        <f>IF(OR(I164="Trabajo actualmente como empleado",I164="Trabajo de manera independiente"),CHOOSE(MOD(COUNTIF($I$2:I164,I164)-1,4)+1,"Menos de 3 meses","De 3 a 6 meses","De 7 a 12 meses","Más de un año"),"")</f>
        <v/>
      </c>
      <c r="L164" t="str">
        <f>IF(OR(I164="Trabajo actualmente como empleado",I164="Trabajo de manera independiente"),CHOOSE(MOD(COUNTIF($I$2:I164,I164)-1,3)+1,"Sí, completamente","Parcialmente","No"),"")</f>
        <v/>
      </c>
      <c r="M164" t="str">
        <f>IF(OR(I164="Trabajo actualmente como empleado",I164="Trabajo de manera independiente"),CHOOSE(MOD(INT((COUNTIF($I$2:I164,I164)-1)/3),4)+1,"1- Muy satisfecho/a","2- Satisfecho/a","3- Insatisfecho/a","4- Muy insatisfecho/a"),"")</f>
        <v/>
      </c>
      <c r="N164" t="str">
        <f>IF(OR(I164="Trabajo actualmente como empleado",I164="Trabajo de manera independiente"),_xlfn.LET(_xlpm.opcion,MOD(INT((COUNTIF($I$2:I164,I164)-1)/5),6)+1,CHOOSE(IF(AND(_xlpm.opcion=6,L164="Sí, completamente"),5,_xlpm.opcion),"Salario","Estabilidad laboral","Horario","Acceso a prestaciones","Oportunidades de crecimiento","Trabajar en un área relacionada con mi formación")),"")</f>
        <v/>
      </c>
      <c r="O164" s="9" t="str">
        <f>IF(OR(I164="Trabajo actualmente como empleado",I164="Trabajo de manera independiente"),_xlfn.LET(_xlpm.turno,MOD(COUNTIF($I$2:I164,I164)-1,5),_xlpm.nivel,VALUE(LEFT(M164,1)),IF(_xlpm.turno=4,"No estoy seguro/a",IF(_xlpm.turno&lt;IF(_xlpm.nivel&lt;=2,1,3),"Sí","No"))),"")</f>
        <v/>
      </c>
      <c r="P164" s="9" t="str">
        <f>_xlfn.LET(_xlpm.perfil,I164,_xlpm.turno,COUNTIF($I$2:I164,_xlpm.perfil)-1,_xlpm.busca,OR(_xlpm.perfil="Actualmente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trabajar"),IF(AND(_xlpm.trabaja,O164="No"),"Todavía no he iniciado una búsqueda activa",CHOOSE(MOD(_xlpm.turno*3,5)+1,"Menos de 1 mes","Entre 1 y 3 meses","Entre 4 y 6 meses","Más de 6 meses","Todavía no he iniciado una búsqueda activa")),"")))</f>
        <v>Entre 1 y 3 meses</v>
      </c>
      <c r="Q164" t="str">
        <f>IF(I164="Tengo un emprendimiento o quiero iniciar uno","",CHOOSE(MOD(INT((COUNTIF($I$2:I164,I164)-1)/7),3)+1,"Sí","No","Tengo una pero necesito actualizarla"))</f>
        <v>Sí</v>
      </c>
      <c r="R164" s="9" t="str">
        <f>IF(I164="Tengo un emprendimiento o quiero iniciar uno","",IF(I164="Busco mi primer empleo","No",IF(MOD(COUNTIF($I$2:I164,I164)-1,2)=0,"Sí","No")))</f>
        <v>No</v>
      </c>
      <c r="S164" t="str">
        <f>IF(I164="Tengo un emprendimiento o quiero iniciar uno","",CHOOSE(MOD(INT((COUNTIF($I$2:I164,I164)-1)/3),10)+1,"Portales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64" t="str">
        <f>IF(I164="Tengo un emprendimiento o quiero iniciar uno","",_xlfn.LET(_xlpm.opcion,MOD(INT((COUNTIF($I$2:I164,I164)-1)/4),6)+1,CHOOSE(IF(AND(_xlpm.opcion=3,Q164="Sí"),1,_xlpm.opcion),"Falta de experiencia","Falta de formación","Dificultades con la hoja de vida","Horarios disponibles","Transporte","Internet")))</f>
        <v>Falta de experiencia</v>
      </c>
      <c r="U164" s="9" t="str">
        <f>IF(I164="Tengo un emprendimiento o quiero iniciar uno","",IF(MOD(INT((COUNTIF($I$2:I164,I164)-1)/3),2)=0,"Sí","No"))</f>
        <v>No</v>
      </c>
      <c r="V164" s="9" t="str">
        <f>IF(I164="Tengo un emprendimiento o quiero iniciar uno",CHOOSE(MOD(COUNTIF($I$2:I164,I164)-1,3)+1,"Tengo un emprendimiento","Estoy iniciando un emprendimiento","Me interesa emprender"),"")</f>
        <v/>
      </c>
      <c r="W164" t="str">
        <f t="shared" si="41"/>
        <v/>
      </c>
      <c r="X164" s="9" t="str">
        <f>IF(I164="Tengo un emprendimiento o quiero iniciar uno",CHOOSE(MOD(COUNTIF($I$2:I164,I164)-1,5)+1,"Falta de financiación","Falta de conocimientos administrativos","Falta de conocimientos financieros","Falta de tiempo","Falta de herramientas"),"")</f>
        <v/>
      </c>
      <c r="Y164" s="9" t="str">
        <f t="shared" si="42"/>
        <v/>
      </c>
      <c r="Z164" t="str">
        <f>IF(I164="Tengo un emprendimiento o quiero iniciar uno",CHOOSE(INT(MOD((COUNTIF($I$2:I164,I164)-1)*7,39)/13)+1,"Sí","No","No conozco programas de ese tipo"),"")</f>
        <v/>
      </c>
      <c r="AA164" t="str">
        <f t="shared" si="43"/>
        <v>Puedo hacerlo con dificultad</v>
      </c>
      <c r="AB164" t="str">
        <f t="shared" si="43"/>
        <v>Puedo hacerlo con dificultad</v>
      </c>
      <c r="AC164" t="str">
        <f t="shared" si="44"/>
        <v>Puedo hacerlo con ayuda</v>
      </c>
      <c r="AD164" s="9" t="str">
        <f t="shared" si="45"/>
        <v>Puedo hacerlo con ayuda</v>
      </c>
      <c r="AE164" t="str">
        <f t="shared" si="46"/>
        <v>No puedo hacerlo</v>
      </c>
      <c r="AF164" s="9" t="str">
        <f t="shared" si="47"/>
        <v>Herramientas digitales</v>
      </c>
      <c r="AG164" s="9" t="str">
        <f t="shared" si="48"/>
        <v>Costos de transporte</v>
      </c>
      <c r="AH164" t="str">
        <f t="shared" si="49"/>
        <v>Ferias de empleo</v>
      </c>
      <c r="AI164" s="9" t="str">
        <f t="shared" si="50"/>
        <v>Presencial</v>
      </c>
      <c r="AJ164" s="9" t="str">
        <f t="shared" si="51"/>
        <v>Nocturno</v>
      </c>
      <c r="AK164" s="9" t="str">
        <f t="shared" si="52"/>
        <v>Correo electrónico</v>
      </c>
    </row>
    <row r="165" spans="1:37">
      <c r="A165" t="str">
        <f t="shared" si="53"/>
        <v>SG164</v>
      </c>
      <c r="B165" t="s">
        <v>418</v>
      </c>
      <c r="C165" s="9" t="s">
        <v>427</v>
      </c>
      <c r="D165" t="str">
        <f t="shared" si="36"/>
        <v>Femenino</v>
      </c>
      <c r="E165" t="str">
        <f t="shared" si="37"/>
        <v>De 24 a 26 años</v>
      </c>
      <c r="F165">
        <f t="shared" si="38"/>
        <v>24</v>
      </c>
      <c r="G165" s="9" t="s">
        <v>428</v>
      </c>
      <c r="H165" s="9" t="str">
        <f t="shared" si="39"/>
        <v>Tecnólogo</v>
      </c>
      <c r="I165" s="9" t="str">
        <f t="shared" si="40"/>
        <v>Estudio y quiero comenzar a trabajar</v>
      </c>
      <c r="J165" s="13" t="str">
        <f>IF(I165="Trabajo actualmente como empleado",IF(MOD((COUNTIF($I$2:I165,"Trabajo actualmente como empleado")-1)*37,150)&lt;100,"Empleado con contrato","Empleado sin contrato formal"),IF(I165="Trabajo de manera independiente","Trabajo independiente",""))</f>
        <v/>
      </c>
      <c r="K165" s="9" t="str">
        <f>IF(OR(I165="Trabajo actualmente como empleado",I165="Trabajo de manera independiente"),CHOOSE(MOD(COUNTIF($I$2:I165,I165)-1,4)+1,"Menos de 3 meses","De 3 a 6 meses","De 7 a 12 meses","Más de un año"),"")</f>
        <v/>
      </c>
      <c r="L165" t="str">
        <f>IF(OR(I165="Trabajo actualmente como empleado",I165="Trabajo de manera independiente"),CHOOSE(MOD(COUNTIF($I$2:I165,I165)-1,3)+1,"Sí, completamente","Parcialmente","No"),"")</f>
        <v/>
      </c>
      <c r="M165" t="str">
        <f>IF(OR(I165="Trabajo actualmente como empleado",I165="Trabajo de manera independiente"),CHOOSE(MOD(INT((COUNTIF($I$2:I165,I165)-1)/3),4)+1,"1- Muy satisfecho/a","2- Satisfecho/a","3- Insatisfecho/a","4- Muy insatisfecho/a"),"")</f>
        <v/>
      </c>
      <c r="N165" t="str">
        <f>IF(OR(I165="Trabajo actualmente como empleado",I165="Trabajo de manera independiente"),_xlfn.LET(_xlpm.opcion,MOD(INT((COUNTIF($I$2:I165,I165)-1)/5),6)+1,CHOOSE(IF(AND(_xlpm.opcion=6,L165="Sí, completamente"),5,_xlpm.opcion),"Salario","Estabilidad laboral","Horario","Acceso a prestaciones","Oportunidades de crecimiento","Trabajar en un área relacionada con mi formación")),"")</f>
        <v/>
      </c>
      <c r="O165" s="9" t="str">
        <f>IF(OR(I165="Trabajo actualmente como empleado",I165="Trabajo de manera independiente"),_xlfn.LET(_xlpm.turno,MOD(COUNTIF($I$2:I165,I165)-1,5),_xlpm.nivel,VALUE(LEFT(M165,1)),IF(_xlpm.turno=4,"No estoy seguro/a",IF(_xlpm.turno&lt;IF(_xlpm.nivel&lt;=2,1,3),"Sí","No"))),"")</f>
        <v/>
      </c>
      <c r="P165" s="9" t="str">
        <f>_xlfn.LET(_xlpm.perfil,I165,_xlpm.turno,COUNTIF($I$2:I165,_xlpm.perfil)-1,_xlpm.busca,OR(_xlpm.perfil="Actualmente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65" t="str">
        <f>IF(I165="Tengo un emprendimiento o quiero iniciar uno","",CHOOSE(MOD(INT((COUNTIF($I$2:I165,I165)-1)/7),3)+1,"Sí","No","Tengo una pero necesito actualizarla"))</f>
        <v>Tengo una pero necesito actualizarla</v>
      </c>
      <c r="R165" s="9" t="str">
        <f>IF(I165="Tengo un emprendimiento o quiero iniciar uno","",IF(I165="Busco mi primer empleo","No",IF(MOD(COUNTIF($I$2:I165,I165)-1,2)=0,"Sí","No")))</f>
        <v>Sí</v>
      </c>
      <c r="S165" t="str">
        <f>IF(I165="Tengo un emprendimiento o quiero iniciar uno","",CHOOSE(MOD(INT((COUNTIF($I$2:I165,I165)-1)/3),10)+1,"Portales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65" t="str">
        <f>IF(I165="Tengo un emprendimiento o quiero iniciar uno","",_xlfn.LET(_xlpm.opcion,MOD(INT((COUNTIF($I$2:I165,I165)-1)/4),6)+1,CHOOSE(IF(AND(_xlpm.opcion=3,Q165="Sí"),1,_xlpm.opcion),"Falta de experiencia","Falta de formación","Dificultades con la hoja de vida","Horarios disponibles","Transporte","Internet")))</f>
        <v>Transporte</v>
      </c>
      <c r="U165" s="9" t="str">
        <f>IF(I165="Tengo un emprendimiento o quiero iniciar uno","",IF(MOD(INT((COUNTIF($I$2:I165,I165)-1)/3),2)=0,"Sí","No"))</f>
        <v>Sí</v>
      </c>
      <c r="V165" s="9" t="str">
        <f>IF(I165="Tengo un emprendimiento o quiero iniciar uno",CHOOSE(MOD(COUNTIF($I$2:I165,I165)-1,3)+1,"Tengo un emprendimiento","Estoy iniciando un emprendimiento","Me interesa emprender"),"")</f>
        <v/>
      </c>
      <c r="W165" t="str">
        <f t="shared" si="41"/>
        <v/>
      </c>
      <c r="X165" s="9" t="str">
        <f>IF(I165="Tengo un emprendimiento o quiero iniciar uno",CHOOSE(MOD(COUNTIF($I$2:I165,I165)-1,5)+1,"Falta de financiación","Falta de conocimientos administrativos","Falta de conocimientos financieros","Falta de tiempo","Falta de herramientas"),"")</f>
        <v/>
      </c>
      <c r="Y165" s="9" t="str">
        <f t="shared" si="42"/>
        <v/>
      </c>
      <c r="Z165" t="str">
        <f>IF(I165="Tengo un emprendimiento o quiero iniciar uno",CHOOSE(INT(MOD((COUNTIF($I$2:I165,I165)-1)*7,39)/13)+1,"Sí","No","No conozco programas de ese tipo"),"")</f>
        <v/>
      </c>
      <c r="AA165" t="str">
        <f t="shared" si="43"/>
        <v>Puedo hacerlo sin ayuda</v>
      </c>
      <c r="AB165" t="str">
        <f t="shared" si="43"/>
        <v>Puedo hacerlo sin ayuda</v>
      </c>
      <c r="AC165" t="str">
        <f t="shared" si="44"/>
        <v>Puedo hacerlo con dificultad</v>
      </c>
      <c r="AD165" s="9" t="str">
        <f t="shared" si="45"/>
        <v>Puedo hacerlo con dificultad</v>
      </c>
      <c r="AE165" t="str">
        <f t="shared" si="46"/>
        <v>No puedo hacerlo</v>
      </c>
      <c r="AF165" s="9" t="str">
        <f t="shared" si="47"/>
        <v>Educación financiera</v>
      </c>
      <c r="AG165" s="9" t="str">
        <f t="shared" si="48"/>
        <v>Costos de transporte</v>
      </c>
      <c r="AH165" t="str">
        <f t="shared" si="49"/>
        <v>No conozco ninguno</v>
      </c>
      <c r="AI165" s="9" t="str">
        <f t="shared" si="50"/>
        <v>Virtual</v>
      </c>
      <c r="AJ165" s="9" t="str">
        <f t="shared" si="51"/>
        <v>Mañana entre semana</v>
      </c>
      <c r="AK165" s="9" t="str">
        <f t="shared" si="52"/>
        <v>Celular</v>
      </c>
    </row>
    <row r="166" spans="1:37">
      <c r="A166" t="str">
        <f t="shared" si="53"/>
        <v>SG165</v>
      </c>
      <c r="B166" t="s">
        <v>418</v>
      </c>
      <c r="C166" s="9" t="s">
        <v>427</v>
      </c>
      <c r="D166" t="str">
        <f t="shared" si="36"/>
        <v>Femenino</v>
      </c>
      <c r="E166" t="str">
        <f t="shared" si="37"/>
        <v>De 26 a 28 años</v>
      </c>
      <c r="F166">
        <f t="shared" si="38"/>
        <v>28</v>
      </c>
      <c r="G166" s="9" t="s">
        <v>428</v>
      </c>
      <c r="H166" s="9" t="str">
        <f t="shared" si="39"/>
        <v>Tecnólogo</v>
      </c>
      <c r="I166" s="9" t="str">
        <f t="shared" si="40"/>
        <v>Trabajo actualmente como empleado</v>
      </c>
      <c r="J166" s="13" t="str">
        <f>IF(I166="Trabajo actualmente como empleado",IF(MOD((COUNTIF($I$2:I166,"Trabajo actualmente como empleado")-1)*37,150)&lt;100,"Empleado con contrato","Empleado sin contrato formal"),IF(I166="Trabajo de manera independiente","Trabajo independiente",""))</f>
        <v>Empleado con contrato</v>
      </c>
      <c r="K166" s="9" t="str">
        <f>IF(OR(I166="Trabajo actualmente como empleado",I166="Trabajo de manera independiente"),CHOOSE(MOD(COUNTIF($I$2:I166,I166)-1,4)+1,"Menos de 3 meses","De 3 a 6 meses","De 7 a 12 meses","Más de un año"),"")</f>
        <v>De 3 a 6 meses</v>
      </c>
      <c r="L166" t="str">
        <f>IF(OR(I166="Trabajo actualmente como empleado",I166="Trabajo de manera independiente"),CHOOSE(MOD(COUNTIF($I$2:I166,I166)-1,3)+1,"Sí, completamente","Parcialmente","No"),"")</f>
        <v>No</v>
      </c>
      <c r="M166" t="str">
        <f>IF(OR(I166="Trabajo actualmente como empleado",I166="Trabajo de manera independiente"),CHOOSE(MOD(INT((COUNTIF($I$2:I166,I166)-1)/3),4)+1,"1- Muy satisfecho/a","2- Satisfecho/a","3- Insatisfecho/a","4- Muy insatisfecho/a"),"")</f>
        <v>2- Satisfecho/a</v>
      </c>
      <c r="N166" t="str">
        <f>IF(OR(I166="Trabajo actualmente como empleado",I166="Trabajo de manera independiente"),_xlfn.LET(_xlpm.opcion,MOD(INT((COUNTIF($I$2:I166,I166)-1)/5),6)+1,CHOOSE(IF(AND(_xlpm.opcion=6,L166="Sí, completamente"),5,_xlpm.opcion),"Salario","Estabilidad laboral","Horario","Acceso a prestaciones","Oportunidades de crecimiento","Trabajar en un área relacionada con mi formación")),"")</f>
        <v>Oportunidades de crecimiento</v>
      </c>
      <c r="O166" s="9" t="str">
        <f>IF(OR(I166="Trabajo actualmente como empleado",I166="Trabajo de manera independiente"),_xlfn.LET(_xlpm.turno,MOD(COUNTIF($I$2:I166,I166)-1,5),_xlpm.nivel,VALUE(LEFT(M166,1)),IF(_xlpm.turno=4,"No estoy seguro/a",IF(_xlpm.turno&lt;IF(_xlpm.nivel&lt;=2,1,3),"Sí","No"))),"")</f>
        <v>No</v>
      </c>
      <c r="P166" s="9" t="str">
        <f>_xlfn.LET(_xlpm.perfil,I166,_xlpm.turno,COUNTIF($I$2:I166,_xlpm.perfil)-1,_xlpm.busca,OR(_xlpm.perfil="Actualmente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66" t="str">
        <f>IF(I166="Tengo un emprendimiento o quiero iniciar uno","",CHOOSE(MOD(INT((COUNTIF($I$2:I166,I166)-1)/7),3)+1,"Sí","No","Tengo una pero necesito actualizarla"))</f>
        <v>No</v>
      </c>
      <c r="R166" s="9" t="str">
        <f>IF(I166="Tengo un emprendimiento o quiero iniciar uno","",IF(I166="Busco mi primer empleo","No",IF(MOD(COUNTIF($I$2:I166,I166)-1,2)=0,"Sí","No")))</f>
        <v>No</v>
      </c>
      <c r="S166" t="str">
        <f>IF(I166="Tengo un emprendimiento o quiero iniciar uno","",CHOOSE(MOD(INT((COUNTIF($I$2:I166,I166)-1)/3),10)+1,"Portales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66" t="str">
        <f>IF(I166="Tengo un emprendimiento o quiero iniciar uno","",_xlfn.LET(_xlpm.opcion,MOD(INT((COUNTIF($I$2:I166,I166)-1)/4),6)+1,CHOOSE(IF(AND(_xlpm.opcion=3,Q166="Sí"),1,_xlpm.opcion),"Falta de experiencia","Falta de formación","Dificultades con la hoja de vida","Horarios disponibles","Transporte","Internet")))</f>
        <v>Falta de formación</v>
      </c>
      <c r="U166" s="9" t="str">
        <f>IF(I166="Tengo un emprendimiento o quiero iniciar uno","",IF(MOD(INT((COUNTIF($I$2:I166,I166)-1)/3),2)=0,"Sí","No"))</f>
        <v>No</v>
      </c>
      <c r="V166" s="9" t="str">
        <f>IF(I166="Tengo un emprendimiento o quiero iniciar uno",CHOOSE(MOD(COUNTIF($I$2:I166,I166)-1,3)+1,"Tengo un emprendimiento","Estoy iniciando un emprendimiento","Me interesa emprender"),"")</f>
        <v/>
      </c>
      <c r="W166" t="str">
        <f t="shared" si="41"/>
        <v/>
      </c>
      <c r="X166" s="9" t="str">
        <f>IF(I166="Tengo un emprendimiento o quiero iniciar uno",CHOOSE(MOD(COUNTIF($I$2:I166,I166)-1,5)+1,"Falta de financiación","Falta de conocimientos administrativos","Falta de conocimientos financieros","Falta de tiempo","Falta de herramientas"),"")</f>
        <v/>
      </c>
      <c r="Y166" s="9" t="str">
        <f t="shared" si="42"/>
        <v/>
      </c>
      <c r="Z166" t="str">
        <f>IF(I166="Tengo un emprendimiento o quiero iniciar uno",CHOOSE(INT(MOD((COUNTIF($I$2:I166,I166)-1)*7,39)/13)+1,"Sí","No","No conozco programas de ese tipo"),"")</f>
        <v/>
      </c>
      <c r="AA166" t="str">
        <f t="shared" si="43"/>
        <v>Puedo hacerlo con ayuda</v>
      </c>
      <c r="AB166" t="str">
        <f t="shared" si="43"/>
        <v>Puedo hacerlo con ayuda</v>
      </c>
      <c r="AC166" t="str">
        <f t="shared" si="44"/>
        <v>Puedo hacerlo sin ayuda</v>
      </c>
      <c r="AD166" s="9" t="str">
        <f t="shared" si="45"/>
        <v>Puedo hacerlo con dificultad</v>
      </c>
      <c r="AE166" t="str">
        <f t="shared" si="46"/>
        <v>Puedo hacerlo con ayuda</v>
      </c>
      <c r="AF166" s="9" t="str">
        <f t="shared" si="47"/>
        <v>Crear una hoja de vida;Preparación para entrevista</v>
      </c>
      <c r="AG166" s="9" t="str">
        <f t="shared" si="48"/>
        <v>Costos de transporte</v>
      </c>
      <c r="AH166" t="str">
        <f t="shared" si="49"/>
        <v>Ferias de empleo</v>
      </c>
      <c r="AI166" s="9" t="str">
        <f t="shared" si="50"/>
        <v>Presencial y virtual</v>
      </c>
      <c r="AJ166" s="9" t="str">
        <f t="shared" si="51"/>
        <v>Diurno</v>
      </c>
      <c r="AK166" s="9" t="str">
        <f t="shared" si="52"/>
        <v>WhatsApp</v>
      </c>
    </row>
    <row r="167" spans="1:37">
      <c r="A167" t="str">
        <f t="shared" si="53"/>
        <v>SG166</v>
      </c>
      <c r="B167" t="s">
        <v>418</v>
      </c>
      <c r="C167" s="9" t="s">
        <v>427</v>
      </c>
      <c r="D167" t="str">
        <f t="shared" si="36"/>
        <v>Masculino</v>
      </c>
      <c r="E167" t="str">
        <f t="shared" si="37"/>
        <v>De 18 a 20 años</v>
      </c>
      <c r="F167">
        <f t="shared" si="38"/>
        <v>19</v>
      </c>
      <c r="G167" s="9" t="s">
        <v>428</v>
      </c>
      <c r="H167" s="9" t="str">
        <f t="shared" si="39"/>
        <v>Técnico</v>
      </c>
      <c r="I167" s="9" t="str">
        <f t="shared" si="40"/>
        <v>Actualmente no trabajo y estoy buscando empleo</v>
      </c>
      <c r="J167" s="13" t="str">
        <f>IF(I167="Trabajo actualmente como empleado",IF(MOD((COUNTIF($I$2:I167,"Trabajo actualmente como empleado")-1)*37,150)&lt;100,"Empleado con contrato","Empleado sin contrato formal"),IF(I167="Trabajo de manera independiente","Trabajo independiente",""))</f>
        <v/>
      </c>
      <c r="K167" s="9" t="str">
        <f>IF(OR(I167="Trabajo actualmente como empleado",I167="Trabajo de manera independiente"),CHOOSE(MOD(COUNTIF($I$2:I167,I167)-1,4)+1,"Menos de 3 meses","De 3 a 6 meses","De 7 a 12 meses","Más de un año"),"")</f>
        <v/>
      </c>
      <c r="L167" t="str">
        <f>IF(OR(I167="Trabajo actualmente como empleado",I167="Trabajo de manera independiente"),CHOOSE(MOD(COUNTIF($I$2:I167,I167)-1,3)+1,"Sí, completamente","Parcialmente","No"),"")</f>
        <v/>
      </c>
      <c r="M167" t="str">
        <f>IF(OR(I167="Trabajo actualmente como empleado",I167="Trabajo de manera independiente"),CHOOSE(MOD(INT((COUNTIF($I$2:I167,I167)-1)/3),4)+1,"1- Muy satisfecho/a","2- Satisfecho/a","3- Insatisfecho/a","4- Muy insatisfecho/a"),"")</f>
        <v/>
      </c>
      <c r="N167" t="str">
        <f>IF(OR(I167="Trabajo actualmente como empleado",I167="Trabajo de manera independiente"),_xlfn.LET(_xlpm.opcion,MOD(INT((COUNTIF($I$2:I167,I167)-1)/5),6)+1,CHOOSE(IF(AND(_xlpm.opcion=6,L167="Sí, completamente"),5,_xlpm.opcion),"Salario","Estabilidad laboral","Horario","Acceso a prestaciones","Oportunidades de crecimiento","Trabajar en un área relacionada con mi formación")),"")</f>
        <v/>
      </c>
      <c r="O167" s="9" t="str">
        <f>IF(OR(I167="Trabajo actualmente como empleado",I167="Trabajo de manera independiente"),_xlfn.LET(_xlpm.turno,MOD(COUNTIF($I$2:I167,I167)-1,5),_xlpm.nivel,VALUE(LEFT(M167,1)),IF(_xlpm.turno=4,"No estoy seguro/a",IF(_xlpm.turno&lt;IF(_xlpm.nivel&lt;=2,1,3),"Sí","No"))),"")</f>
        <v/>
      </c>
      <c r="P167" s="9" t="str">
        <f>_xlfn.LET(_xlpm.perfil,I167,_xlpm.turno,COUNTIF($I$2:I167,_xlpm.perfil)-1,_xlpm.busca,OR(_xlpm.perfil="Actualmente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trabajar"),IF(AND(_xlpm.trabaja,O167="No"),"Todavía no he iniciado una búsqueda activa",CHOOSE(MOD(_xlpm.turno*3,5)+1,"Menos de 1 mes","Entre 1 y 3 meses","Entre 4 y 6 meses","Más de 6 meses","Todavía no he iniciado una búsqueda activa")),"")))</f>
        <v>Menos de 1 mes</v>
      </c>
      <c r="Q167" t="str">
        <f>IF(I167="Tengo un emprendimiento o quiero iniciar uno","",CHOOSE(MOD(INT((COUNTIF($I$2:I167,I167)-1)/7),3)+1,"Sí","No","Tengo una pero necesito actualizarla"))</f>
        <v>No</v>
      </c>
      <c r="R167" s="9" t="str">
        <f>IF(I167="Tengo un emprendimiento o quiero iniciar uno","",IF(I167="Busco mi primer empleo","No",IF(MOD(COUNTIF($I$2:I167,I167)-1,2)=0,"Sí","No")))</f>
        <v>Sí</v>
      </c>
      <c r="S167" t="str">
        <f>IF(I167="Tengo un emprendimiento o quiero iniciar uno","",CHOOSE(MOD(INT((COUNTIF($I$2:I167,I167)-1)/3),10)+1,"Portales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67" t="str">
        <f>IF(I167="Tengo un emprendimiento o quiero iniciar uno","",_xlfn.LET(_xlpm.opcion,MOD(INT((COUNTIF($I$2:I167,I167)-1)/4),6)+1,CHOOSE(IF(AND(_xlpm.opcion=3,Q167="Sí"),1,_xlpm.opcion),"Falta de experiencia","Falta de formación","Dificultades con la hoja de vida","Horarios disponibles","Transporte","Internet")))</f>
        <v>Falta de formación</v>
      </c>
      <c r="U167" s="9" t="str">
        <f>IF(I167="Tengo un emprendimiento o quiero iniciar uno","",IF(MOD(INT((COUNTIF($I$2:I167,I167)-1)/3),2)=0,"Sí","No"))</f>
        <v>No</v>
      </c>
      <c r="V167" s="9" t="str">
        <f>IF(I167="Tengo un emprendimiento o quiero iniciar uno",CHOOSE(MOD(COUNTIF($I$2:I167,I167)-1,3)+1,"Tengo un emprendimiento","Estoy iniciando un emprendimiento","Me interesa emprender"),"")</f>
        <v/>
      </c>
      <c r="W167" t="str">
        <f t="shared" si="41"/>
        <v/>
      </c>
      <c r="X167" s="9" t="str">
        <f>IF(I167="Tengo un emprendimiento o quiero iniciar uno",CHOOSE(MOD(COUNTIF($I$2:I167,I167)-1,5)+1,"Falta de financiación","Falta de conocimientos administrativos","Falta de conocimientos financieros","Falta de tiempo","Falta de herramientas"),"")</f>
        <v/>
      </c>
      <c r="Y167" s="9" t="str">
        <f t="shared" si="42"/>
        <v/>
      </c>
      <c r="Z167" t="str">
        <f>IF(I167="Tengo un emprendimiento o quiero iniciar uno",CHOOSE(INT(MOD((COUNTIF($I$2:I167,I167)-1)*7,39)/13)+1,"Sí","No","No conozco programas de ese tipo"),"")</f>
        <v/>
      </c>
      <c r="AA167" t="str">
        <f t="shared" si="43"/>
        <v>Puedo hacerlo sin ayuda</v>
      </c>
      <c r="AB167" t="str">
        <f t="shared" si="43"/>
        <v>Puedo hacerlo sin ayuda</v>
      </c>
      <c r="AC167" t="str">
        <f t="shared" si="44"/>
        <v>Puedo hacerlo con ayuda</v>
      </c>
      <c r="AD167" s="9" t="str">
        <f t="shared" si="45"/>
        <v>Puedo hacerlo sin ayuda</v>
      </c>
      <c r="AE167" t="str">
        <f t="shared" si="46"/>
        <v>Puedo hacerlo con dificultad</v>
      </c>
      <c r="AF167" s="9" t="str">
        <f t="shared" si="47"/>
        <v>Comunicación;Liderazgo</v>
      </c>
      <c r="AG167" s="9" t="str">
        <f t="shared" si="48"/>
        <v>Horarios;Falta de información</v>
      </c>
      <c r="AH167" t="str">
        <f t="shared" si="49"/>
        <v>Programas de emprendimiento</v>
      </c>
      <c r="AI167" s="9" t="str">
        <f t="shared" si="50"/>
        <v>Me es indiferente</v>
      </c>
      <c r="AJ167" s="9" t="str">
        <f t="shared" si="51"/>
        <v>Nocturno</v>
      </c>
      <c r="AK167" s="9" t="str">
        <f t="shared" si="52"/>
        <v>Redes sociales</v>
      </c>
    </row>
    <row r="168" spans="1:37">
      <c r="A168" t="str">
        <f t="shared" si="53"/>
        <v>SG167</v>
      </c>
      <c r="B168" t="s">
        <v>418</v>
      </c>
      <c r="C168" s="9" t="s">
        <v>427</v>
      </c>
      <c r="D168" t="str">
        <f t="shared" si="36"/>
        <v>Masculino</v>
      </c>
      <c r="E168" t="str">
        <f t="shared" si="37"/>
        <v>De 20 a 22 años</v>
      </c>
      <c r="F168">
        <f t="shared" si="38"/>
        <v>21</v>
      </c>
      <c r="G168" s="9" t="s">
        <v>428</v>
      </c>
      <c r="H168" s="9" t="str">
        <f t="shared" si="39"/>
        <v>Tecnólogo</v>
      </c>
      <c r="I168" s="9" t="str">
        <f t="shared" si="40"/>
        <v>Tengo un emprendimiento o quiero iniciar uno</v>
      </c>
      <c r="J168" s="13" t="str">
        <f>IF(I168="Trabajo actualmente como empleado",IF(MOD((COUNTIF($I$2:I168,"Trabajo actualmente como empleado")-1)*37,150)&lt;100,"Empleado con contrato","Empleado sin contrato formal"),IF(I168="Trabajo de manera independiente","Trabajo independiente",""))</f>
        <v/>
      </c>
      <c r="K168" s="9" t="str">
        <f>IF(OR(I168="Trabajo actualmente como empleado",I168="Trabajo de manera independiente"),CHOOSE(MOD(COUNTIF($I$2:I168,I168)-1,4)+1,"Menos de 3 meses","De 3 a 6 meses","De 7 a 12 meses","Más de un año"),"")</f>
        <v/>
      </c>
      <c r="L168" t="str">
        <f>IF(OR(I168="Trabajo actualmente como empleado",I168="Trabajo de manera independiente"),CHOOSE(MOD(COUNTIF($I$2:I168,I168)-1,3)+1,"Sí, completamente","Parcialmente","No"),"")</f>
        <v/>
      </c>
      <c r="M168" t="str">
        <f>IF(OR(I168="Trabajo actualmente como empleado",I168="Trabajo de manera independiente"),CHOOSE(MOD(INT((COUNTIF($I$2:I168,I168)-1)/3),4)+1,"1- Muy satisfecho/a","2- Satisfecho/a","3- Insatisfecho/a","4- Muy insatisfecho/a"),"")</f>
        <v/>
      </c>
      <c r="N168" t="str">
        <f>IF(OR(I168="Trabajo actualmente como empleado",I168="Trabajo de manera independiente"),_xlfn.LET(_xlpm.opcion,MOD(INT((COUNTIF($I$2:I168,I168)-1)/5),6)+1,CHOOSE(IF(AND(_xlpm.opcion=6,L168="Sí, completamente"),5,_xlpm.opcion),"Salario","Estabilidad laboral","Horario","Acceso a prestaciones","Oportunidades de crecimiento","Trabajar en un área relacionada con mi formación")),"")</f>
        <v/>
      </c>
      <c r="O168" s="9" t="str">
        <f>IF(OR(I168="Trabajo actualmente como empleado",I168="Trabajo de manera independiente"),_xlfn.LET(_xlpm.turno,MOD(COUNTIF($I$2:I168,I168)-1,5),_xlpm.nivel,VALUE(LEFT(M168,1)),IF(_xlpm.turno=4,"No estoy seguro/a",IF(_xlpm.turno&lt;IF(_xlpm.nivel&lt;=2,1,3),"Sí","No"))),"")</f>
        <v/>
      </c>
      <c r="P168" s="9" t="str">
        <f>_xlfn.LET(_xlpm.perfil,I168,_xlpm.turno,COUNTIF($I$2:I168,_xlpm.perfil)-1,_xlpm.busca,OR(_xlpm.perfil="Actualmente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trabajar"),IF(AND(_xlpm.trabaja,O168="No"),"Todavía no he iniciado una búsqueda activa",CHOOSE(MOD(_xlpm.turno*3,5)+1,"Menos de 1 mes","Entre 1 y 3 meses","Entre 4 y 6 meses","Más de 6 meses","Todavía no he iniciado una búsqueda activa")),"")))</f>
        <v/>
      </c>
      <c r="Q168" t="str">
        <f>IF(I168="Tengo un emprendimiento o quiero iniciar uno","",CHOOSE(MOD(INT((COUNTIF($I$2:I168,I168)-1)/7),3)+1,"Sí","No","Tengo una pero necesito actualizarla"))</f>
        <v/>
      </c>
      <c r="R168" s="9" t="str">
        <f>IF(I168="Tengo un emprendimiento o quiero iniciar uno","",IF(I168="Busco mi primer empleo","No",IF(MOD(COUNTIF($I$2:I168,I168)-1,2)=0,"Sí","No")))</f>
        <v/>
      </c>
      <c r="S168" t="str">
        <f>IF(I168="Tengo un emprendimiento o quiero iniciar uno","",CHOOSE(MOD(INT((COUNTIF($I$2:I168,I168)-1)/3),10)+1,"Portales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68" t="str">
        <f>IF(I168="Tengo un emprendimiento o quiero iniciar uno","",_xlfn.LET(_xlpm.opcion,MOD(INT((COUNTIF($I$2:I168,I168)-1)/4),6)+1,CHOOSE(IF(AND(_xlpm.opcion=3,Q168="Sí"),1,_xlpm.opcion),"Falta de experiencia","Falta de formación","Dificultades con la hoja de vida","Horarios disponibles","Transporte","Internet")))</f>
        <v/>
      </c>
      <c r="U168" s="9" t="str">
        <f>IF(I168="Tengo un emprendimiento o quiero iniciar uno","",IF(MOD(INT((COUNTIF($I$2:I168,I168)-1)/3),2)=0,"Sí","No"))</f>
        <v/>
      </c>
      <c r="V168" s="9" t="str">
        <f>IF(I168="Tengo un emprendimiento o quiero iniciar uno",CHOOSE(MOD(COUNTIF($I$2:I168,I168)-1,3)+1,"Tengo un emprendimiento","Estoy iniciando un emprendimiento","Me interesa emprender"),"")</f>
        <v>Estoy iniciando un emprendimiento</v>
      </c>
      <c r="W168" t="str">
        <f t="shared" si="41"/>
        <v>Inicio</v>
      </c>
      <c r="X168" s="9" t="str">
        <f>IF(I168="Tengo un emprendimiento o quiero iniciar uno",CHOOSE(MOD(COUNTIF($I$2:I168,I168)-1,5)+1,"Falta de financiación","Falta de conocimientos administrativos","Falta de conocimientos financieros","Falta de tiempo","Falta de herramientas"),"")</f>
        <v>Falta de tiempo</v>
      </c>
      <c r="Y168" s="9" t="str">
        <f t="shared" si="42"/>
        <v>Falta de tiempo</v>
      </c>
      <c r="Z168" t="str">
        <f>IF(I168="Tengo un emprendimiento o quiero iniciar uno",CHOOSE(INT(MOD((COUNTIF($I$2:I168,I168)-1)*7,39)/13)+1,"Sí","No","No conozco programas de ese tipo"),"")</f>
        <v>No</v>
      </c>
      <c r="AA168" t="str">
        <f t="shared" si="43"/>
        <v>No puedo hacerlo</v>
      </c>
      <c r="AB168" t="str">
        <f t="shared" si="43"/>
        <v>No puedo hacerlo</v>
      </c>
      <c r="AC168" t="str">
        <f t="shared" si="44"/>
        <v>Puedo hacerlo con dificultad</v>
      </c>
      <c r="AD168" s="9" t="str">
        <f t="shared" si="45"/>
        <v>No puedo hacerlo</v>
      </c>
      <c r="AE168" t="str">
        <f t="shared" si="46"/>
        <v>Puedo hacerlo con dificultad</v>
      </c>
      <c r="AF168" s="9" t="str">
        <f t="shared" si="47"/>
        <v>Herramientas digitales;Educación financiera</v>
      </c>
      <c r="AG168" s="9" t="str">
        <f t="shared" si="48"/>
        <v>Horarios;Falta de información</v>
      </c>
      <c r="AH168" t="str">
        <f t="shared" si="49"/>
        <v>Oficina de orientación laboral</v>
      </c>
      <c r="AI168" s="9" t="str">
        <f t="shared" si="50"/>
        <v>Presencial</v>
      </c>
      <c r="AJ168" s="9" t="str">
        <f t="shared" si="51"/>
        <v>Mañana entre semana</v>
      </c>
      <c r="AK168" s="9" t="str">
        <f t="shared" si="52"/>
        <v>Celular</v>
      </c>
    </row>
    <row r="169" spans="1:37">
      <c r="A169" t="str">
        <f t="shared" si="53"/>
        <v>SG168</v>
      </c>
      <c r="B169" t="s">
        <v>418</v>
      </c>
      <c r="C169" s="9" t="s">
        <v>427</v>
      </c>
      <c r="D169" t="str">
        <f t="shared" si="36"/>
        <v>Femenino</v>
      </c>
      <c r="E169" t="str">
        <f t="shared" si="37"/>
        <v>De 22 a 24 años</v>
      </c>
      <c r="F169">
        <f t="shared" si="38"/>
        <v>23</v>
      </c>
      <c r="G169" s="9" t="s">
        <v>428</v>
      </c>
      <c r="H169" s="9" t="str">
        <f t="shared" si="39"/>
        <v>Tecnólogo</v>
      </c>
      <c r="I169" s="9" t="str">
        <f t="shared" si="40"/>
        <v>Trabajo de manera independiente</v>
      </c>
      <c r="J169" s="13" t="str">
        <f>IF(I169="Trabajo actualmente como empleado",IF(MOD((COUNTIF($I$2:I169,"Trabajo actualmente como empleado")-1)*37,150)&lt;100,"Empleado con contrato","Empleado sin contrato formal"),IF(I169="Trabajo de manera independiente","Trabajo independiente",""))</f>
        <v>Trabajo independiente</v>
      </c>
      <c r="K169" s="9" t="str">
        <f>IF(OR(I169="Trabajo actualmente como empleado",I169="Trabajo de manera independiente"),CHOOSE(MOD(COUNTIF($I$2:I169,I169)-1,4)+1,"Menos de 3 meses","De 3 a 6 meses","De 7 a 12 meses","Más de un año"),"")</f>
        <v>Menos de 3 meses</v>
      </c>
      <c r="L169" t="str">
        <f>IF(OR(I169="Trabajo actualmente como empleado",I169="Trabajo de manera independiente"),CHOOSE(MOD(COUNTIF($I$2:I169,I169)-1,3)+1,"Sí, completamente","Parcialmente","No"),"")</f>
        <v>Parcialmente</v>
      </c>
      <c r="M169" t="str">
        <f>IF(OR(I169="Trabajo actualmente como empleado",I169="Trabajo de manera independiente"),CHOOSE(MOD(INT((COUNTIF($I$2:I169,I169)-1)/3),4)+1,"1- Muy satisfecho/a","2- Satisfecho/a","3- Insatisfecho/a","4- Muy insatisfecho/a"),"")</f>
        <v>2- Satisfecho/a</v>
      </c>
      <c r="N169" t="str">
        <f>IF(OR(I169="Trabajo actualmente como empleado",I169="Trabajo de manera independiente"),_xlfn.LET(_xlpm.opcion,MOD(INT((COUNTIF($I$2:I169,I169)-1)/5),6)+1,CHOOSE(IF(AND(_xlpm.opcion=6,L169="Sí,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69" s="9" t="str">
        <f>IF(OR(I169="Trabajo actualmente como empleado",I169="Trabajo de manera independiente"),_xlfn.LET(_xlpm.turno,MOD(COUNTIF($I$2:I169,I169)-1,5),_xlpm.nivel,VALUE(LEFT(M169,1)),IF(_xlpm.turno=4,"No estoy seguro/a",IF(_xlpm.turno&lt;IF(_xlpm.nivel&lt;=2,1,3),"Sí","No"))),"")</f>
        <v>No</v>
      </c>
      <c r="P169" s="9" t="str">
        <f>_xlfn.LET(_xlpm.perfil,I169,_xlpm.turno,COUNTIF($I$2:I169,_xlpm.perfil)-1,_xlpm.busca,OR(_xlpm.perfil="Actualmente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trabajar"),IF(AND(_xlpm.trabaja,O169="No"),"Todavía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69" t="str">
        <f>IF(I169="Tengo un emprendimiento o quiero iniciar uno","",CHOOSE(MOD(INT((COUNTIF($I$2:I169,I169)-1)/7),3)+1,"Sí","No","Tengo una pero necesito actualizarla"))</f>
        <v>No</v>
      </c>
      <c r="R169" s="9" t="str">
        <f>IF(I169="Tengo un emprendimiento o quiero iniciar uno","",IF(I169="Busco mi primer empleo","No",IF(MOD(COUNTIF($I$2:I169,I169)-1,2)=0,"Sí","No")))</f>
        <v>Sí</v>
      </c>
      <c r="S169" t="str">
        <f>IF(I169="Tengo un emprendimiento o quiero iniciar uno","",CHOOSE(MOD(INT((COUNTIF($I$2:I169,I169)-1)/3),10)+1,"Portales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69" t="str">
        <f>IF(I169="Tengo un emprendimiento o quiero iniciar uno","",_xlfn.LET(_xlpm.opcion,MOD(INT((COUNTIF($I$2:I169,I169)-1)/4),6)+1,CHOOSE(IF(AND(_xlpm.opcion=3,Q169="Sí"),1,_xlpm.opcion),"Falta de experiencia","Falta de formación","Dificultades con la hoja de vida","Horarios disponibles","Transporte","Internet")))</f>
        <v>Falta de formación</v>
      </c>
      <c r="U169" s="9" t="str">
        <f>IF(I169="Tengo un emprendimiento o quiero iniciar uno","",IF(MOD(INT((COUNTIF($I$2:I169,I169)-1)/3),2)=0,"Sí","No"))</f>
        <v>No</v>
      </c>
      <c r="V169" s="9" t="str">
        <f>IF(I169="Tengo un emprendimiento o quiero iniciar uno",CHOOSE(MOD(COUNTIF($I$2:I169,I169)-1,3)+1,"Tengo un emprendimiento","Estoy iniciando un emprendimiento","Me interesa emprender"),"")</f>
        <v/>
      </c>
      <c r="W169" t="str">
        <f t="shared" si="41"/>
        <v/>
      </c>
      <c r="X169" s="9" t="str">
        <f>IF(I169="Tengo un emprendimiento o quiero iniciar uno",CHOOSE(MOD(COUNTIF($I$2:I169,I169)-1,5)+1,"Falta de financiación","Falta de conocimientos administrativos","Falta de conocimientos financieros","Falta de tiempo","Falta de herramientas"),"")</f>
        <v/>
      </c>
      <c r="Y169" s="9" t="str">
        <f t="shared" si="42"/>
        <v/>
      </c>
      <c r="Z169" t="str">
        <f>IF(I169="Tengo un emprendimiento o quiero iniciar uno",CHOOSE(INT(MOD((COUNTIF($I$2:I169,I169)-1)*7,39)/13)+1,"Sí","No","No conozco programas de ese tipo"),"")</f>
        <v/>
      </c>
      <c r="AA169" t="str">
        <f t="shared" si="43"/>
        <v>Puedo hacerlo con dificultad</v>
      </c>
      <c r="AB169" t="str">
        <f t="shared" si="43"/>
        <v>Puedo hacerlo con dificultad</v>
      </c>
      <c r="AC169" t="str">
        <f t="shared" si="44"/>
        <v>Puedo hacerlo sin ayuda</v>
      </c>
      <c r="AD169" s="9" t="str">
        <f t="shared" si="45"/>
        <v>Puedo hacerlo con ayuda</v>
      </c>
      <c r="AE169" t="str">
        <f t="shared" si="46"/>
        <v>Puedo hacerlo sin ayuda</v>
      </c>
      <c r="AF169" s="9" t="str">
        <f t="shared" si="47"/>
        <v>Crear una hoja de vida</v>
      </c>
      <c r="AG169" s="9" t="str">
        <f t="shared" si="48"/>
        <v>Horarios;Falta de información</v>
      </c>
      <c r="AH169" t="str">
        <f t="shared" si="49"/>
        <v>Programas de emprendimiento</v>
      </c>
      <c r="AI169" s="9" t="str">
        <f t="shared" si="50"/>
        <v>Virtual</v>
      </c>
      <c r="AJ169" s="9" t="str">
        <f t="shared" si="51"/>
        <v>Diurno</v>
      </c>
      <c r="AK169" s="9" t="str">
        <f t="shared" si="52"/>
        <v>Correo electrónico</v>
      </c>
    </row>
    <row r="170" spans="1:37">
      <c r="A170" t="str">
        <f t="shared" si="53"/>
        <v>SG169</v>
      </c>
      <c r="B170" t="s">
        <v>418</v>
      </c>
      <c r="C170" s="9" t="s">
        <v>427</v>
      </c>
      <c r="D170" t="str">
        <f t="shared" si="36"/>
        <v>Masculino</v>
      </c>
      <c r="E170" t="str">
        <f t="shared" si="37"/>
        <v>De 24 a 26 años</v>
      </c>
      <c r="F170">
        <f t="shared" si="38"/>
        <v>25</v>
      </c>
      <c r="G170" s="9" t="s">
        <v>428</v>
      </c>
      <c r="H170" s="9" t="str">
        <f t="shared" si="39"/>
        <v>Profesional</v>
      </c>
      <c r="I170" s="9" t="str">
        <f t="shared" si="40"/>
        <v>Busco mi primer empleo</v>
      </c>
      <c r="J170" s="13" t="str">
        <f>IF(I170="Trabajo actualmente como empleado",IF(MOD((COUNTIF($I$2:I170,"Trabajo actualmente como empleado")-1)*37,150)&lt;100,"Empleado con contrato","Empleado sin contrato formal"),IF(I170="Trabajo de manera independiente","Trabajo independiente",""))</f>
        <v/>
      </c>
      <c r="K170" s="9" t="str">
        <f>IF(OR(I170="Trabajo actualmente como empleado",I170="Trabajo de manera independiente"),CHOOSE(MOD(COUNTIF($I$2:I170,I170)-1,4)+1,"Menos de 3 meses","De 3 a 6 meses","De 7 a 12 meses","Más de un año"),"")</f>
        <v/>
      </c>
      <c r="L170" t="str">
        <f>IF(OR(I170="Trabajo actualmente como empleado",I170="Trabajo de manera independiente"),CHOOSE(MOD(COUNTIF($I$2:I170,I170)-1,3)+1,"Sí, completamente","Parcialmente","No"),"")</f>
        <v/>
      </c>
      <c r="M170" t="str">
        <f>IF(OR(I170="Trabajo actualmente como empleado",I170="Trabajo de manera independiente"),CHOOSE(MOD(INT((COUNTIF($I$2:I170,I170)-1)/3),4)+1,"1- Muy satisfecho/a","2- Satisfecho/a","3- Insatisfecho/a","4- Muy insatisfecho/a"),"")</f>
        <v/>
      </c>
      <c r="N170" t="str">
        <f>IF(OR(I170="Trabajo actualmente como empleado",I170="Trabajo de manera independiente"),_xlfn.LET(_xlpm.opcion,MOD(INT((COUNTIF($I$2:I170,I170)-1)/5),6)+1,CHOOSE(IF(AND(_xlpm.opcion=6,L170="Sí, completamente"),5,_xlpm.opcion),"Salario","Estabilidad laboral","Horario","Acceso a prestaciones","Oportunidades de crecimiento","Trabajar en un área relacionada con mi formación")),"")</f>
        <v/>
      </c>
      <c r="O170" s="9" t="str">
        <f>IF(OR(I170="Trabajo actualmente como empleado",I170="Trabajo de manera independiente"),_xlfn.LET(_xlpm.turno,MOD(COUNTIF($I$2:I170,I170)-1,5),_xlpm.nivel,VALUE(LEFT(M170,1)),IF(_xlpm.turno=4,"No estoy seguro/a",IF(_xlpm.turno&lt;IF(_xlpm.nivel&lt;=2,1,3),"Sí","No"))),"")</f>
        <v/>
      </c>
      <c r="P170" s="9" t="str">
        <f>_xlfn.LET(_xlpm.perfil,I170,_xlpm.turno,COUNTIF($I$2:I170,_xlpm.perfil)-1,_xlpm.busca,OR(_xlpm.perfil="Actualmente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trabajar"),IF(AND(_xlpm.trabaja,O170="No"),"Todavía no he iniciado una búsqueda activa",CHOOSE(MOD(_xlpm.turno*3,5)+1,"Menos de 1 mes","Entre 1 y 3 meses","Entre 4 y 6 meses","Más de 6 meses","Todavía no he iniciado una búsqueda activa")),"")))</f>
        <v>Entre 1 y 3 meses</v>
      </c>
      <c r="Q170" t="str">
        <f>IF(I170="Tengo un emprendimiento o quiero iniciar uno","",CHOOSE(MOD(INT((COUNTIF($I$2:I170,I170)-1)/7),3)+1,"Sí","No","Tengo una pero necesito actualizarla"))</f>
        <v>Sí</v>
      </c>
      <c r="R170" s="9" t="str">
        <f>IF(I170="Tengo un emprendimiento o quiero iniciar uno","",IF(I170="Busco mi primer empleo","No",IF(MOD(COUNTIF($I$2:I170,I170)-1,2)=0,"Sí","No")))</f>
        <v>No</v>
      </c>
      <c r="S170" t="str">
        <f>IF(I170="Tengo un emprendimiento o quiero iniciar uno","",CHOOSE(MOD(INT((COUNTIF($I$2:I170,I170)-1)/3),10)+1,"Portales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70" t="str">
        <f>IF(I170="Tengo un emprendimiento o quiero iniciar uno","",_xlfn.LET(_xlpm.opcion,MOD(INT((COUNTIF($I$2:I170,I170)-1)/4),6)+1,CHOOSE(IF(AND(_xlpm.opcion=3,Q170="Sí"),1,_xlpm.opcion),"Falta de experiencia","Falta de formación","Dificultades con la hoja de vida","Horarios disponibles","Transporte","Internet")))</f>
        <v>Internet</v>
      </c>
      <c r="U170" s="9" t="str">
        <f>IF(I170="Tengo un emprendimiento o quiero iniciar uno","",IF(MOD(INT((COUNTIF($I$2:I170,I170)-1)/3),2)=0,"Sí","No"))</f>
        <v>No</v>
      </c>
      <c r="V170" s="9" t="str">
        <f>IF(I170="Tengo un emprendimiento o quiero iniciar uno",CHOOSE(MOD(COUNTIF($I$2:I170,I170)-1,3)+1,"Tengo un emprendimiento","Estoy iniciando un emprendimiento","Me interesa emprender"),"")</f>
        <v/>
      </c>
      <c r="W170" t="str">
        <f t="shared" si="41"/>
        <v/>
      </c>
      <c r="X170" s="9" t="str">
        <f>IF(I170="Tengo un emprendimiento o quiero iniciar uno",CHOOSE(MOD(COUNTIF($I$2:I170,I170)-1,5)+1,"Falta de financiación","Falta de conocimientos administrativos","Falta de conocimientos financieros","Falta de tiempo","Falta de herramientas"),"")</f>
        <v/>
      </c>
      <c r="Y170" s="9" t="str">
        <f t="shared" si="42"/>
        <v/>
      </c>
      <c r="Z170" t="str">
        <f>IF(I170="Tengo un emprendimiento o quiero iniciar uno",CHOOSE(INT(MOD((COUNTIF($I$2:I170,I170)-1)*7,39)/13)+1,"Sí","No","No conozco programas de ese tipo"),"")</f>
        <v/>
      </c>
      <c r="AA170" t="str">
        <f t="shared" si="43"/>
        <v>Puedo hacerlo sin ayuda</v>
      </c>
      <c r="AB170" t="str">
        <f t="shared" si="43"/>
        <v>Puedo hacerlo sin ayuda</v>
      </c>
      <c r="AC170" t="str">
        <f t="shared" si="44"/>
        <v>No puedo hacerlo</v>
      </c>
      <c r="AD170" s="9" t="str">
        <f t="shared" si="45"/>
        <v>Puedo hacerlo con ayuda</v>
      </c>
      <c r="AE170" t="str">
        <f t="shared" si="46"/>
        <v>Puedo hacerlo sin ayuda</v>
      </c>
      <c r="AF170" s="9" t="str">
        <f t="shared" si="47"/>
        <v>Preparación para entrevista</v>
      </c>
      <c r="AG170" s="9" t="str">
        <f t="shared" si="48"/>
        <v>Ninguna</v>
      </c>
      <c r="AH170" t="str">
        <f t="shared" si="49"/>
        <v>No conozco ninguno</v>
      </c>
      <c r="AI170" s="9" t="str">
        <f t="shared" si="50"/>
        <v>Presencial y virtual</v>
      </c>
      <c r="AJ170" s="9" t="str">
        <f t="shared" si="51"/>
        <v>Nocturno</v>
      </c>
      <c r="AK170" s="9" t="str">
        <f t="shared" si="52"/>
        <v>Redes sociales</v>
      </c>
    </row>
    <row r="171" spans="1:37">
      <c r="A171" t="str">
        <f t="shared" si="53"/>
        <v>SG170</v>
      </c>
      <c r="B171" t="s">
        <v>418</v>
      </c>
      <c r="C171" s="9" t="s">
        <v>427</v>
      </c>
      <c r="D171" t="str">
        <f t="shared" si="36"/>
        <v>Masculino</v>
      </c>
      <c r="E171" t="str">
        <f t="shared" si="37"/>
        <v>De 26 a 28 años</v>
      </c>
      <c r="F171">
        <f t="shared" si="38"/>
        <v>26</v>
      </c>
      <c r="G171" s="9" t="s">
        <v>428</v>
      </c>
      <c r="H171" s="9" t="str">
        <f t="shared" si="39"/>
        <v>Profesional</v>
      </c>
      <c r="I171" s="9" t="str">
        <f t="shared" si="40"/>
        <v>Trabajo actualmente como empleado</v>
      </c>
      <c r="J171" s="13" t="str">
        <f>IF(I171="Trabajo actualmente como empleado",IF(MOD((COUNTIF($I$2:I171,"Trabajo actualmente como empleado")-1)*37,150)&lt;100,"Empleado con contrato","Empleado sin contrato formal"),IF(I171="Trabajo de manera independiente","Trabajo independiente",""))</f>
        <v>Empleado con contrato</v>
      </c>
      <c r="K171" s="9" t="str">
        <f>IF(OR(I171="Trabajo actualmente como empleado",I171="Trabajo de manera independiente"),CHOOSE(MOD(COUNTIF($I$2:I171,I171)-1,4)+1,"Menos de 3 meses","De 3 a 6 meses","De 7 a 12 meses","Más de un año"),"")</f>
        <v>De 7 a 12 meses</v>
      </c>
      <c r="L171" t="str">
        <f>IF(OR(I171="Trabajo actualmente como empleado",I171="Trabajo de manera independiente"),CHOOSE(MOD(COUNTIF($I$2:I171,I171)-1,3)+1,"Sí, completamente","Parcialmente","No"),"")</f>
        <v>Sí, completamente</v>
      </c>
      <c r="M171" t="str">
        <f>IF(OR(I171="Trabajo actualmente como empleado",I171="Trabajo de manera independiente"),CHOOSE(MOD(INT((COUNTIF($I$2:I171,I171)-1)/3),4)+1,"1- Muy satisfecho/a","2- Satisfecho/a","3- Insatisfecho/a","4- Muy insatisfecho/a"),"")</f>
        <v>3- Insatisfecho/a</v>
      </c>
      <c r="N171" t="str">
        <f>IF(OR(I171="Trabajo actualmente como empleado",I171="Trabajo de manera independiente"),_xlfn.LET(_xlpm.opcion,MOD(INT((COUNTIF($I$2:I171,I171)-1)/5),6)+1,CHOOSE(IF(AND(_xlpm.opcion=6,L171="Sí, completamente"),5,_xlpm.opcion),"Salario","Estabilidad laboral","Horario","Acceso a prestaciones","Oportunidades de crecimiento","Trabajar en un área relacionada con mi formación")),"")</f>
        <v>Oportunidades de crecimiento</v>
      </c>
      <c r="O171" s="9" t="str">
        <f>IF(OR(I171="Trabajo actualmente como empleado",I171="Trabajo de manera independiente"),_xlfn.LET(_xlpm.turno,MOD(COUNTIF($I$2:I171,I171)-1,5),_xlpm.nivel,VALUE(LEFT(M171,1)),IF(_xlpm.turno=4,"No estoy seguro/a",IF(_xlpm.turno&lt;IF(_xlpm.nivel&lt;=2,1,3),"Sí","No"))),"")</f>
        <v>No estoy seguro/a</v>
      </c>
      <c r="P171" s="9" t="str">
        <f>_xlfn.LET(_xlpm.perfil,I171,_xlpm.turno,COUNTIF($I$2:I171,_xlpm.perfil)-1,_xlpm.busca,OR(_xlpm.perfil="Actualmente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trabajar"),IF(AND(_xlpm.trabaja,O171="No"),"Todavía no he iniciado una búsqueda activa",CHOOSE(MOD(_xlpm.turno*3,5)+1,"Menos de 1 mes","Entre 1 y 3 meses","Entre 4 y 6 meses","Más de 6 meses","Todavía no he iniciado una búsqueda activa")),"")))</f>
        <v>Entre 4 y 6 meses</v>
      </c>
      <c r="Q171" t="str">
        <f>IF(I171="Tengo un emprendimiento o quiero iniciar uno","",CHOOSE(MOD(INT((COUNTIF($I$2:I171,I171)-1)/7),3)+1,"Sí","No","Tengo una pero necesito actualizarla"))</f>
        <v>No</v>
      </c>
      <c r="R171" s="9" t="str">
        <f>IF(I171="Tengo un emprendimiento o quiero iniciar uno","",IF(I171="Busco mi primer empleo","No",IF(MOD(COUNTIF($I$2:I171,I171)-1,2)=0,"Sí","No")))</f>
        <v>Sí</v>
      </c>
      <c r="S171" t="str">
        <f>IF(I171="Tengo un emprendimiento o quiero iniciar uno","",CHOOSE(MOD(INT((COUNTIF($I$2:I171,I171)-1)/3),10)+1,"Portales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71" t="str">
        <f>IF(I171="Tengo un emprendimiento o quiero iniciar uno","",_xlfn.LET(_xlpm.opcion,MOD(INT((COUNTIF($I$2:I171,I171)-1)/4),6)+1,CHOOSE(IF(AND(_xlpm.opcion=3,Q171="Sí"),1,_xlpm.opcion),"Falta de experiencia","Falta de formación","Dificultades con la hoja de vida","Horarios disponibles","Transporte","Internet")))</f>
        <v>Falta de formación</v>
      </c>
      <c r="U171" s="9" t="str">
        <f>IF(I171="Tengo un emprendimiento o quiero iniciar uno","",IF(MOD(INT((COUNTIF($I$2:I171,I171)-1)/3),2)=0,"Sí","No"))</f>
        <v>Sí</v>
      </c>
      <c r="V171" s="9" t="str">
        <f>IF(I171="Tengo un emprendimiento o quiero iniciar uno",CHOOSE(MOD(COUNTIF($I$2:I171,I171)-1,3)+1,"Tengo un emprendimiento","Estoy iniciando un emprendimiento","Me interesa emprender"),"")</f>
        <v/>
      </c>
      <c r="W171" t="str">
        <f t="shared" si="41"/>
        <v/>
      </c>
      <c r="X171" s="9" t="str">
        <f>IF(I171="Tengo un emprendimiento o quiero iniciar uno",CHOOSE(MOD(COUNTIF($I$2:I171,I171)-1,5)+1,"Falta de financiación","Falta de conocimientos administrativos","Falta de conocimientos financieros","Falta de tiempo","Falta de herramientas"),"")</f>
        <v/>
      </c>
      <c r="Y171" s="9" t="str">
        <f t="shared" si="42"/>
        <v/>
      </c>
      <c r="Z171" t="str">
        <f>IF(I171="Tengo un emprendimiento o quiero iniciar uno",CHOOSE(INT(MOD((COUNTIF($I$2:I171,I171)-1)*7,39)/13)+1,"Sí","No","No conozco programas de ese tipo"),"")</f>
        <v/>
      </c>
      <c r="AA171" t="str">
        <f t="shared" si="43"/>
        <v>Puedo hacerlo con ayuda</v>
      </c>
      <c r="AB171" t="str">
        <f t="shared" si="43"/>
        <v>Puedo hacerlo con ayuda</v>
      </c>
      <c r="AC171" t="str">
        <f t="shared" si="44"/>
        <v>Puedo hacerlo con dificultad</v>
      </c>
      <c r="AD171" s="9" t="str">
        <f t="shared" si="45"/>
        <v>Puedo hacerlo con dificultad</v>
      </c>
      <c r="AE171" t="str">
        <f t="shared" si="46"/>
        <v>No puedo hacerlo</v>
      </c>
      <c r="AF171" s="9" t="str">
        <f t="shared" si="47"/>
        <v>Comunicación</v>
      </c>
      <c r="AG171" s="9" t="str">
        <f t="shared" si="48"/>
        <v>Ninguna</v>
      </c>
      <c r="AH171" t="str">
        <f t="shared" si="49"/>
        <v>Ferias de empleo</v>
      </c>
      <c r="AI171" s="9" t="str">
        <f t="shared" si="50"/>
        <v>Me es indiferente</v>
      </c>
      <c r="AJ171" s="9" t="str">
        <f t="shared" si="51"/>
        <v>Mañana entre semana</v>
      </c>
      <c r="AK171" s="9" t="str">
        <f t="shared" si="52"/>
        <v>WhatsApp</v>
      </c>
    </row>
    <row r="172" spans="1:37">
      <c r="A172" t="str">
        <f t="shared" si="53"/>
        <v>SG171</v>
      </c>
      <c r="B172" t="s">
        <v>418</v>
      </c>
      <c r="C172" s="9" t="s">
        <v>427</v>
      </c>
      <c r="D172" t="str">
        <f t="shared" si="36"/>
        <v>Femenino</v>
      </c>
      <c r="E172" t="str">
        <f t="shared" si="37"/>
        <v>De 18 a 20 años</v>
      </c>
      <c r="F172">
        <f t="shared" si="38"/>
        <v>18</v>
      </c>
      <c r="G172" s="9" t="s">
        <v>428</v>
      </c>
      <c r="H172" s="9" t="str">
        <f t="shared" si="39"/>
        <v>Bachiller</v>
      </c>
      <c r="I172" s="9" t="str">
        <f t="shared" si="40"/>
        <v>Trabajo de manera independiente</v>
      </c>
      <c r="J172" s="13" t="str">
        <f>IF(I172="Trabajo actualmente como empleado",IF(MOD((COUNTIF($I$2:I172,"Trabajo actualmente como empleado")-1)*37,150)&lt;100,"Empleado con contrato","Empleado sin contrato formal"),IF(I172="Trabajo de manera independiente","Trabajo independiente",""))</f>
        <v>Trabajo independiente</v>
      </c>
      <c r="K172" s="9" t="str">
        <f>IF(OR(I172="Trabajo actualmente como empleado",I172="Trabajo de manera independiente"),CHOOSE(MOD(COUNTIF($I$2:I172,I172)-1,4)+1,"Menos de 3 meses","De 3 a 6 meses","De 7 a 12 meses","Más de un año"),"")</f>
        <v>De 3 a 6 meses</v>
      </c>
      <c r="L172" t="str">
        <f>IF(OR(I172="Trabajo actualmente como empleado",I172="Trabajo de manera independiente"),CHOOSE(MOD(COUNTIF($I$2:I172,I172)-1,3)+1,"Sí, completamente","Parcialmente","No"),"")</f>
        <v>No</v>
      </c>
      <c r="M172" t="str">
        <f>IF(OR(I172="Trabajo actualmente como empleado",I172="Trabajo de manera independiente"),CHOOSE(MOD(INT((COUNTIF($I$2:I172,I172)-1)/3),4)+1,"1- Muy satisfecho/a","2- Satisfecho/a","3- Insatisfecho/a","4- Muy insatisfecho/a"),"")</f>
        <v>2- Satisfecho/a</v>
      </c>
      <c r="N172" t="str">
        <f>IF(OR(I172="Trabajo actualmente como empleado",I172="Trabajo de manera independiente"),_xlfn.LET(_xlpm.opcion,MOD(INT((COUNTIF($I$2:I172,I172)-1)/5),6)+1,CHOOSE(IF(AND(_xlpm.opcion=6,L172="Sí,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72" s="9" t="str">
        <f>IF(OR(I172="Trabajo actualmente como empleado",I172="Trabajo de manera independiente"),_xlfn.LET(_xlpm.turno,MOD(COUNTIF($I$2:I172,I172)-1,5),_xlpm.nivel,VALUE(LEFT(M172,1)),IF(_xlpm.turno=4,"No estoy seguro/a",IF(_xlpm.turno&lt;IF(_xlpm.nivel&lt;=2,1,3),"Sí","No"))),"")</f>
        <v>No estoy seguro/a</v>
      </c>
      <c r="P172" s="9" t="str">
        <f>_xlfn.LET(_xlpm.perfil,I172,_xlpm.turno,COUNTIF($I$2:I172,_xlpm.perfil)-1,_xlpm.busca,OR(_xlpm.perfil="Actualmente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trabajar"),IF(AND(_xlpm.trabaja,O172="No"),"Todavía no he iniciado una búsqueda activa",CHOOSE(MOD(_xlpm.turno*3,5)+1,"Menos de 1 mes","Entre 1 y 3 meses","Entre 4 y 6 meses","Más de 6 meses","Todavía no he iniciado una búsqueda activa")),"")))</f>
        <v>Entre 4 y 6 meses</v>
      </c>
      <c r="Q172" t="str">
        <f>IF(I172="Tengo un emprendimiento o quiero iniciar uno","",CHOOSE(MOD(INT((COUNTIF($I$2:I172,I172)-1)/7),3)+1,"Sí","No","Tengo una pero necesito actualizarla"))</f>
        <v>No</v>
      </c>
      <c r="R172" s="9" t="str">
        <f>IF(I172="Tengo un emprendimiento o quiero iniciar uno","",IF(I172="Busco mi primer empleo","No",IF(MOD(COUNTIF($I$2:I172,I172)-1,2)=0,"Sí","No")))</f>
        <v>No</v>
      </c>
      <c r="S172" t="str">
        <f>IF(I172="Tengo un emprendimiento o quiero iniciar uno","",CHOOSE(MOD(INT((COUNTIF($I$2:I172,I172)-1)/3),10)+1,"Portales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72" t="str">
        <f>IF(I172="Tengo un emprendimiento o quiero iniciar uno","",_xlfn.LET(_xlpm.opcion,MOD(INT((COUNTIF($I$2:I172,I172)-1)/4),6)+1,CHOOSE(IF(AND(_xlpm.opcion=3,Q172="Sí"),1,_xlpm.opcion),"Falta de experiencia","Falta de formación","Dificultades con la hoja de vida","Horarios disponibles","Transporte","Internet")))</f>
        <v>Falta de formación</v>
      </c>
      <c r="U172" s="9" t="str">
        <f>IF(I172="Tengo un emprendimiento o quiero iniciar uno","",IF(MOD(INT((COUNTIF($I$2:I172,I172)-1)/3),2)=0,"Sí","No"))</f>
        <v>No</v>
      </c>
      <c r="V172" s="9" t="str">
        <f>IF(I172="Tengo un emprendimiento o quiero iniciar uno",CHOOSE(MOD(COUNTIF($I$2:I172,I172)-1,3)+1,"Tengo un emprendimiento","Estoy iniciando un emprendimiento","Me interesa emprender"),"")</f>
        <v/>
      </c>
      <c r="W172" t="str">
        <f t="shared" si="41"/>
        <v/>
      </c>
      <c r="X172" s="9" t="str">
        <f>IF(I172="Tengo un emprendimiento o quiero iniciar uno",CHOOSE(MOD(COUNTIF($I$2:I172,I172)-1,5)+1,"Falta de financiación","Falta de conocimientos administrativos","Falta de conocimientos financieros","Falta de tiempo","Falta de herramientas"),"")</f>
        <v/>
      </c>
      <c r="Y172" s="9" t="str">
        <f t="shared" si="42"/>
        <v/>
      </c>
      <c r="Z172" t="str">
        <f>IF(I172="Tengo un emprendimiento o quiero iniciar uno",CHOOSE(INT(MOD((COUNTIF($I$2:I172,I172)-1)*7,39)/13)+1,"Sí","No","No conozco programas de ese tipo"),"")</f>
        <v/>
      </c>
      <c r="AA172" t="str">
        <f t="shared" si="43"/>
        <v>Puedo hacerlo sin ayuda</v>
      </c>
      <c r="AB172" t="str">
        <f t="shared" si="43"/>
        <v>Puedo hacerlo sin ayuda</v>
      </c>
      <c r="AC172" t="str">
        <f t="shared" si="44"/>
        <v>Puedo hacerlo sin ayuda</v>
      </c>
      <c r="AD172" s="9" t="str">
        <f t="shared" si="45"/>
        <v>Puedo hacerlo sin ayuda</v>
      </c>
      <c r="AE172" t="str">
        <f t="shared" si="46"/>
        <v>Puedo hacerlo con ayuda</v>
      </c>
      <c r="AF172" s="9" t="str">
        <f t="shared" si="47"/>
        <v>Liderazgo</v>
      </c>
      <c r="AG172" s="9" t="str">
        <f t="shared" si="48"/>
        <v>Ninguna</v>
      </c>
      <c r="AH172" t="str">
        <f t="shared" si="49"/>
        <v>Programas de emprendimiento</v>
      </c>
      <c r="AI172" s="9" t="str">
        <f t="shared" si="50"/>
        <v>Presencial</v>
      </c>
      <c r="AJ172" s="9" t="str">
        <f t="shared" si="51"/>
        <v>Diurno</v>
      </c>
      <c r="AK172" s="9" t="str">
        <f t="shared" si="52"/>
        <v>Correo electrónico</v>
      </c>
    </row>
    <row r="173" spans="1:37">
      <c r="A173" t="str">
        <f t="shared" si="53"/>
        <v>SG172</v>
      </c>
      <c r="B173" t="s">
        <v>418</v>
      </c>
      <c r="C173" s="9" t="s">
        <v>427</v>
      </c>
      <c r="D173" t="str">
        <f t="shared" si="36"/>
        <v>Femenino</v>
      </c>
      <c r="E173" t="str">
        <f t="shared" si="37"/>
        <v>De 20 a 22 años</v>
      </c>
      <c r="F173">
        <f t="shared" si="38"/>
        <v>20</v>
      </c>
      <c r="G173" s="9" t="s">
        <v>428</v>
      </c>
      <c r="H173" s="9" t="str">
        <f t="shared" si="39"/>
        <v>Bachiller</v>
      </c>
      <c r="I173" s="9" t="str">
        <f t="shared" si="40"/>
        <v>Busco mi primer empleo</v>
      </c>
      <c r="J173" s="13" t="str">
        <f>IF(I173="Trabajo actualmente como empleado",IF(MOD((COUNTIF($I$2:I173,"Trabajo actualmente como empleado")-1)*37,150)&lt;100,"Empleado con contrato","Empleado sin contrato formal"),IF(I173="Trabajo de manera independiente","Trabajo independiente",""))</f>
        <v/>
      </c>
      <c r="K173" s="9" t="str">
        <f>IF(OR(I173="Trabajo actualmente como empleado",I173="Trabajo de manera independiente"),CHOOSE(MOD(COUNTIF($I$2:I173,I173)-1,4)+1,"Menos de 3 meses","De 3 a 6 meses","De 7 a 12 meses","Más de un año"),"")</f>
        <v/>
      </c>
      <c r="L173" t="str">
        <f>IF(OR(I173="Trabajo actualmente como empleado",I173="Trabajo de manera independiente"),CHOOSE(MOD(COUNTIF($I$2:I173,I173)-1,3)+1,"Sí, completamente","Parcialmente","No"),"")</f>
        <v/>
      </c>
      <c r="M173" t="str">
        <f>IF(OR(I173="Trabajo actualmente como empleado",I173="Trabajo de manera independiente"),CHOOSE(MOD(INT((COUNTIF($I$2:I173,I173)-1)/3),4)+1,"1- Muy satisfecho/a","2- Satisfecho/a","3- Insatisfecho/a","4- Muy insatisfecho/a"),"")</f>
        <v/>
      </c>
      <c r="N173" t="str">
        <f>IF(OR(I173="Trabajo actualmente como empleado",I173="Trabajo de manera independiente"),_xlfn.LET(_xlpm.opcion,MOD(INT((COUNTIF($I$2:I173,I173)-1)/5),6)+1,CHOOSE(IF(AND(_xlpm.opcion=6,L173="Sí, completamente"),5,_xlpm.opcion),"Salario","Estabilidad laboral","Horario","Acceso a prestaciones","Oportunidades de crecimiento","Trabajar en un área relacionada con mi formación")),"")</f>
        <v/>
      </c>
      <c r="O173" s="9" t="str">
        <f>IF(OR(I173="Trabajo actualmente como empleado",I173="Trabajo de manera independiente"),_xlfn.LET(_xlpm.turno,MOD(COUNTIF($I$2:I173,I173)-1,5),_xlpm.nivel,VALUE(LEFT(M173,1)),IF(_xlpm.turno=4,"No estoy seguro/a",IF(_xlpm.turno&lt;IF(_xlpm.nivel&lt;=2,1,3),"Sí","No"))),"")</f>
        <v/>
      </c>
      <c r="P173" s="9" t="str">
        <f>_xlfn.LET(_xlpm.perfil,I173,_xlpm.turno,COUNTIF($I$2:I173,_xlpm.perfil)-1,_xlpm.busca,OR(_xlpm.perfil="Actualmente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trabajar"),IF(AND(_xlpm.trabaja,O173="No"),"Todavía no he iniciado una búsqueda activa",CHOOSE(MOD(_xlpm.turno*3,5)+1,"Menos de 1 mes","Entre 1 y 3 meses","Entre 4 y 6 meses","Más de 6 meses","Todavía no he iniciado una búsqueda activa")),"")))</f>
        <v>Menos de 1 mes</v>
      </c>
      <c r="Q173" t="str">
        <f>IF(I173="Tengo un emprendimiento o quiero iniciar uno","",CHOOSE(MOD(INT((COUNTIF($I$2:I173,I173)-1)/7),3)+1,"Sí","No","Tengo una pero necesito actualizarla"))</f>
        <v>Sí</v>
      </c>
      <c r="R173" s="9" t="str">
        <f>IF(I173="Tengo un emprendimiento o quiero iniciar uno","",IF(I173="Busco mi primer empleo","No",IF(MOD(COUNTIF($I$2:I173,I173)-1,2)=0,"Sí","No")))</f>
        <v>No</v>
      </c>
      <c r="S173" t="str">
        <f>IF(I173="Tengo un emprendimiento o quiero iniciar uno","",CHOOSE(MOD(INT((COUNTIF($I$2:I173,I173)-1)/3),10)+1,"Portales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73" t="str">
        <f>IF(I173="Tengo un emprendimiento o quiero iniciar uno","",_xlfn.LET(_xlpm.opcion,MOD(INT((COUNTIF($I$2:I173,I173)-1)/4),6)+1,CHOOSE(IF(AND(_xlpm.opcion=3,Q173="Sí"),1,_xlpm.opcion),"Falta de experiencia","Falta de formación","Dificultades con la hoja de vida","Horarios disponibles","Transporte","Internet")))</f>
        <v>Falta de experiencia</v>
      </c>
      <c r="U173" s="9" t="str">
        <f>IF(I173="Tengo un emprendimiento o quiero iniciar uno","",IF(MOD(INT((COUNTIF($I$2:I173,I173)-1)/3),2)=0,"Sí","No"))</f>
        <v>Sí</v>
      </c>
      <c r="V173" s="9" t="str">
        <f>IF(I173="Tengo un emprendimiento o quiero iniciar uno",CHOOSE(MOD(COUNTIF($I$2:I173,I173)-1,3)+1,"Tengo un emprendimiento","Estoy iniciando un emprendimiento","Me interesa emprender"),"")</f>
        <v/>
      </c>
      <c r="W173" t="str">
        <f t="shared" si="41"/>
        <v/>
      </c>
      <c r="X173" s="9" t="str">
        <f>IF(I173="Tengo un emprendimiento o quiero iniciar uno",CHOOSE(MOD(COUNTIF($I$2:I173,I173)-1,5)+1,"Falta de financiación","Falta de conocimientos administrativos","Falta de conocimientos financieros","Falta de tiempo","Falta de herramientas"),"")</f>
        <v/>
      </c>
      <c r="Y173" s="9" t="str">
        <f t="shared" si="42"/>
        <v/>
      </c>
      <c r="Z173" t="str">
        <f>IF(I173="Tengo un emprendimiento o quiero iniciar uno",CHOOSE(INT(MOD((COUNTIF($I$2:I173,I173)-1)*7,39)/13)+1,"Sí","No","No conozco programas de ese tipo"),"")</f>
        <v/>
      </c>
      <c r="AA173" t="str">
        <f t="shared" si="43"/>
        <v>No puedo hacerlo</v>
      </c>
      <c r="AB173" t="str">
        <f t="shared" si="43"/>
        <v>No puedo hacerlo</v>
      </c>
      <c r="AC173" t="str">
        <f t="shared" si="44"/>
        <v>No puedo hacerlo</v>
      </c>
      <c r="AD173" s="9" t="str">
        <f t="shared" si="45"/>
        <v>No puedo hacerlo</v>
      </c>
      <c r="AE173" t="str">
        <f t="shared" si="46"/>
        <v>Puedo hacerlo con ayuda</v>
      </c>
      <c r="AF173" s="9" t="str">
        <f t="shared" si="47"/>
        <v>Emprendimiento</v>
      </c>
      <c r="AG173" s="9" t="str">
        <f t="shared" si="48"/>
        <v>Falta de experiencia</v>
      </c>
      <c r="AH173" t="str">
        <f t="shared" si="49"/>
        <v>Oficina de orientación laboral</v>
      </c>
      <c r="AI173" s="9" t="str">
        <f t="shared" si="50"/>
        <v>Virtual</v>
      </c>
      <c r="AJ173" s="9" t="str">
        <f t="shared" si="51"/>
        <v>Nocturno</v>
      </c>
      <c r="AK173" s="9" t="str">
        <f t="shared" si="52"/>
        <v>Celular</v>
      </c>
    </row>
    <row r="174" spans="1:37">
      <c r="A174" t="str">
        <f t="shared" si="53"/>
        <v>SG173</v>
      </c>
      <c r="B174" t="s">
        <v>418</v>
      </c>
      <c r="C174" s="9" t="s">
        <v>427</v>
      </c>
      <c r="D174" t="str">
        <f t="shared" si="36"/>
        <v>Masculino</v>
      </c>
      <c r="E174" t="str">
        <f t="shared" si="37"/>
        <v>De 22 a 24 años</v>
      </c>
      <c r="F174">
        <f t="shared" si="38"/>
        <v>22</v>
      </c>
      <c r="G174" s="9" t="s">
        <v>428</v>
      </c>
      <c r="H174" s="9" t="str">
        <f t="shared" si="39"/>
        <v>Bachiller</v>
      </c>
      <c r="I174" s="9" t="str">
        <f t="shared" si="40"/>
        <v>Trabajo actualmente como empleado</v>
      </c>
      <c r="J174" s="13" t="str">
        <f>IF(I174="Trabajo actualmente como empleado",IF(MOD((COUNTIF($I$2:I174,"Trabajo actualmente como empleado")-1)*37,150)&lt;100,"Empleado con contrato","Empleado sin contrato formal"),IF(I174="Trabajo de manera independiente","Trabajo independiente",""))</f>
        <v>Empleado con contrato</v>
      </c>
      <c r="K174" s="9" t="str">
        <f>IF(OR(I174="Trabajo actualmente como empleado",I174="Trabajo de manera independiente"),CHOOSE(MOD(COUNTIF($I$2:I174,I174)-1,4)+1,"Menos de 3 meses","De 3 a 6 meses","De 7 a 12 meses","Más de un año"),"")</f>
        <v>Más de un año</v>
      </c>
      <c r="L174" t="str">
        <f>IF(OR(I174="Trabajo actualmente como empleado",I174="Trabajo de manera independiente"),CHOOSE(MOD(COUNTIF($I$2:I174,I174)-1,3)+1,"Sí, completamente","Parcialmente","No"),"")</f>
        <v>Parcialmente</v>
      </c>
      <c r="M174" t="str">
        <f>IF(OR(I174="Trabajo actualmente como empleado",I174="Trabajo de manera independiente"),CHOOSE(MOD(INT((COUNTIF($I$2:I174,I174)-1)/3),4)+1,"1- Muy satisfecho/a","2- Satisfecho/a","3- Insatisfecho/a","4- Muy insatisfecho/a"),"")</f>
        <v>3- Insatisfecho/a</v>
      </c>
      <c r="N174" t="str">
        <f>IF(OR(I174="Trabajo actualmente como empleado",I174="Trabajo de manera independiente"),_xlfn.LET(_xlpm.opcion,MOD(INT((COUNTIF($I$2:I174,I174)-1)/5),6)+1,CHOOSE(IF(AND(_xlpm.opcion=6,L174="Sí,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74" s="9" t="str">
        <f>IF(OR(I174="Trabajo actualmente como empleado",I174="Trabajo de manera independiente"),_xlfn.LET(_xlpm.turno,MOD(COUNTIF($I$2:I174,I174)-1,5),_xlpm.nivel,VALUE(LEFT(M174,1)),IF(_xlpm.turno=4,"No estoy seguro/a",IF(_xlpm.turno&lt;IF(_xlpm.nivel&lt;=2,1,3),"Sí","No"))),"")</f>
        <v>Sí</v>
      </c>
      <c r="P174" s="9" t="str">
        <f>_xlfn.LET(_xlpm.perfil,I174,_xlpm.turno,COUNTIF($I$2:I174,_xlpm.perfil)-1,_xlpm.busca,OR(_xlpm.perfil="Actualmente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trabajar"),IF(AND(_xlpm.trabaja,O174="No"),"Todavía no he iniciado una búsqueda activa",CHOOSE(MOD(_xlpm.turno*3,5)+1,"Menos de 1 mes","Entre 1 y 3 meses","Entre 4 y 6 meses","Más de 6 meses","Todavía no he iniciado una búsqueda activa")),"")))</f>
        <v>Menos de 1 mes</v>
      </c>
      <c r="Q174" t="str">
        <f>IF(I174="Tengo un emprendimiento o quiero iniciar uno","",CHOOSE(MOD(INT((COUNTIF($I$2:I174,I174)-1)/7),3)+1,"Sí","No","Tengo una pero necesito actualizarla"))</f>
        <v>No</v>
      </c>
      <c r="R174" s="9" t="str">
        <f>IF(I174="Tengo un emprendimiento o quiero iniciar uno","",IF(I174="Busco mi primer empleo","No",IF(MOD(COUNTIF($I$2:I174,I174)-1,2)=0,"Sí","No")))</f>
        <v>No</v>
      </c>
      <c r="S174" t="str">
        <f>IF(I174="Tengo un emprendimiento o quiero iniciar uno","",CHOOSE(MOD(INT((COUNTIF($I$2:I174,I174)-1)/3),10)+1,"Portales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74" t="str">
        <f>IF(I174="Tengo un emprendimiento o quiero iniciar uno","",_xlfn.LET(_xlpm.opcion,MOD(INT((COUNTIF($I$2:I174,I174)-1)/4),6)+1,CHOOSE(IF(AND(_xlpm.opcion=3,Q174="Sí"),1,_xlpm.opcion),"Falta de experiencia","Falta de formación","Dificultades con la hoja de vida","Horarios disponibles","Transporte","Internet")))</f>
        <v>Falta de formación</v>
      </c>
      <c r="U174" s="9" t="str">
        <f>IF(I174="Tengo un emprendimiento o quiero iniciar uno","",IF(MOD(INT((COUNTIF($I$2:I174,I174)-1)/3),2)=0,"Sí","No"))</f>
        <v>Sí</v>
      </c>
      <c r="V174" s="9" t="str">
        <f>IF(I174="Tengo un emprendimiento o quiero iniciar uno",CHOOSE(MOD(COUNTIF($I$2:I174,I174)-1,3)+1,"Tengo un emprendimiento","Estoy iniciando un emprendimiento","Me interesa emprender"),"")</f>
        <v/>
      </c>
      <c r="W174" t="str">
        <f t="shared" si="41"/>
        <v/>
      </c>
      <c r="X174" s="9" t="str">
        <f>IF(I174="Tengo un emprendimiento o quiero iniciar uno",CHOOSE(MOD(COUNTIF($I$2:I174,I174)-1,5)+1,"Falta de financiación","Falta de conocimientos administrativos","Falta de conocimientos financieros","Falta de tiempo","Falta de herramientas"),"")</f>
        <v/>
      </c>
      <c r="Y174" s="9" t="str">
        <f t="shared" si="42"/>
        <v/>
      </c>
      <c r="Z174" t="str">
        <f>IF(I174="Tengo un emprendimiento o quiero iniciar uno",CHOOSE(INT(MOD((COUNTIF($I$2:I174,I174)-1)*7,39)/13)+1,"Sí","No","No conozco programas de ese tipo"),"")</f>
        <v/>
      </c>
      <c r="AA174" t="str">
        <f t="shared" si="43"/>
        <v>Puedo hacerlo con dificultad</v>
      </c>
      <c r="AB174" t="str">
        <f t="shared" si="43"/>
        <v>Puedo hacerlo con dificultad</v>
      </c>
      <c r="AC174" t="str">
        <f t="shared" si="44"/>
        <v>Puedo hacerlo con dificultad</v>
      </c>
      <c r="AD174" s="9" t="str">
        <f t="shared" si="45"/>
        <v>No puedo hacerlo</v>
      </c>
      <c r="AE174" t="str">
        <f t="shared" si="46"/>
        <v>Puedo hacerlo con dificultad</v>
      </c>
      <c r="AF174" s="9" t="str">
        <f t="shared" si="47"/>
        <v>Herramientas digitales</v>
      </c>
      <c r="AG174" s="9" t="str">
        <f t="shared" si="48"/>
        <v>Falta de experiencia</v>
      </c>
      <c r="AH174" t="str">
        <f t="shared" si="49"/>
        <v>Programas de emprendimiento</v>
      </c>
      <c r="AI174" s="9" t="str">
        <f t="shared" si="50"/>
        <v>Me es indiferente</v>
      </c>
      <c r="AJ174" s="9" t="str">
        <f t="shared" si="51"/>
        <v>Mañana entre semana</v>
      </c>
      <c r="AK174" s="9" t="str">
        <f t="shared" si="52"/>
        <v>WhatsApp</v>
      </c>
    </row>
    <row r="175" spans="1:37">
      <c r="A175" t="str">
        <f t="shared" si="53"/>
        <v>SG174</v>
      </c>
      <c r="B175" t="s">
        <v>418</v>
      </c>
      <c r="C175" s="9" t="s">
        <v>427</v>
      </c>
      <c r="D175" t="str">
        <f t="shared" si="36"/>
        <v>Femenino</v>
      </c>
      <c r="E175" t="str">
        <f t="shared" si="37"/>
        <v>De 24 a 26 años</v>
      </c>
      <c r="F175">
        <f t="shared" si="38"/>
        <v>24</v>
      </c>
      <c r="G175" s="9" t="s">
        <v>428</v>
      </c>
      <c r="H175" s="9" t="str">
        <f t="shared" si="39"/>
        <v>Bachiller</v>
      </c>
      <c r="I175" s="9" t="str">
        <f t="shared" si="40"/>
        <v>Actualmente no trabajo y estoy buscando empleo</v>
      </c>
      <c r="J175" s="13" t="str">
        <f>IF(I175="Trabajo actualmente como empleado",IF(MOD((COUNTIF($I$2:I175,"Trabajo actualmente como empleado")-1)*37,150)&lt;100,"Empleado con contrato","Empleado sin contrato formal"),IF(I175="Trabajo de manera independiente","Trabajo independiente",""))</f>
        <v/>
      </c>
      <c r="K175" s="9" t="str">
        <f>IF(OR(I175="Trabajo actualmente como empleado",I175="Trabajo de manera independiente"),CHOOSE(MOD(COUNTIF($I$2:I175,I175)-1,4)+1,"Menos de 3 meses","De 3 a 6 meses","De 7 a 12 meses","Más de un año"),"")</f>
        <v/>
      </c>
      <c r="L175" t="str">
        <f>IF(OR(I175="Trabajo actualmente como empleado",I175="Trabajo de manera independiente"),CHOOSE(MOD(COUNTIF($I$2:I175,I175)-1,3)+1,"Sí, completamente","Parcialmente","No"),"")</f>
        <v/>
      </c>
      <c r="M175" t="str">
        <f>IF(OR(I175="Trabajo actualmente como empleado",I175="Trabajo de manera independiente"),CHOOSE(MOD(INT((COUNTIF($I$2:I175,I175)-1)/3),4)+1,"1- Muy satisfecho/a","2- Satisfecho/a","3- Insatisfecho/a","4- Muy insatisfecho/a"),"")</f>
        <v/>
      </c>
      <c r="N175" t="str">
        <f>IF(OR(I175="Trabajo actualmente como empleado",I175="Trabajo de manera independiente"),_xlfn.LET(_xlpm.opcion,MOD(INT((COUNTIF($I$2:I175,I175)-1)/5),6)+1,CHOOSE(IF(AND(_xlpm.opcion=6,L175="Sí, completamente"),5,_xlpm.opcion),"Salario","Estabilidad laboral","Horario","Acceso a prestaciones","Oportunidades de crecimiento","Trabajar en un área relacionada con mi formación")),"")</f>
        <v/>
      </c>
      <c r="O175" s="9" t="str">
        <f>IF(OR(I175="Trabajo actualmente como empleado",I175="Trabajo de manera independiente"),_xlfn.LET(_xlpm.turno,MOD(COUNTIF($I$2:I175,I175)-1,5),_xlpm.nivel,VALUE(LEFT(M175,1)),IF(_xlpm.turno=4,"No estoy seguro/a",IF(_xlpm.turno&lt;IF(_xlpm.nivel&lt;=2,1,3),"Sí","No"))),"")</f>
        <v/>
      </c>
      <c r="P175" s="9" t="str">
        <f>_xlfn.LET(_xlpm.perfil,I175,_xlpm.turno,COUNTIF($I$2:I175,_xlpm.perfil)-1,_xlpm.busca,OR(_xlpm.perfil="Actualmente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trabajar"),IF(AND(_xlpm.trabaja,O175="No"),"Todavía no he iniciado una búsqueda activa",CHOOSE(MOD(_xlpm.turno*3,5)+1,"Menos de 1 mes","Entre 1 y 3 meses","Entre 4 y 6 meses","Más de 6 meses","Todavía no he iniciado una búsqueda activa")),"")))</f>
        <v>Más de 6 meses</v>
      </c>
      <c r="Q175" t="str">
        <f>IF(I175="Tengo un emprendimiento o quiero iniciar uno","",CHOOSE(MOD(INT((COUNTIF($I$2:I175,I175)-1)/7),3)+1,"Sí","No","Tengo una pero necesito actualizarla"))</f>
        <v>No</v>
      </c>
      <c r="R175" s="9" t="str">
        <f>IF(I175="Tengo un emprendimiento o quiero iniciar uno","",IF(I175="Busco mi primer empleo","No",IF(MOD(COUNTIF($I$2:I175,I175)-1,2)=0,"Sí","No")))</f>
        <v>No</v>
      </c>
      <c r="S175" t="str">
        <f>IF(I175="Tengo un emprendimiento o quiero iniciar uno","",CHOOSE(MOD(INT((COUNTIF($I$2:I175,I175)-1)/3),10)+1,"Portales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75" t="str">
        <f>IF(I175="Tengo un emprendimiento o quiero iniciar uno","",_xlfn.LET(_xlpm.opcion,MOD(INT((COUNTIF($I$2:I175,I175)-1)/4),6)+1,CHOOSE(IF(AND(_xlpm.opcion=3,Q175="Sí"),1,_xlpm.opcion),"Falta de experiencia","Falta de formación","Dificultades con la hoja de vida","Horarios disponibles","Transporte","Internet")))</f>
        <v>Falta de formación</v>
      </c>
      <c r="U175" s="9" t="str">
        <f>IF(I175="Tengo un emprendimiento o quiero iniciar uno","",IF(MOD(INT((COUNTIF($I$2:I175,I175)-1)/3),2)=0,"Sí","No"))</f>
        <v>No</v>
      </c>
      <c r="V175" s="9" t="str">
        <f>IF(I175="Tengo un emprendimiento o quiero iniciar uno",CHOOSE(MOD(COUNTIF($I$2:I175,I175)-1,3)+1,"Tengo un emprendimiento","Estoy iniciando un emprendimiento","Me interesa emprender"),"")</f>
        <v/>
      </c>
      <c r="W175" t="str">
        <f t="shared" si="41"/>
        <v/>
      </c>
      <c r="X175" s="9" t="str">
        <f>IF(I175="Tengo un emprendimiento o quiero iniciar uno",CHOOSE(MOD(COUNTIF($I$2:I175,I175)-1,5)+1,"Falta de financiación","Falta de conocimientos administrativos","Falta de conocimientos financieros","Falta de tiempo","Falta de herramientas"),"")</f>
        <v/>
      </c>
      <c r="Y175" s="9" t="str">
        <f t="shared" si="42"/>
        <v/>
      </c>
      <c r="Z175" t="str">
        <f>IF(I175="Tengo un emprendimiento o quiero iniciar uno",CHOOSE(INT(MOD((COUNTIF($I$2:I175,I175)-1)*7,39)/13)+1,"Sí","No","No conozco programas de ese tipo"),"")</f>
        <v/>
      </c>
      <c r="AA175" t="str">
        <f t="shared" si="43"/>
        <v>Puedo hacerlo sin ayuda</v>
      </c>
      <c r="AB175" t="str">
        <f t="shared" si="43"/>
        <v>Puedo hacerlo sin ayuda</v>
      </c>
      <c r="AC175" t="str">
        <f t="shared" si="44"/>
        <v>Puedo hacerlo sin ayuda</v>
      </c>
      <c r="AD175" s="9" t="str">
        <f t="shared" si="45"/>
        <v>Puedo hacerlo con ayuda</v>
      </c>
      <c r="AE175" t="str">
        <f t="shared" si="46"/>
        <v>Puedo hacerlo con dificultad</v>
      </c>
      <c r="AF175" s="9" t="str">
        <f t="shared" si="47"/>
        <v>Educación financiera</v>
      </c>
      <c r="AG175" s="9" t="str">
        <f t="shared" si="48"/>
        <v>Falta de experiencia</v>
      </c>
      <c r="AH175" t="str">
        <f t="shared" si="49"/>
        <v>No conozco ninguno</v>
      </c>
      <c r="AI175" s="9" t="str">
        <f t="shared" si="50"/>
        <v>Presencial</v>
      </c>
      <c r="AJ175" s="9" t="str">
        <f t="shared" si="51"/>
        <v>Diurno</v>
      </c>
      <c r="AK175" s="9" t="str">
        <f t="shared" si="52"/>
        <v>Redes sociales</v>
      </c>
    </row>
    <row r="176" spans="1:37">
      <c r="A176" t="str">
        <f t="shared" si="53"/>
        <v>SG175</v>
      </c>
      <c r="B176" t="s">
        <v>418</v>
      </c>
      <c r="C176" s="9" t="s">
        <v>427</v>
      </c>
      <c r="D176" t="str">
        <f t="shared" si="36"/>
        <v>Femenino</v>
      </c>
      <c r="E176" t="str">
        <f t="shared" si="37"/>
        <v>De 26 a 28 años</v>
      </c>
      <c r="F176">
        <f t="shared" si="38"/>
        <v>27</v>
      </c>
      <c r="G176" s="9" t="s">
        <v>428</v>
      </c>
      <c r="H176" s="9" t="str">
        <f t="shared" si="39"/>
        <v>Técnico</v>
      </c>
      <c r="I176" s="9" t="str">
        <f t="shared" si="40"/>
        <v>Estudio y quiero comenzar a trabajar</v>
      </c>
      <c r="J176" s="13" t="str">
        <f>IF(I176="Trabajo actualmente como empleado",IF(MOD((COUNTIF($I$2:I176,"Trabajo actualmente como empleado")-1)*37,150)&lt;100,"Empleado con contrato","Empleado sin contrato formal"),IF(I176="Trabajo de manera independiente","Trabajo independiente",""))</f>
        <v/>
      </c>
      <c r="K176" s="9" t="str">
        <f>IF(OR(I176="Trabajo actualmente como empleado",I176="Trabajo de manera independiente"),CHOOSE(MOD(COUNTIF($I$2:I176,I176)-1,4)+1,"Menos de 3 meses","De 3 a 6 meses","De 7 a 12 meses","Más de un año"),"")</f>
        <v/>
      </c>
      <c r="L176" t="str">
        <f>IF(OR(I176="Trabajo actualmente como empleado",I176="Trabajo de manera independiente"),CHOOSE(MOD(COUNTIF($I$2:I176,I176)-1,3)+1,"Sí, completamente","Parcialmente","No"),"")</f>
        <v/>
      </c>
      <c r="M176" t="str">
        <f>IF(OR(I176="Trabajo actualmente como empleado",I176="Trabajo de manera independiente"),CHOOSE(MOD(INT((COUNTIF($I$2:I176,I176)-1)/3),4)+1,"1- Muy satisfecho/a","2- Satisfecho/a","3- Insatisfecho/a","4- Muy insatisfecho/a"),"")</f>
        <v/>
      </c>
      <c r="N176" t="str">
        <f>IF(OR(I176="Trabajo actualmente como empleado",I176="Trabajo de manera independiente"),_xlfn.LET(_xlpm.opcion,MOD(INT((COUNTIF($I$2:I176,I176)-1)/5),6)+1,CHOOSE(IF(AND(_xlpm.opcion=6,L176="Sí, completamente"),5,_xlpm.opcion),"Salario","Estabilidad laboral","Horario","Acceso a prestaciones","Oportunidades de crecimiento","Trabajar en un área relacionada con mi formación")),"")</f>
        <v/>
      </c>
      <c r="O176" s="9" t="str">
        <f>IF(OR(I176="Trabajo actualmente como empleado",I176="Trabajo de manera independiente"),_xlfn.LET(_xlpm.turno,MOD(COUNTIF($I$2:I176,I176)-1,5),_xlpm.nivel,VALUE(LEFT(M176,1)),IF(_xlpm.turno=4,"No estoy seguro/a",IF(_xlpm.turno&lt;IF(_xlpm.nivel&lt;=2,1,3),"Sí","No"))),"")</f>
        <v/>
      </c>
      <c r="P176" s="9" t="str">
        <f>_xlfn.LET(_xlpm.perfil,I176,_xlpm.turno,COUNTIF($I$2:I176,_xlpm.perfil)-1,_xlpm.busca,OR(_xlpm.perfil="Actualmente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trabajar"),IF(AND(_xlpm.trabaja,O176="No"),"Todavía no he iniciado una búsqueda activa",CHOOSE(MOD(_xlpm.turno*3,5)+1,"Menos de 1 mes","Entre 1 y 3 meses","Entre 4 y 6 meses","Más de 6 meses","Todavía no he iniciado una búsqueda activa")),"")))</f>
        <v>Entre 4 y 6 meses</v>
      </c>
      <c r="Q176" t="str">
        <f>IF(I176="Tengo un emprendimiento o quiero iniciar uno","",CHOOSE(MOD(INT((COUNTIF($I$2:I176,I176)-1)/7),3)+1,"Sí","No","Tengo una pero necesito actualizarla"))</f>
        <v>Tengo una pero necesito actualizarla</v>
      </c>
      <c r="R176" s="9" t="str">
        <f>IF(I176="Tengo un emprendimiento o quiero iniciar uno","",IF(I176="Busco mi primer empleo","No",IF(MOD(COUNTIF($I$2:I176,I176)-1,2)=0,"Sí","No")))</f>
        <v>No</v>
      </c>
      <c r="S176" t="str">
        <f>IF(I176="Tengo un emprendimiento o quiero iniciar uno","",CHOOSE(MOD(INT((COUNTIF($I$2:I176,I176)-1)/3),10)+1,"Portales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76" t="str">
        <f>IF(I176="Tengo un emprendimiento o quiero iniciar uno","",_xlfn.LET(_xlpm.opcion,MOD(INT((COUNTIF($I$2:I176,I176)-1)/4),6)+1,CHOOSE(IF(AND(_xlpm.opcion=3,Q176="Sí"),1,_xlpm.opcion),"Falta de experiencia","Falta de formación","Dificultades con la hoja de vida","Horarios disponibles","Transporte","Internet")))</f>
        <v>Transporte</v>
      </c>
      <c r="U176" s="9" t="str">
        <f>IF(I176="Tengo un emprendimiento o quiero iniciar uno","",IF(MOD(INT((COUNTIF($I$2:I176,I176)-1)/3),2)=0,"Sí","No"))</f>
        <v>Sí</v>
      </c>
      <c r="V176" s="9" t="str">
        <f>IF(I176="Tengo un emprendimiento o quiero iniciar uno",CHOOSE(MOD(COUNTIF($I$2:I176,I176)-1,3)+1,"Tengo un emprendimiento","Estoy iniciando un emprendimiento","Me interesa emprender"),"")</f>
        <v/>
      </c>
      <c r="W176" t="str">
        <f t="shared" si="41"/>
        <v/>
      </c>
      <c r="X176" s="9" t="str">
        <f>IF(I176="Tengo un emprendimiento o quiero iniciar uno",CHOOSE(MOD(COUNTIF($I$2:I176,I176)-1,5)+1,"Falta de financiación","Falta de conocimientos administrativos","Falta de conocimientos financieros","Falta de tiempo","Falta de herramientas"),"")</f>
        <v/>
      </c>
      <c r="Y176" s="9" t="str">
        <f t="shared" si="42"/>
        <v/>
      </c>
      <c r="Z176" t="str">
        <f>IF(I176="Tengo un emprendimiento o quiero iniciar uno",CHOOSE(INT(MOD((COUNTIF($I$2:I176,I176)-1)*7,39)/13)+1,"Sí","No","No conozco programas de ese tipo"),"")</f>
        <v/>
      </c>
      <c r="AA176" t="str">
        <f t="shared" si="43"/>
        <v>Puedo hacerlo con ayuda</v>
      </c>
      <c r="AB176" t="str">
        <f t="shared" si="43"/>
        <v>Puedo hacerlo con ayuda</v>
      </c>
      <c r="AC176" t="str">
        <f t="shared" si="44"/>
        <v>No puedo hacerlo</v>
      </c>
      <c r="AD176" s="9" t="str">
        <f t="shared" si="45"/>
        <v>Puedo hacerlo con dificultad</v>
      </c>
      <c r="AE176" t="str">
        <f t="shared" si="46"/>
        <v>Puedo hacerlo sin ayuda</v>
      </c>
      <c r="AF176" s="9" t="str">
        <f t="shared" si="47"/>
        <v>Crear una hoja de vida;Preparación para entrevista</v>
      </c>
      <c r="AG176" s="9" t="str">
        <f t="shared" si="48"/>
        <v>Distancia</v>
      </c>
      <c r="AH176" t="str">
        <f t="shared" si="49"/>
        <v>Ferias de empleo</v>
      </c>
      <c r="AI176" s="9" t="str">
        <f t="shared" si="50"/>
        <v>Virtual</v>
      </c>
      <c r="AJ176" s="9" t="str">
        <f t="shared" si="51"/>
        <v>Nocturno</v>
      </c>
      <c r="AK176" s="9" t="str">
        <f t="shared" si="52"/>
        <v>Celular</v>
      </c>
    </row>
    <row r="177" spans="1:37">
      <c r="A177" t="str">
        <f t="shared" si="53"/>
        <v>SG176</v>
      </c>
      <c r="B177" t="s">
        <v>418</v>
      </c>
      <c r="C177" s="9" t="s">
        <v>427</v>
      </c>
      <c r="D177" t="str">
        <f t="shared" si="36"/>
        <v>Masculino</v>
      </c>
      <c r="E177" t="str">
        <f t="shared" si="37"/>
        <v>De 18 a 20 años</v>
      </c>
      <c r="F177">
        <f t="shared" si="38"/>
        <v>19</v>
      </c>
      <c r="G177" s="9" t="s">
        <v>428</v>
      </c>
      <c r="H177" s="9" t="str">
        <f t="shared" si="39"/>
        <v>Bachiller</v>
      </c>
      <c r="I177" s="9" t="str">
        <f t="shared" si="40"/>
        <v>Trabajo actualmente como empleado</v>
      </c>
      <c r="J177" s="13" t="str">
        <f>IF(I177="Trabajo actualmente como empleado",IF(MOD((COUNTIF($I$2:I177,"Trabajo actualmente como empleado")-1)*37,150)&lt;100,"Empleado con contrato","Empleado sin contrato formal"),IF(I177="Trabajo de manera independiente","Trabajo independiente",""))</f>
        <v>Empleado sin contrato formal</v>
      </c>
      <c r="K177" s="9" t="str">
        <f>IF(OR(I177="Trabajo actualmente como empleado",I177="Trabajo de manera independiente"),CHOOSE(MOD(COUNTIF($I$2:I177,I177)-1,4)+1,"Menos de 3 meses","De 3 a 6 meses","De 7 a 12 meses","Más de un año"),"")</f>
        <v>Menos de 3 meses</v>
      </c>
      <c r="L177" t="str">
        <f>IF(OR(I177="Trabajo actualmente como empleado",I177="Trabajo de manera independiente"),CHOOSE(MOD(COUNTIF($I$2:I177,I177)-1,3)+1,"Sí, completamente","Parcialmente","No"),"")</f>
        <v>No</v>
      </c>
      <c r="M177" t="str">
        <f>IF(OR(I177="Trabajo actualmente como empleado",I177="Trabajo de manera independiente"),CHOOSE(MOD(INT((COUNTIF($I$2:I177,I177)-1)/3),4)+1,"1- Muy satisfecho/a","2- Satisfecho/a","3- Insatisfecho/a","4- Muy insatisfecho/a"),"")</f>
        <v>3- Insatisfecho/a</v>
      </c>
      <c r="N177" t="str">
        <f>IF(OR(I177="Trabajo actualmente como empleado",I177="Trabajo de manera independiente"),_xlfn.LET(_xlpm.opcion,MOD(INT((COUNTIF($I$2:I177,I177)-1)/5),6)+1,CHOOSE(IF(AND(_xlpm.opcion=6,L177="Sí,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77" s="9" t="str">
        <f>IF(OR(I177="Trabajo actualmente como empleado",I177="Trabajo de manera independiente"),_xlfn.LET(_xlpm.turno,MOD(COUNTIF($I$2:I177,I177)-1,5),_xlpm.nivel,VALUE(LEFT(M177,1)),IF(_xlpm.turno=4,"No estoy seguro/a",IF(_xlpm.turno&lt;IF(_xlpm.nivel&lt;=2,1,3),"Sí","No"))),"")</f>
        <v>Sí</v>
      </c>
      <c r="P177" s="9" t="str">
        <f>_xlfn.LET(_xlpm.perfil,I177,_xlpm.turno,COUNTIF($I$2:I177,_xlpm.perfil)-1,_xlpm.busca,OR(_xlpm.perfil="Actualmente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trabajar"),IF(AND(_xlpm.trabaja,O177="No"),"Todavía no he iniciado una búsqueda activa",CHOOSE(MOD(_xlpm.turno*3,5)+1,"Menos de 1 mes","Entre 1 y 3 meses","Entre 4 y 6 meses","Más de 6 meses","Todavía no he iniciado una búsqueda activa")),"")))</f>
        <v>Más de 6 meses</v>
      </c>
      <c r="Q177" t="str">
        <f>IF(I177="Tengo un emprendimiento o quiero iniciar uno","",CHOOSE(MOD(INT((COUNTIF($I$2:I177,I177)-1)/7),3)+1,"Sí","No","Tengo una pero necesito actualizarla"))</f>
        <v>Tengo una pero necesito actualizarla</v>
      </c>
      <c r="R177" s="9" t="str">
        <f>IF(I177="Tengo un emprendimiento o quiero iniciar uno","",IF(I177="Busco mi primer empleo","No",IF(MOD(COUNTIF($I$2:I177,I177)-1,2)=0,"Sí","No")))</f>
        <v>Sí</v>
      </c>
      <c r="S177" t="str">
        <f>IF(I177="Tengo un emprendimiento o quiero iniciar uno","",CHOOSE(MOD(INT((COUNTIF($I$2:I177,I177)-1)/3),10)+1,"Portales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77" t="str">
        <f>IF(I177="Tengo un emprendimiento o quiero iniciar uno","",_xlfn.LET(_xlpm.opcion,MOD(INT((COUNTIF($I$2:I177,I177)-1)/4),6)+1,CHOOSE(IF(AND(_xlpm.opcion=3,Q177="Sí"),1,_xlpm.opcion),"Falta de experiencia","Falta de formación","Dificultades con la hoja de vida","Horarios disponibles","Transporte","Internet")))</f>
        <v>Dificultades con la hoja de vida</v>
      </c>
      <c r="U177" s="9" t="str">
        <f>IF(I177="Tengo un emprendimiento o quiero iniciar uno","",IF(MOD(INT((COUNTIF($I$2:I177,I177)-1)/3),2)=0,"Sí","No"))</f>
        <v>Sí</v>
      </c>
      <c r="V177" s="9" t="str">
        <f>IF(I177="Tengo un emprendimiento o quiero iniciar uno",CHOOSE(MOD(COUNTIF($I$2:I177,I177)-1,3)+1,"Tengo un emprendimiento","Estoy iniciando un emprendimiento","Me interesa emprender"),"")</f>
        <v/>
      </c>
      <c r="W177" t="str">
        <f t="shared" si="41"/>
        <v/>
      </c>
      <c r="X177" s="9" t="str">
        <f>IF(I177="Tengo un emprendimiento o quiero iniciar uno",CHOOSE(MOD(COUNTIF($I$2:I177,I177)-1,5)+1,"Falta de financiación","Falta de conocimientos administrativos","Falta de conocimientos financieros","Falta de tiempo","Falta de herramientas"),"")</f>
        <v/>
      </c>
      <c r="Y177" s="9" t="str">
        <f t="shared" si="42"/>
        <v/>
      </c>
      <c r="Z177" t="str">
        <f>IF(I177="Tengo un emprendimiento o quiero iniciar uno",CHOOSE(INT(MOD((COUNTIF($I$2:I177,I177)-1)*7,39)/13)+1,"Sí","No","No conozco programas de ese tipo"),"")</f>
        <v/>
      </c>
      <c r="AA177" t="str">
        <f t="shared" si="43"/>
        <v>Puedo hacerlo sin ayuda</v>
      </c>
      <c r="AB177" t="str">
        <f t="shared" si="43"/>
        <v>Puedo hacerlo sin ayuda</v>
      </c>
      <c r="AC177" t="str">
        <f t="shared" si="44"/>
        <v>Puedo hacerlo con dificultad</v>
      </c>
      <c r="AD177" s="9" t="str">
        <f t="shared" si="45"/>
        <v>Puedo hacerlo sin ayuda</v>
      </c>
      <c r="AE177" t="str">
        <f t="shared" si="46"/>
        <v>No puedo hacerlo</v>
      </c>
      <c r="AF177" s="9" t="str">
        <f t="shared" si="47"/>
        <v>Comunicación;Liderazgo</v>
      </c>
      <c r="AG177" s="9" t="str">
        <f t="shared" si="48"/>
        <v>Distancia</v>
      </c>
      <c r="AH177" t="str">
        <f t="shared" si="49"/>
        <v>No conozco ninguno</v>
      </c>
      <c r="AI177" s="9" t="str">
        <f t="shared" si="50"/>
        <v>Presencial y virtual</v>
      </c>
      <c r="AJ177" s="9" t="str">
        <f t="shared" si="51"/>
        <v>Fines de semana</v>
      </c>
      <c r="AK177" s="9" t="str">
        <f t="shared" si="52"/>
        <v>Correo electrónico</v>
      </c>
    </row>
    <row r="178" spans="1:37">
      <c r="A178" t="str">
        <f t="shared" si="53"/>
        <v>SG177</v>
      </c>
      <c r="B178" t="s">
        <v>418</v>
      </c>
      <c r="C178" s="9" t="s">
        <v>427</v>
      </c>
      <c r="D178" t="str">
        <f t="shared" si="36"/>
        <v>Masculino</v>
      </c>
      <c r="E178" t="str">
        <f t="shared" si="37"/>
        <v>De 20 a 22 años</v>
      </c>
      <c r="F178">
        <f t="shared" si="38"/>
        <v>21</v>
      </c>
      <c r="G178" s="9" t="s">
        <v>428</v>
      </c>
      <c r="H178" s="9" t="str">
        <f t="shared" si="39"/>
        <v>Técnico</v>
      </c>
      <c r="I178" s="9" t="str">
        <f t="shared" si="40"/>
        <v>Actualmente no trabajo y estoy buscando empleo</v>
      </c>
      <c r="J178" s="13" t="str">
        <f>IF(I178="Trabajo actualmente como empleado",IF(MOD((COUNTIF($I$2:I178,"Trabajo actualmente como empleado")-1)*37,150)&lt;100,"Empleado con contrato","Empleado sin contrato formal"),IF(I178="Trabajo de manera independiente","Trabajo independiente",""))</f>
        <v/>
      </c>
      <c r="K178" s="9" t="str">
        <f>IF(OR(I178="Trabajo actualmente como empleado",I178="Trabajo de manera independiente"),CHOOSE(MOD(COUNTIF($I$2:I178,I178)-1,4)+1,"Menos de 3 meses","De 3 a 6 meses","De 7 a 12 meses","Más de un año"),"")</f>
        <v/>
      </c>
      <c r="L178" t="str">
        <f>IF(OR(I178="Trabajo actualmente como empleado",I178="Trabajo de manera independiente"),CHOOSE(MOD(COUNTIF($I$2:I178,I178)-1,3)+1,"Sí, completamente","Parcialmente","No"),"")</f>
        <v/>
      </c>
      <c r="M178" t="str">
        <f>IF(OR(I178="Trabajo actualmente como empleado",I178="Trabajo de manera independiente"),CHOOSE(MOD(INT((COUNTIF($I$2:I178,I178)-1)/3),4)+1,"1- Muy satisfecho/a","2- Satisfecho/a","3- Insatisfecho/a","4- Muy insatisfecho/a"),"")</f>
        <v/>
      </c>
      <c r="N178" t="str">
        <f>IF(OR(I178="Trabajo actualmente como empleado",I178="Trabajo de manera independiente"),_xlfn.LET(_xlpm.opcion,MOD(INT((COUNTIF($I$2:I178,I178)-1)/5),6)+1,CHOOSE(IF(AND(_xlpm.opcion=6,L178="Sí, completamente"),5,_xlpm.opcion),"Salario","Estabilidad laboral","Horario","Acceso a prestaciones","Oportunidades de crecimiento","Trabajar en un área relacionada con mi formación")),"")</f>
        <v/>
      </c>
      <c r="O178" s="9" t="str">
        <f>IF(OR(I178="Trabajo actualmente como empleado",I178="Trabajo de manera independiente"),_xlfn.LET(_xlpm.turno,MOD(COUNTIF($I$2:I178,I178)-1,5),_xlpm.nivel,VALUE(LEFT(M178,1)),IF(_xlpm.turno=4,"No estoy seguro/a",IF(_xlpm.turno&lt;IF(_xlpm.nivel&lt;=2,1,3),"Sí","No"))),"")</f>
        <v/>
      </c>
      <c r="P178" s="9" t="str">
        <f>_xlfn.LET(_xlpm.perfil,I178,_xlpm.turno,COUNTIF($I$2:I178,_xlpm.perfil)-1,_xlpm.busca,OR(_xlpm.perfil="Actualmente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trabajar"),IF(AND(_xlpm.trabaja,O178="No"),"Todavía no he iniciado una búsqueda activa",CHOOSE(MOD(_xlpm.turno*3,5)+1,"Menos de 1 mes","Entre 1 y 3 meses","Entre 4 y 6 meses","Más de 6 meses","Todavía no he iniciado una búsqueda activa")),"")))</f>
        <v>Entre 4 y 6 meses</v>
      </c>
      <c r="Q178" t="str">
        <f>IF(I178="Tengo un emprendimiento o quiero iniciar uno","",CHOOSE(MOD(INT((COUNTIF($I$2:I178,I178)-1)/7),3)+1,"Sí","No","Tengo una pero necesito actualizarla"))</f>
        <v>No</v>
      </c>
      <c r="R178" s="9" t="str">
        <f>IF(I178="Tengo un emprendimiento o quiero iniciar uno","",IF(I178="Busco mi primer empleo","No",IF(MOD(COUNTIF($I$2:I178,I178)-1,2)=0,"Sí","No")))</f>
        <v>Sí</v>
      </c>
      <c r="S178" t="str">
        <f>IF(I178="Tengo un emprendimiento o quiero iniciar uno","",CHOOSE(MOD(INT((COUNTIF($I$2:I178,I178)-1)/3),10)+1,"Portales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78" t="str">
        <f>IF(I178="Tengo un emprendimiento o quiero iniciar uno","",_xlfn.LET(_xlpm.opcion,MOD(INT((COUNTIF($I$2:I178,I178)-1)/4),6)+1,CHOOSE(IF(AND(_xlpm.opcion=3,Q178="Sí"),1,_xlpm.opcion),"Falta de experiencia","Falta de formación","Dificultades con la hoja de vida","Horarios disponibles","Transporte","Internet")))</f>
        <v>Falta de formación</v>
      </c>
      <c r="U178" s="9" t="str">
        <f>IF(I178="Tengo un emprendimiento o quiero iniciar uno","",IF(MOD(INT((COUNTIF($I$2:I178,I178)-1)/3),2)=0,"Sí","No"))</f>
        <v>Sí</v>
      </c>
      <c r="V178" s="9" t="str">
        <f>IF(I178="Tengo un emprendimiento o quiero iniciar uno",CHOOSE(MOD(COUNTIF($I$2:I178,I178)-1,3)+1,"Tengo un emprendimiento","Estoy iniciando un emprendimiento","Me interesa emprender"),"")</f>
        <v/>
      </c>
      <c r="W178" t="str">
        <f t="shared" si="41"/>
        <v/>
      </c>
      <c r="X178" s="9" t="str">
        <f>IF(I178="Tengo un emprendimiento o quiero iniciar uno",CHOOSE(MOD(COUNTIF($I$2:I178,I178)-1,5)+1,"Falta de financiación","Falta de conocimientos administrativos","Falta de conocimientos financieros","Falta de tiempo","Falta de herramientas"),"")</f>
        <v/>
      </c>
      <c r="Y178" s="9" t="str">
        <f t="shared" si="42"/>
        <v/>
      </c>
      <c r="Z178" t="str">
        <f>IF(I178="Tengo un emprendimiento o quiero iniciar uno",CHOOSE(INT(MOD((COUNTIF($I$2:I178,I178)-1)*7,39)/13)+1,"Sí","No","No conozco programas de ese tipo"),"")</f>
        <v/>
      </c>
      <c r="AA178" t="str">
        <f t="shared" si="43"/>
        <v>No puedo hacerlo</v>
      </c>
      <c r="AB178" t="str">
        <f t="shared" si="43"/>
        <v>No puedo hacerlo</v>
      </c>
      <c r="AC178" t="str">
        <f t="shared" si="44"/>
        <v>Puedo hacerlo sin ayuda</v>
      </c>
      <c r="AD178" s="9" t="str">
        <f t="shared" si="45"/>
        <v>Puedo hacerlo sin ayuda</v>
      </c>
      <c r="AE178" t="str">
        <f t="shared" si="46"/>
        <v>No puedo hacerlo</v>
      </c>
      <c r="AF178" s="9" t="str">
        <f t="shared" si="47"/>
        <v>Herramientas digitales;Educación financiera</v>
      </c>
      <c r="AG178" s="9" t="str">
        <f t="shared" si="48"/>
        <v>Distancia</v>
      </c>
      <c r="AH178" t="str">
        <f t="shared" si="49"/>
        <v>Oficina de orientación laboral</v>
      </c>
      <c r="AI178" s="9" t="str">
        <f t="shared" si="50"/>
        <v>Me es indiferente</v>
      </c>
      <c r="AJ178" s="9" t="str">
        <f t="shared" si="51"/>
        <v>Diurno</v>
      </c>
      <c r="AK178" s="9" t="str">
        <f t="shared" si="52"/>
        <v>Redes sociales</v>
      </c>
    </row>
    <row r="179" spans="1:37">
      <c r="A179" t="str">
        <f t="shared" si="53"/>
        <v>SG178</v>
      </c>
      <c r="B179" t="s">
        <v>418</v>
      </c>
      <c r="C179" s="9" t="s">
        <v>427</v>
      </c>
      <c r="D179" t="str">
        <f t="shared" si="36"/>
        <v>Femenino</v>
      </c>
      <c r="E179" t="str">
        <f t="shared" si="37"/>
        <v>De 22 a 24 años</v>
      </c>
      <c r="F179">
        <f t="shared" si="38"/>
        <v>23</v>
      </c>
      <c r="G179" s="9" t="s">
        <v>428</v>
      </c>
      <c r="H179" s="9" t="str">
        <f t="shared" si="39"/>
        <v>Técnico</v>
      </c>
      <c r="I179" s="9" t="str">
        <f t="shared" si="40"/>
        <v>Tengo un emprendimiento o quiero iniciar uno</v>
      </c>
      <c r="J179" s="13" t="str">
        <f>IF(I179="Trabajo actualmente como empleado",IF(MOD((COUNTIF($I$2:I179,"Trabajo actualmente como empleado")-1)*37,150)&lt;100,"Empleado con contrato","Empleado sin contrato formal"),IF(I179="Trabajo de manera independiente","Trabajo independiente",""))</f>
        <v/>
      </c>
      <c r="K179" s="9" t="str">
        <f>IF(OR(I179="Trabajo actualmente como empleado",I179="Trabajo de manera independiente"),CHOOSE(MOD(COUNTIF($I$2:I179,I179)-1,4)+1,"Menos de 3 meses","De 3 a 6 meses","De 7 a 12 meses","Más de un año"),"")</f>
        <v/>
      </c>
      <c r="L179" t="str">
        <f>IF(OR(I179="Trabajo actualmente como empleado",I179="Trabajo de manera independiente"),CHOOSE(MOD(COUNTIF($I$2:I179,I179)-1,3)+1,"Sí, completamente","Parcialmente","No"),"")</f>
        <v/>
      </c>
      <c r="M179" t="str">
        <f>IF(OR(I179="Trabajo actualmente como empleado",I179="Trabajo de manera independiente"),CHOOSE(MOD(INT((COUNTIF($I$2:I179,I179)-1)/3),4)+1,"1- Muy satisfecho/a","2- Satisfecho/a","3- Insatisfecho/a","4- Muy insatisfecho/a"),"")</f>
        <v/>
      </c>
      <c r="N179" t="str">
        <f>IF(OR(I179="Trabajo actualmente como empleado",I179="Trabajo de manera independiente"),_xlfn.LET(_xlpm.opcion,MOD(INT((COUNTIF($I$2:I179,I179)-1)/5),6)+1,CHOOSE(IF(AND(_xlpm.opcion=6,L179="Sí, completamente"),5,_xlpm.opcion),"Salario","Estabilidad laboral","Horario","Acceso a prestaciones","Oportunidades de crecimiento","Trabajar en un área relacionada con mi formación")),"")</f>
        <v/>
      </c>
      <c r="O179" s="9" t="str">
        <f>IF(OR(I179="Trabajo actualmente como empleado",I179="Trabajo de manera independiente"),_xlfn.LET(_xlpm.turno,MOD(COUNTIF($I$2:I179,I179)-1,5),_xlpm.nivel,VALUE(LEFT(M179,1)),IF(_xlpm.turno=4,"No estoy seguro/a",IF(_xlpm.turno&lt;IF(_xlpm.nivel&lt;=2,1,3),"Sí","No"))),"")</f>
        <v/>
      </c>
      <c r="P179" s="9" t="str">
        <f>_xlfn.LET(_xlpm.perfil,I179,_xlpm.turno,COUNTIF($I$2:I179,_xlpm.perfil)-1,_xlpm.busca,OR(_xlpm.perfil="Actualmente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trabajar"),IF(AND(_xlpm.trabaja,O179="No"),"Todavía no he iniciado una búsqueda activa",CHOOSE(MOD(_xlpm.turno*3,5)+1,"Menos de 1 mes","Entre 1 y 3 meses","Entre 4 y 6 meses","Más de 6 meses","Todavía no he iniciado una búsqueda activa")),"")))</f>
        <v/>
      </c>
      <c r="Q179" t="str">
        <f>IF(I179="Tengo un emprendimiento o quiero iniciar uno","",CHOOSE(MOD(INT((COUNTIF($I$2:I179,I179)-1)/7),3)+1,"Sí","No","Tengo una pero necesito actualizarla"))</f>
        <v/>
      </c>
      <c r="R179" s="9" t="str">
        <f>IF(I179="Tengo un emprendimiento o quiero iniciar uno","",IF(I179="Busco mi primer empleo","No",IF(MOD(COUNTIF($I$2:I179,I179)-1,2)=0,"Sí","No")))</f>
        <v/>
      </c>
      <c r="S179" t="str">
        <f>IF(I179="Tengo un emprendimiento o quiero iniciar uno","",CHOOSE(MOD(INT((COUNTIF($I$2:I179,I179)-1)/3),10)+1,"Portales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79" t="str">
        <f>IF(I179="Tengo un emprendimiento o quiero iniciar uno","",_xlfn.LET(_xlpm.opcion,MOD(INT((COUNTIF($I$2:I179,I179)-1)/4),6)+1,CHOOSE(IF(AND(_xlpm.opcion=3,Q179="Sí"),1,_xlpm.opcion),"Falta de experiencia","Falta de formación","Dificultades con la hoja de vida","Horarios disponibles","Transporte","Internet")))</f>
        <v/>
      </c>
      <c r="U179" s="9" t="str">
        <f>IF(I179="Tengo un emprendimiento o quiero iniciar uno","",IF(MOD(INT((COUNTIF($I$2:I179,I179)-1)/3),2)=0,"Sí","No"))</f>
        <v/>
      </c>
      <c r="V179" s="9" t="str">
        <f>IF(I179="Tengo un emprendimiento o quiero iniciar uno",CHOOSE(MOD(COUNTIF($I$2:I179,I179)-1,3)+1,"Tengo un emprendimiento","Estoy iniciando un emprendimiento","Me interesa emprender"),"")</f>
        <v>Me interesa emprender</v>
      </c>
      <c r="W179" t="str">
        <f t="shared" si="41"/>
        <v/>
      </c>
      <c r="X179" s="9" t="str">
        <f>IF(I179="Tengo un emprendimiento o quiero iniciar uno",CHOOSE(MOD(COUNTIF($I$2:I179,I179)-1,5)+1,"Falta de financiación","Falta de conocimientos administrativos","Falta de conocimientos financieros","Falta de tiempo","Falta de herramientas"),"")</f>
        <v>Falta de herramientas</v>
      </c>
      <c r="Y179" s="9" t="str">
        <f t="shared" si="42"/>
        <v>Falta de herramientas</v>
      </c>
      <c r="Z179" t="str">
        <f>IF(I179="Tengo un emprendimiento o quiero iniciar uno",CHOOSE(INT(MOD((COUNTIF($I$2:I179,I179)-1)*7,39)/13)+1,"Sí","No","No conozco programas de ese tipo"),"")</f>
        <v>No</v>
      </c>
      <c r="AA179" t="str">
        <f t="shared" si="43"/>
        <v>Puedo hacerlo con dificultad</v>
      </c>
      <c r="AB179" t="str">
        <f t="shared" si="43"/>
        <v>Puedo hacerlo con dificultad</v>
      </c>
      <c r="AC179" t="str">
        <f t="shared" si="44"/>
        <v>No puedo hacerlo</v>
      </c>
      <c r="AD179" s="9" t="str">
        <f t="shared" si="45"/>
        <v>No puedo hacerlo</v>
      </c>
      <c r="AE179" t="str">
        <f t="shared" si="46"/>
        <v>Puedo hacerlo con ayuda</v>
      </c>
      <c r="AF179" s="9" t="str">
        <f t="shared" si="47"/>
        <v>Crear una hoja de vida</v>
      </c>
      <c r="AG179" s="9" t="str">
        <f t="shared" si="48"/>
        <v>Falta de experiencia;Falta de información</v>
      </c>
      <c r="AH179" t="str">
        <f t="shared" si="49"/>
        <v>Programas de emprendimiento</v>
      </c>
      <c r="AI179" s="9" t="str">
        <f t="shared" si="50"/>
        <v>Presencial</v>
      </c>
      <c r="AJ179" s="9" t="str">
        <f t="shared" si="51"/>
        <v>Nocturno</v>
      </c>
      <c r="AK179" s="9" t="str">
        <f t="shared" si="52"/>
        <v>WhatsApp</v>
      </c>
    </row>
    <row r="180" spans="1:37">
      <c r="A180" t="str">
        <f t="shared" si="53"/>
        <v>SG179</v>
      </c>
      <c r="B180" t="s">
        <v>418</v>
      </c>
      <c r="C180" s="9" t="s">
        <v>427</v>
      </c>
      <c r="D180" t="str">
        <f t="shared" si="36"/>
        <v>Femenino</v>
      </c>
      <c r="E180" t="str">
        <f t="shared" si="37"/>
        <v>De 24 a 26 años</v>
      </c>
      <c r="F180">
        <f t="shared" si="38"/>
        <v>25</v>
      </c>
      <c r="G180" s="9" t="s">
        <v>428</v>
      </c>
      <c r="H180" s="9" t="str">
        <f t="shared" si="39"/>
        <v>Tecnólogo</v>
      </c>
      <c r="I180" s="9" t="str">
        <f t="shared" si="40"/>
        <v>Trabajo actualmente como empleado</v>
      </c>
      <c r="J180" s="13" t="str">
        <f>IF(I180="Trabajo actualmente como empleado",IF(MOD((COUNTIF($I$2:I180,"Trabajo actualmente como empleado")-1)*37,150)&lt;100,"Empleado con contrato","Empleado sin contrato formal"),IF(I180="Trabajo de manera independiente","Trabajo independiente",""))</f>
        <v>Empleado con contrato</v>
      </c>
      <c r="K180" s="9" t="str">
        <f>IF(OR(I180="Trabajo actualmente como empleado",I180="Trabajo de manera independiente"),CHOOSE(MOD(COUNTIF($I$2:I180,I180)-1,4)+1,"Menos de 3 meses","De 3 a 6 meses","De 7 a 12 meses","Más de un año"),"")</f>
        <v>De 3 a 6 meses</v>
      </c>
      <c r="L180" t="str">
        <f>IF(OR(I180="Trabajo actualmente como empleado",I180="Trabajo de manera independiente"),CHOOSE(MOD(COUNTIF($I$2:I180,I180)-1,3)+1,"Sí, completamente","Parcialmente","No"),"")</f>
        <v>Sí, completamente</v>
      </c>
      <c r="M180" t="str">
        <f>IF(OR(I180="Trabajo actualmente como empleado",I180="Trabajo de manera independiente"),CHOOSE(MOD(INT((COUNTIF($I$2:I180,I180)-1)/3),4)+1,"1- Muy satisfecho/a","2- Satisfecho/a","3- Insatisfecho/a","4- Muy insatisfecho/a"),"")</f>
        <v>4- Muy insatisfecho/a</v>
      </c>
      <c r="N180" t="str">
        <f>IF(OR(I180="Trabajo actualmente como empleado",I180="Trabajo de manera independiente"),_xlfn.LET(_xlpm.opcion,MOD(INT((COUNTIF($I$2:I180,I180)-1)/5),6)+1,CHOOSE(IF(AND(_xlpm.opcion=6,L180="Sí, completamente"),5,_xlpm.opcion),"Salario","Estabilidad laboral","Horario","Acceso a prestaciones","Oportunidades de crecimiento","Trabajar en un área relacionada con mi formación")),"")</f>
        <v>Oportunidades de crecimiento</v>
      </c>
      <c r="O180" s="9" t="str">
        <f>IF(OR(I180="Trabajo actualmente como empleado",I180="Trabajo de manera independiente"),_xlfn.LET(_xlpm.turno,MOD(COUNTIF($I$2:I180,I180)-1,5),_xlpm.nivel,VALUE(LEFT(M180,1)),IF(_xlpm.turno=4,"No estoy seguro/a",IF(_xlpm.turno&lt;IF(_xlpm.nivel&lt;=2,1,3),"Sí","No"))),"")</f>
        <v>Sí</v>
      </c>
      <c r="P180" s="9" t="str">
        <f>_xlfn.LET(_xlpm.perfil,I180,_xlpm.turno,COUNTIF($I$2:I180,_xlpm.perfil)-1,_xlpm.busca,OR(_xlpm.perfil="Actualmente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trabajar"),IF(AND(_xlpm.trabaja,O180="No"),"Todavía no he iniciado una búsqueda activa",CHOOSE(MOD(_xlpm.turno*3,5)+1,"Menos de 1 mes","Entre 1 y 3 meses","Entre 4 y 6 meses","Más de 6 meses","Todavía no he iniciado una búsqueda activa")),"")))</f>
        <v>Entre 1 y 3 meses</v>
      </c>
      <c r="Q180" t="str">
        <f>IF(I180="Tengo un emprendimiento o quiero iniciar uno","",CHOOSE(MOD(INT((COUNTIF($I$2:I180,I180)-1)/7),3)+1,"Sí","No","Tengo una pero necesito actualizarla"))</f>
        <v>Tengo una pero necesito actualizarla</v>
      </c>
      <c r="R180" s="9" t="str">
        <f>IF(I180="Tengo un emprendimiento o quiero iniciar uno","",IF(I180="Busco mi primer empleo","No",IF(MOD(COUNTIF($I$2:I180,I180)-1,2)=0,"Sí","No")))</f>
        <v>No</v>
      </c>
      <c r="S180" t="str">
        <f>IF(I180="Tengo un emprendimiento o quiero iniciar uno","",CHOOSE(MOD(INT((COUNTIF($I$2:I180,I180)-1)/3),10)+1,"Portales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80" t="str">
        <f>IF(I180="Tengo un emprendimiento o quiero iniciar uno","",_xlfn.LET(_xlpm.opcion,MOD(INT((COUNTIF($I$2:I180,I180)-1)/4),6)+1,CHOOSE(IF(AND(_xlpm.opcion=3,Q180="Sí"),1,_xlpm.opcion),"Falta de experiencia","Falta de formación","Dificultades con la hoja de vida","Horarios disponibles","Transporte","Internet")))</f>
        <v>Dificultades con la hoja de vida</v>
      </c>
      <c r="U180" s="9" t="str">
        <f>IF(I180="Tengo un emprendimiento o quiero iniciar uno","",IF(MOD(INT((COUNTIF($I$2:I180,I180)-1)/3),2)=0,"Sí","No"))</f>
        <v>No</v>
      </c>
      <c r="V180" s="9" t="str">
        <f>IF(I180="Tengo un emprendimiento o quiero iniciar uno",CHOOSE(MOD(COUNTIF($I$2:I180,I180)-1,3)+1,"Tengo un emprendimiento","Estoy iniciando un emprendimiento","Me interesa emprender"),"")</f>
        <v/>
      </c>
      <c r="W180" t="str">
        <f t="shared" si="41"/>
        <v/>
      </c>
      <c r="X180" s="9" t="str">
        <f>IF(I180="Tengo un emprendimiento o quiero iniciar uno",CHOOSE(MOD(COUNTIF($I$2:I180,I180)-1,5)+1,"Falta de financiación","Falta de conocimientos administrativos","Falta de conocimientos financieros","Falta de tiempo","Falta de herramientas"),"")</f>
        <v/>
      </c>
      <c r="Y180" s="9" t="str">
        <f t="shared" si="42"/>
        <v/>
      </c>
      <c r="Z180" t="str">
        <f>IF(I180="Tengo un emprendimiento o quiero iniciar uno",CHOOSE(INT(MOD((COUNTIF($I$2:I180,I180)-1)*7,39)/13)+1,"Sí","No","No conozco programas de ese tipo"),"")</f>
        <v/>
      </c>
      <c r="AA180" t="str">
        <f t="shared" si="43"/>
        <v>Puedo hacerlo sin ayuda</v>
      </c>
      <c r="AB180" t="str">
        <f t="shared" si="43"/>
        <v>Puedo hacerlo sin ayuda</v>
      </c>
      <c r="AC180" t="str">
        <f t="shared" si="44"/>
        <v>Puedo hacerlo con dificultad</v>
      </c>
      <c r="AD180" s="9" t="str">
        <f t="shared" si="45"/>
        <v>Puedo hacerlo con ayuda</v>
      </c>
      <c r="AE180" t="str">
        <f t="shared" si="46"/>
        <v>Puedo hacerlo con dificultad</v>
      </c>
      <c r="AF180" s="9" t="str">
        <f t="shared" si="47"/>
        <v>Preparación para entrevista</v>
      </c>
      <c r="AG180" s="9" t="str">
        <f t="shared" si="48"/>
        <v>Falta de experiencia;Falta de información</v>
      </c>
      <c r="AH180" t="str">
        <f t="shared" si="49"/>
        <v>Oficina de orientación laboral</v>
      </c>
      <c r="AI180" s="9" t="str">
        <f t="shared" si="50"/>
        <v>Virtual</v>
      </c>
      <c r="AJ180" s="9" t="str">
        <f t="shared" si="51"/>
        <v>Fines de semana</v>
      </c>
      <c r="AK180" s="9" t="str">
        <f t="shared" si="52"/>
        <v>Correo electrónico</v>
      </c>
    </row>
    <row r="181" spans="1:37">
      <c r="A181" t="str">
        <f t="shared" si="53"/>
        <v>SG180</v>
      </c>
      <c r="B181" t="s">
        <v>418</v>
      </c>
      <c r="C181" s="9" t="s">
        <v>427</v>
      </c>
      <c r="D181" t="str">
        <f t="shared" si="36"/>
        <v>Masculino</v>
      </c>
      <c r="E181" t="str">
        <f t="shared" si="37"/>
        <v>De 26 a 28 años</v>
      </c>
      <c r="F181">
        <f t="shared" si="38"/>
        <v>28</v>
      </c>
      <c r="G181" s="9" t="s">
        <v>428</v>
      </c>
      <c r="H181" s="9" t="str">
        <f t="shared" si="39"/>
        <v>Profesional</v>
      </c>
      <c r="I181" s="9" t="str">
        <f t="shared" si="40"/>
        <v>Actualmente no trabajo y estoy buscando empleo</v>
      </c>
      <c r="J181" s="13" t="str">
        <f>IF(I181="Trabajo actualmente como empleado",IF(MOD((COUNTIF($I$2:I181,"Trabajo actualmente como empleado")-1)*37,150)&lt;100,"Empleado con contrato","Empleado sin contrato formal"),IF(I181="Trabajo de manera independiente","Trabajo independiente",""))</f>
        <v/>
      </c>
      <c r="K181" s="9" t="str">
        <f>IF(OR(I181="Trabajo actualmente como empleado",I181="Trabajo de manera independiente"),CHOOSE(MOD(COUNTIF($I$2:I181,I181)-1,4)+1,"Menos de 3 meses","De 3 a 6 meses","De 7 a 12 meses","Más de un año"),"")</f>
        <v/>
      </c>
      <c r="L181" t="str">
        <f>IF(OR(I181="Trabajo actualmente como empleado",I181="Trabajo de manera independiente"),CHOOSE(MOD(COUNTIF($I$2:I181,I181)-1,3)+1,"Sí, completamente","Parcialmente","No"),"")</f>
        <v/>
      </c>
      <c r="M181" t="str">
        <f>IF(OR(I181="Trabajo actualmente como empleado",I181="Trabajo de manera independiente"),CHOOSE(MOD(INT((COUNTIF($I$2:I181,I181)-1)/3),4)+1,"1- Muy satisfecho/a","2- Satisfecho/a","3- Insatisfecho/a","4- Muy insatisfecho/a"),"")</f>
        <v/>
      </c>
      <c r="N181" t="str">
        <f>IF(OR(I181="Trabajo actualmente como empleado",I181="Trabajo de manera independiente"),_xlfn.LET(_xlpm.opcion,MOD(INT((COUNTIF($I$2:I181,I181)-1)/5),6)+1,CHOOSE(IF(AND(_xlpm.opcion=6,L181="Sí, completamente"),5,_xlpm.opcion),"Salario","Estabilidad laboral","Horario","Acceso a prestaciones","Oportunidades de crecimiento","Trabajar en un área relacionada con mi formación")),"")</f>
        <v/>
      </c>
      <c r="O181" s="9" t="str">
        <f>IF(OR(I181="Trabajo actualmente como empleado",I181="Trabajo de manera independiente"),_xlfn.LET(_xlpm.turno,MOD(COUNTIF($I$2:I181,I181)-1,5),_xlpm.nivel,VALUE(LEFT(M181,1)),IF(_xlpm.turno=4,"No estoy seguro/a",IF(_xlpm.turno&lt;IF(_xlpm.nivel&lt;=2,1,3),"Sí","No"))),"")</f>
        <v/>
      </c>
      <c r="P181" s="9" t="str">
        <f>_xlfn.LET(_xlpm.perfil,I181,_xlpm.turno,COUNTIF($I$2:I181,_xlpm.perfil)-1,_xlpm.busca,OR(_xlpm.perfil="Actualmente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trabajar"),IF(AND(_xlpm.trabaja,O181="No"),"Todavía no he iniciado una búsqueda activa",CHOOSE(MOD(_xlpm.turno*3,5)+1,"Menos de 1 mes","Entre 1 y 3 meses","Entre 4 y 6 meses","Más de 6 meses","Todavía no he iniciado una búsqueda activa")),"")))</f>
        <v>Entre 1 y 3 meses</v>
      </c>
      <c r="Q181" t="str">
        <f>IF(I181="Tengo un emprendimiento o quiero iniciar uno","",CHOOSE(MOD(INT((COUNTIF($I$2:I181,I181)-1)/7),3)+1,"Sí","No","Tengo una pero necesito actualizarla"))</f>
        <v>No</v>
      </c>
      <c r="R181" s="9" t="str">
        <f>IF(I181="Tengo un emprendimiento o quiero iniciar uno","",IF(I181="Busco mi primer empleo","No",IF(MOD(COUNTIF($I$2:I181,I181)-1,2)=0,"Sí","No")))</f>
        <v>No</v>
      </c>
      <c r="S181" t="str">
        <f>IF(I181="Tengo un emprendimiento o quiero iniciar uno","",CHOOSE(MOD(INT((COUNTIF($I$2:I181,I181)-1)/3),10)+1,"Portales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81" t="str">
        <f>IF(I181="Tengo un emprendimiento o quiero iniciar uno","",_xlfn.LET(_xlpm.opcion,MOD(INT((COUNTIF($I$2:I181,I181)-1)/4),6)+1,CHOOSE(IF(AND(_xlpm.opcion=3,Q181="Sí"),1,_xlpm.opcion),"Falta de experiencia","Falta de formación","Dificultades con la hoja de vida","Horarios disponibles","Transporte","Internet")))</f>
        <v>Falta de formación</v>
      </c>
      <c r="U181" s="9" t="str">
        <f>IF(I181="Tengo un emprendimiento o quiero iniciar uno","",IF(MOD(INT((COUNTIF($I$2:I181,I181)-1)/3),2)=0,"Sí","No"))</f>
        <v>Sí</v>
      </c>
      <c r="V181" s="9" t="str">
        <f>IF(I181="Tengo un emprendimiento o quiero iniciar uno",CHOOSE(MOD(COUNTIF($I$2:I181,I181)-1,3)+1,"Tengo un emprendimiento","Estoy iniciando un emprendimiento","Me interesa emprender"),"")</f>
        <v/>
      </c>
      <c r="W181" t="str">
        <f t="shared" si="41"/>
        <v/>
      </c>
      <c r="X181" s="9" t="str">
        <f>IF(I181="Tengo un emprendimiento o quiero iniciar uno",CHOOSE(MOD(COUNTIF($I$2:I181,I181)-1,5)+1,"Falta de financiación","Falta de conocimientos administrativos","Falta de conocimientos financieros","Falta de tiempo","Falta de herramientas"),"")</f>
        <v/>
      </c>
      <c r="Y181" s="9" t="str">
        <f t="shared" si="42"/>
        <v/>
      </c>
      <c r="Z181" t="str">
        <f>IF(I181="Tengo un emprendimiento o quiero iniciar uno",CHOOSE(INT(MOD((COUNTIF($I$2:I181,I181)-1)*7,39)/13)+1,"Sí","No","No conozco programas de ese tipo"),"")</f>
        <v/>
      </c>
      <c r="AA181" t="str">
        <f t="shared" si="43"/>
        <v>Puedo hacerlo con ayuda</v>
      </c>
      <c r="AB181" t="str">
        <f t="shared" si="43"/>
        <v>Puedo hacerlo con ayuda</v>
      </c>
      <c r="AC181" t="str">
        <f t="shared" si="44"/>
        <v>Puedo hacerlo sin ayuda</v>
      </c>
      <c r="AD181" s="9" t="str">
        <f t="shared" si="45"/>
        <v>Puedo hacerlo con dificultad</v>
      </c>
      <c r="AE181" t="str">
        <f t="shared" si="46"/>
        <v>Puedo hacerlo con dificultad</v>
      </c>
      <c r="AF181" s="9" t="str">
        <f t="shared" si="47"/>
        <v>Comunicación</v>
      </c>
      <c r="AG181" s="9" t="str">
        <f t="shared" si="48"/>
        <v>Falta de experiencia;Falta de información</v>
      </c>
      <c r="AH181" t="str">
        <f t="shared" si="49"/>
        <v>Ferias de empleo</v>
      </c>
      <c r="AI181" s="9" t="str">
        <f t="shared" si="50"/>
        <v>Presencial y virtual</v>
      </c>
      <c r="AJ181" s="9" t="str">
        <f t="shared" si="51"/>
        <v>Diurno</v>
      </c>
      <c r="AK181" s="9" t="str">
        <f t="shared" si="52"/>
        <v>Celular</v>
      </c>
    </row>
    <row r="182" spans="1:37">
      <c r="A182" t="str">
        <f t="shared" si="53"/>
        <v>SG181</v>
      </c>
      <c r="B182" t="s">
        <v>418</v>
      </c>
      <c r="C182" s="9" t="s">
        <v>427</v>
      </c>
      <c r="D182" t="str">
        <f t="shared" si="36"/>
        <v>Femenino</v>
      </c>
      <c r="E182" t="str">
        <f t="shared" si="37"/>
        <v>De 18 a 20 años</v>
      </c>
      <c r="F182">
        <f t="shared" si="38"/>
        <v>18</v>
      </c>
      <c r="G182" s="9" t="s">
        <v>428</v>
      </c>
      <c r="H182" s="9" t="str">
        <f t="shared" si="39"/>
        <v>Tecnólogo</v>
      </c>
      <c r="I182" s="9" t="str">
        <f t="shared" si="40"/>
        <v>Trabajo actualmente como empleado</v>
      </c>
      <c r="J182" s="13" t="str">
        <f>IF(I182="Trabajo actualmente como empleado",IF(MOD((COUNTIF($I$2:I182,"Trabajo actualmente como empleado")-1)*37,150)&lt;100,"Empleado con contrato","Empleado sin contrato formal"),IF(I182="Trabajo de manera independiente","Trabajo independiente",""))</f>
        <v>Empleado con contrato</v>
      </c>
      <c r="K182" s="9" t="str">
        <f>IF(OR(I182="Trabajo actualmente como empleado",I182="Trabajo de manera independiente"),CHOOSE(MOD(COUNTIF($I$2:I182,I182)-1,4)+1,"Menos de 3 meses","De 3 a 6 meses","De 7 a 12 meses","Más de un año"),"")</f>
        <v>De 7 a 12 meses</v>
      </c>
      <c r="L182" t="str">
        <f>IF(OR(I182="Trabajo actualmente como empleado",I182="Trabajo de manera independiente"),CHOOSE(MOD(COUNTIF($I$2:I182,I182)-1,3)+1,"Sí, completamente","Parcialmente","No"),"")</f>
        <v>Parcialmente</v>
      </c>
      <c r="M182" t="str">
        <f>IF(OR(I182="Trabajo actualmente como empleado",I182="Trabajo de manera independiente"),CHOOSE(MOD(INT((COUNTIF($I$2:I182,I182)-1)/3),4)+1,"1- Muy satisfecho/a","2- Satisfecho/a","3- Insatisfecho/a","4- Muy insatisfecho/a"),"")</f>
        <v>4- Muy insatisfecho/a</v>
      </c>
      <c r="N182" t="str">
        <f>IF(OR(I182="Trabajo actualmente como empleado",I182="Trabajo de manera independiente"),_xlfn.LET(_xlpm.opcion,MOD(INT((COUNTIF($I$2:I182,I182)-1)/5),6)+1,CHOOSE(IF(AND(_xlpm.opcion=6,L182="Sí,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82" s="9" t="str">
        <f>IF(OR(I182="Trabajo actualmente como empleado",I182="Trabajo de manera independiente"),_xlfn.LET(_xlpm.turno,MOD(COUNTIF($I$2:I182,I182)-1,5),_xlpm.nivel,VALUE(LEFT(M182,1)),IF(_xlpm.turno=4,"No estoy seguro/a",IF(_xlpm.turno&lt;IF(_xlpm.nivel&lt;=2,1,3),"Sí","No"))),"")</f>
        <v>No</v>
      </c>
      <c r="P182" s="9" t="str">
        <f>_xlfn.LET(_xlpm.perfil,I182,_xlpm.turno,COUNTIF($I$2:I182,_xlpm.perfil)-1,_xlpm.busca,OR(_xlpm.perfil="Actualmente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82" t="str">
        <f>IF(I182="Tengo un emprendimiento o quiero iniciar uno","",CHOOSE(MOD(INT((COUNTIF($I$2:I182,I182)-1)/7),3)+1,"Sí","No","Tengo una pero necesito actualizarla"))</f>
        <v>Tengo una pero necesito actualizarla</v>
      </c>
      <c r="R182" s="9" t="str">
        <f>IF(I182="Tengo un emprendimiento o quiero iniciar uno","",IF(I182="Busco mi primer empleo","No",IF(MOD(COUNTIF($I$2:I182,I182)-1,2)=0,"Sí","No")))</f>
        <v>Sí</v>
      </c>
      <c r="S182" t="str">
        <f>IF(I182="Tengo un emprendimiento o quiero iniciar uno","",CHOOSE(MOD(INT((COUNTIF($I$2:I182,I182)-1)/3),10)+1,"Portales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82" t="str">
        <f>IF(I182="Tengo un emprendimiento o quiero iniciar uno","",_xlfn.LET(_xlpm.opcion,MOD(INT((COUNTIF($I$2:I182,I182)-1)/4),6)+1,CHOOSE(IF(AND(_xlpm.opcion=3,Q182="Sí"),1,_xlpm.opcion),"Falta de experiencia","Falta de formación","Dificultades con la hoja de vida","Horarios disponibles","Transporte","Internet")))</f>
        <v>Dificultades con la hoja de vida</v>
      </c>
      <c r="U182" s="9" t="str">
        <f>IF(I182="Tengo un emprendimiento o quiero iniciar uno","",IF(MOD(INT((COUNTIF($I$2:I182,I182)-1)/3),2)=0,"Sí","No"))</f>
        <v>No</v>
      </c>
      <c r="V182" s="9" t="str">
        <f>IF(I182="Tengo un emprendimiento o quiero iniciar uno",CHOOSE(MOD(COUNTIF($I$2:I182,I182)-1,3)+1,"Tengo un emprendimiento","Estoy iniciando un emprendimiento","Me interesa emprender"),"")</f>
        <v/>
      </c>
      <c r="W182" t="str">
        <f t="shared" si="41"/>
        <v/>
      </c>
      <c r="X182" s="9" t="str">
        <f>IF(I182="Tengo un emprendimiento o quiero iniciar uno",CHOOSE(MOD(COUNTIF($I$2:I182,I182)-1,5)+1,"Falta de financiación","Falta de conocimientos administrativos","Falta de conocimientos financieros","Falta de tiempo","Falta de herramientas"),"")</f>
        <v/>
      </c>
      <c r="Y182" s="9" t="str">
        <f t="shared" si="42"/>
        <v/>
      </c>
      <c r="Z182" t="str">
        <f>IF(I182="Tengo un emprendimiento o quiero iniciar uno",CHOOSE(INT(MOD((COUNTIF($I$2:I182,I182)-1)*7,39)/13)+1,"Sí","No","No conozco programas de ese tipo"),"")</f>
        <v/>
      </c>
      <c r="AA182" t="str">
        <f t="shared" si="43"/>
        <v>Puedo hacerlo sin ayuda</v>
      </c>
      <c r="AB182" t="str">
        <f t="shared" si="43"/>
        <v>Puedo hacerlo sin ayuda</v>
      </c>
      <c r="AC182" t="str">
        <f t="shared" si="44"/>
        <v>No puedo hacerlo</v>
      </c>
      <c r="AD182" s="9" t="str">
        <f t="shared" si="45"/>
        <v>Puedo hacerlo con dificultad</v>
      </c>
      <c r="AE182" t="str">
        <f t="shared" si="46"/>
        <v>Puedo hacerlo sin ayuda</v>
      </c>
      <c r="AF182" s="9" t="str">
        <f t="shared" si="47"/>
        <v>Liderazgo</v>
      </c>
      <c r="AG182" s="9" t="str">
        <f t="shared" si="48"/>
        <v>Costos de transporte;Distancia</v>
      </c>
      <c r="AH182" t="str">
        <f t="shared" si="49"/>
        <v>No conozco ninguno</v>
      </c>
      <c r="AI182" s="9" t="str">
        <f t="shared" si="50"/>
        <v>Me es indiferente</v>
      </c>
      <c r="AJ182" s="9" t="str">
        <f t="shared" si="51"/>
        <v>Nocturno</v>
      </c>
      <c r="AK182" s="9" t="str">
        <f t="shared" si="52"/>
        <v>WhatsApp</v>
      </c>
    </row>
    <row r="183" spans="1:37">
      <c r="A183" t="str">
        <f t="shared" si="53"/>
        <v>SG182</v>
      </c>
      <c r="B183" t="s">
        <v>418</v>
      </c>
      <c r="C183" s="9" t="s">
        <v>427</v>
      </c>
      <c r="D183" t="str">
        <f t="shared" si="36"/>
        <v>Femenino</v>
      </c>
      <c r="E183" t="str">
        <f t="shared" si="37"/>
        <v>De 20 a 22 años</v>
      </c>
      <c r="F183">
        <f t="shared" si="38"/>
        <v>20</v>
      </c>
      <c r="G183" s="9" t="s">
        <v>428</v>
      </c>
      <c r="H183" s="9" t="str">
        <f t="shared" si="39"/>
        <v>Tecnólogo</v>
      </c>
      <c r="I183" s="9" t="str">
        <f t="shared" si="40"/>
        <v>Trabajo de manera independiente</v>
      </c>
      <c r="J183" s="13" t="str">
        <f>IF(I183="Trabajo actualmente como empleado",IF(MOD((COUNTIF($I$2:I183,"Trabajo actualmente como empleado")-1)*37,150)&lt;100,"Empleado con contrato","Empleado sin contrato formal"),IF(I183="Trabajo de manera independiente","Trabajo independiente",""))</f>
        <v>Trabajo independiente</v>
      </c>
      <c r="K183" s="9" t="str">
        <f>IF(OR(I183="Trabajo actualmente como empleado",I183="Trabajo de manera independiente"),CHOOSE(MOD(COUNTIF($I$2:I183,I183)-1,4)+1,"Menos de 3 meses","De 3 a 6 meses","De 7 a 12 meses","Más de un año"),"")</f>
        <v>De 7 a 12 meses</v>
      </c>
      <c r="L183" t="str">
        <f>IF(OR(I183="Trabajo actualmente como empleado",I183="Trabajo de manera independiente"),CHOOSE(MOD(COUNTIF($I$2:I183,I183)-1,3)+1,"Sí, completamente","Parcialmente","No"),"")</f>
        <v>Sí, completamente</v>
      </c>
      <c r="M183" t="str">
        <f>IF(OR(I183="Trabajo actualmente como empleado",I183="Trabajo de manera independiente"),CHOOSE(MOD(INT((COUNTIF($I$2:I183,I183)-1)/3),4)+1,"1- Muy satisfecho/a","2- Satisfecho/a","3- Insatisfecho/a","4- Muy insatisfecho/a"),"")</f>
        <v>3- Insatisfecho/a</v>
      </c>
      <c r="N183" t="str">
        <f>IF(OR(I183="Trabajo actualmente como empleado",I183="Trabajo de manera independiente"),_xlfn.LET(_xlpm.opcion,MOD(INT((COUNTIF($I$2:I183,I183)-1)/5),6)+1,CHOOSE(IF(AND(_xlpm.opcion=6,L183="Sí, completamente"),5,_xlpm.opcion),"Salario","Estabilidad laboral","Horario","Acceso a prestaciones","Oportunidades de crecimiento","Trabajar en un área relacionada con mi formación")),"")</f>
        <v>Salario</v>
      </c>
      <c r="O183" s="9" t="str">
        <f>IF(OR(I183="Trabajo actualmente como empleado",I183="Trabajo de manera independiente"),_xlfn.LET(_xlpm.turno,MOD(COUNTIF($I$2:I183,I183)-1,5),_xlpm.nivel,VALUE(LEFT(M183,1)),IF(_xlpm.turno=4,"No estoy seguro/a",IF(_xlpm.turno&lt;IF(_xlpm.nivel&lt;=2,1,3),"Sí","No"))),"")</f>
        <v>Sí</v>
      </c>
      <c r="P183" s="9" t="str">
        <f>_xlfn.LET(_xlpm.perfil,I183,_xlpm.turno,COUNTIF($I$2:I183,_xlpm.perfil)-1,_xlpm.busca,OR(_xlpm.perfil="Actualmente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trabajar"),IF(AND(_xlpm.trabaja,O183="No"),"Todavía no he iniciado una búsqueda activa",CHOOSE(MOD(_xlpm.turno*3,5)+1,"Menos de 1 mes","Entre 1 y 3 meses","Entre 4 y 6 meses","Más de 6 meses","Todavía no he iniciado una búsqueda activa")),"")))</f>
        <v>Menos de 1 mes</v>
      </c>
      <c r="Q183" t="str">
        <f>IF(I183="Tengo un emprendimiento o quiero iniciar uno","",CHOOSE(MOD(INT((COUNTIF($I$2:I183,I183)-1)/7),3)+1,"Sí","No","Tengo una pero necesito actualizarla"))</f>
        <v>No</v>
      </c>
      <c r="R183" s="9" t="str">
        <f>IF(I183="Tengo un emprendimiento o quiero iniciar uno","",IF(I183="Busco mi primer empleo","No",IF(MOD(COUNTIF($I$2:I183,I183)-1,2)=0,"Sí","No")))</f>
        <v>Sí</v>
      </c>
      <c r="S183" t="str">
        <f>IF(I183="Tengo un emprendimiento o quiero iniciar uno","",CHOOSE(MOD(INT((COUNTIF($I$2:I183,I183)-1)/3),10)+1,"Portales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83" t="str">
        <f>IF(I183="Tengo un emprendimiento o quiero iniciar uno","",_xlfn.LET(_xlpm.opcion,MOD(INT((COUNTIF($I$2:I183,I183)-1)/4),6)+1,CHOOSE(IF(AND(_xlpm.opcion=3,Q183="Sí"),1,_xlpm.opcion),"Falta de experiencia","Falta de formación","Dificultades con la hoja de vida","Horarios disponibles","Transporte","Internet")))</f>
        <v>Falta de formación</v>
      </c>
      <c r="U183" s="9" t="str">
        <f>IF(I183="Tengo un emprendimiento o quiero iniciar uno","",IF(MOD(INT((COUNTIF($I$2:I183,I183)-1)/3),2)=0,"Sí","No"))</f>
        <v>Sí</v>
      </c>
      <c r="V183" s="9" t="str">
        <f>IF(I183="Tengo un emprendimiento o quiero iniciar uno",CHOOSE(MOD(COUNTIF($I$2:I183,I183)-1,3)+1,"Tengo un emprendimiento","Estoy iniciando un emprendimiento","Me interesa emprender"),"")</f>
        <v/>
      </c>
      <c r="W183" t="str">
        <f t="shared" si="41"/>
        <v/>
      </c>
      <c r="X183" s="9" t="str">
        <f>IF(I183="Tengo un emprendimiento o quiero iniciar uno",CHOOSE(MOD(COUNTIF($I$2:I183,I183)-1,5)+1,"Falta de financiación","Falta de conocimientos administrativos","Falta de conocimientos financieros","Falta de tiempo","Falta de herramientas"),"")</f>
        <v/>
      </c>
      <c r="Y183" s="9" t="str">
        <f t="shared" si="42"/>
        <v/>
      </c>
      <c r="Z183" t="str">
        <f>IF(I183="Tengo un emprendimiento o quiero iniciar uno",CHOOSE(INT(MOD((COUNTIF($I$2:I183,I183)-1)*7,39)/13)+1,"Sí","No","No conozco programas de ese tipo"),"")</f>
        <v/>
      </c>
      <c r="AA183" t="str">
        <f t="shared" si="43"/>
        <v>No puedo hacerlo</v>
      </c>
      <c r="AB183" t="str">
        <f t="shared" si="43"/>
        <v>No puedo hacerlo</v>
      </c>
      <c r="AC183" t="str">
        <f t="shared" si="44"/>
        <v>Puedo hacerlo con ayuda</v>
      </c>
      <c r="AD183" s="9" t="str">
        <f t="shared" si="45"/>
        <v>Puedo hacerlo sin ayuda</v>
      </c>
      <c r="AE183" t="str">
        <f t="shared" si="46"/>
        <v>Puedo hacerlo sin ayuda</v>
      </c>
      <c r="AF183" s="9" t="str">
        <f t="shared" si="47"/>
        <v>Emprendimiento</v>
      </c>
      <c r="AG183" s="9" t="str">
        <f t="shared" si="48"/>
        <v>Costos de transporte;Distancia</v>
      </c>
      <c r="AH183" t="str">
        <f t="shared" si="49"/>
        <v>Ferias de empleo</v>
      </c>
      <c r="AI183" s="9" t="str">
        <f t="shared" si="50"/>
        <v>Presencial</v>
      </c>
      <c r="AJ183" s="9" t="str">
        <f t="shared" si="51"/>
        <v>Fines de semana</v>
      </c>
      <c r="AK183" s="9" t="str">
        <f t="shared" si="52"/>
        <v>Redes sociales</v>
      </c>
    </row>
    <row r="184" spans="1:37">
      <c r="A184" t="str">
        <f t="shared" si="53"/>
        <v>SG183</v>
      </c>
      <c r="B184" t="s">
        <v>418</v>
      </c>
      <c r="C184" s="9" t="s">
        <v>427</v>
      </c>
      <c r="D184" t="str">
        <f t="shared" si="36"/>
        <v>Masculino</v>
      </c>
      <c r="E184" t="str">
        <f t="shared" si="37"/>
        <v>De 22 a 24 años</v>
      </c>
      <c r="F184">
        <f t="shared" si="38"/>
        <v>22</v>
      </c>
      <c r="G184" s="9" t="s">
        <v>428</v>
      </c>
      <c r="H184" s="9" t="str">
        <f t="shared" si="39"/>
        <v>Profesional</v>
      </c>
      <c r="I184" s="9" t="str">
        <f t="shared" si="40"/>
        <v>Busco mi primer empleo</v>
      </c>
      <c r="J184" s="13" t="str">
        <f>IF(I184="Trabajo actualmente como empleado",IF(MOD((COUNTIF($I$2:I184,"Trabajo actualmente como empleado")-1)*37,150)&lt;100,"Empleado con contrato","Empleado sin contrato formal"),IF(I184="Trabajo de manera independiente","Trabajo independiente",""))</f>
        <v/>
      </c>
      <c r="K184" s="9" t="str">
        <f>IF(OR(I184="Trabajo actualmente como empleado",I184="Trabajo de manera independiente"),CHOOSE(MOD(COUNTIF($I$2:I184,I184)-1,4)+1,"Menos de 3 meses","De 3 a 6 meses","De 7 a 12 meses","Más de un año"),"")</f>
        <v/>
      </c>
      <c r="L184" t="str">
        <f>IF(OR(I184="Trabajo actualmente como empleado",I184="Trabajo de manera independiente"),CHOOSE(MOD(COUNTIF($I$2:I184,I184)-1,3)+1,"Sí, completamente","Parcialmente","No"),"")</f>
        <v/>
      </c>
      <c r="M184" t="str">
        <f>IF(OR(I184="Trabajo actualmente como empleado",I184="Trabajo de manera independiente"),CHOOSE(MOD(INT((COUNTIF($I$2:I184,I184)-1)/3),4)+1,"1- Muy satisfecho/a","2- Satisfecho/a","3- Insatisfecho/a","4- Muy insatisfecho/a"),"")</f>
        <v/>
      </c>
      <c r="N184" t="str">
        <f>IF(OR(I184="Trabajo actualmente como empleado",I184="Trabajo de manera independiente"),_xlfn.LET(_xlpm.opcion,MOD(INT((COUNTIF($I$2:I184,I184)-1)/5),6)+1,CHOOSE(IF(AND(_xlpm.opcion=6,L184="Sí, completamente"),5,_xlpm.opcion),"Salario","Estabilidad laboral","Horario","Acceso a prestaciones","Oportunidades de crecimiento","Trabajar en un área relacionada con mi formación")),"")</f>
        <v/>
      </c>
      <c r="O184" s="9" t="str">
        <f>IF(OR(I184="Trabajo actualmente como empleado",I184="Trabajo de manera independiente"),_xlfn.LET(_xlpm.turno,MOD(COUNTIF($I$2:I184,I184)-1,5),_xlpm.nivel,VALUE(LEFT(M184,1)),IF(_xlpm.turno=4,"No estoy seguro/a",IF(_xlpm.turno&lt;IF(_xlpm.nivel&lt;=2,1,3),"Sí","No"))),"")</f>
        <v/>
      </c>
      <c r="P184" s="9" t="str">
        <f>_xlfn.LET(_xlpm.perfil,I184,_xlpm.turno,COUNTIF($I$2:I184,_xlpm.perfil)-1,_xlpm.busca,OR(_xlpm.perfil="Actualmente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trabajar"),IF(AND(_xlpm.trabaja,O184="No"),"Todavía no he iniciado una búsqueda activa",CHOOSE(MOD(_xlpm.turno*3,5)+1,"Menos de 1 mes","Entre 1 y 3 meses","Entre 4 y 6 meses","Más de 6 meses","Todavía no he iniciado una búsqueda activa")),"")))</f>
        <v>Más de 6 meses</v>
      </c>
      <c r="Q184" t="str">
        <f>IF(I184="Tengo un emprendimiento o quiero iniciar uno","",CHOOSE(MOD(INT((COUNTIF($I$2:I184,I184)-1)/7),3)+1,"Sí","No","Tengo una pero necesito actualizarla"))</f>
        <v>Sí</v>
      </c>
      <c r="R184" s="9" t="str">
        <f>IF(I184="Tengo un emprendimiento o quiero iniciar uno","",IF(I184="Busco mi primer empleo","No",IF(MOD(COUNTIF($I$2:I184,I184)-1,2)=0,"Sí","No")))</f>
        <v>No</v>
      </c>
      <c r="S184" t="str">
        <f>IF(I184="Tengo un emprendimiento o quiero iniciar uno","",CHOOSE(MOD(INT((COUNTIF($I$2:I184,I184)-1)/3),10)+1,"Portales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84" t="str">
        <f>IF(I184="Tengo un emprendimiento o quiero iniciar uno","",_xlfn.LET(_xlpm.opcion,MOD(INT((COUNTIF($I$2:I184,I184)-1)/4),6)+1,CHOOSE(IF(AND(_xlpm.opcion=3,Q184="Sí"),1,_xlpm.opcion),"Falta de experiencia","Falta de formación","Dificultades con la hoja de vida","Horarios disponibles","Transporte","Internet")))</f>
        <v>Falta de experiencia</v>
      </c>
      <c r="U184" s="9" t="str">
        <f>IF(I184="Tengo un emprendimiento o quiero iniciar uno","",IF(MOD(INT((COUNTIF($I$2:I184,I184)-1)/3),2)=0,"Sí","No"))</f>
        <v>Sí</v>
      </c>
      <c r="V184" s="9" t="str">
        <f>IF(I184="Tengo un emprendimiento o quiero iniciar uno",CHOOSE(MOD(COUNTIF($I$2:I184,I184)-1,3)+1,"Tengo un emprendimiento","Estoy iniciando un emprendimiento","Me interesa emprender"),"")</f>
        <v/>
      </c>
      <c r="W184" t="str">
        <f t="shared" si="41"/>
        <v/>
      </c>
      <c r="X184" s="9" t="str">
        <f>IF(I184="Tengo un emprendimiento o quiero iniciar uno",CHOOSE(MOD(COUNTIF($I$2:I184,I184)-1,5)+1,"Falta de financiación","Falta de conocimientos administrativos","Falta de conocimientos financieros","Falta de tiempo","Falta de herramientas"),"")</f>
        <v/>
      </c>
      <c r="Y184" s="9" t="str">
        <f t="shared" si="42"/>
        <v/>
      </c>
      <c r="Z184" t="str">
        <f>IF(I184="Tengo un emprendimiento o quiero iniciar uno",CHOOSE(INT(MOD((COUNTIF($I$2:I184,I184)-1)*7,39)/13)+1,"Sí","No","No conozco programas de ese tipo"),"")</f>
        <v/>
      </c>
      <c r="AA184" t="str">
        <f t="shared" si="43"/>
        <v>Puedo hacerlo con dificultad</v>
      </c>
      <c r="AB184" t="str">
        <f t="shared" si="43"/>
        <v>Puedo hacerlo con dificultad</v>
      </c>
      <c r="AC184" t="str">
        <f t="shared" si="44"/>
        <v>Puedo hacerlo sin ayuda</v>
      </c>
      <c r="AD184" s="9" t="str">
        <f t="shared" si="45"/>
        <v>No puedo hacerlo</v>
      </c>
      <c r="AE184" t="str">
        <f t="shared" si="46"/>
        <v>No puedo hacerlo</v>
      </c>
      <c r="AF184" s="9" t="str">
        <f t="shared" si="47"/>
        <v>Herramientas digitales</v>
      </c>
      <c r="AG184" s="9" t="str">
        <f t="shared" si="48"/>
        <v>Costos de transporte;Distancia</v>
      </c>
      <c r="AH184" t="str">
        <f t="shared" si="49"/>
        <v>Programas de emprendimiento</v>
      </c>
      <c r="AI184" s="9" t="str">
        <f t="shared" si="50"/>
        <v>Virtual</v>
      </c>
      <c r="AJ184" s="9" t="str">
        <f t="shared" si="51"/>
        <v>Diurno</v>
      </c>
      <c r="AK184" s="9" t="str">
        <f t="shared" si="52"/>
        <v>WhatsApp</v>
      </c>
    </row>
    <row r="185" spans="1:37">
      <c r="A185" t="str">
        <f t="shared" si="53"/>
        <v>SG184</v>
      </c>
      <c r="B185" t="s">
        <v>418</v>
      </c>
      <c r="C185" s="9" t="s">
        <v>427</v>
      </c>
      <c r="D185" t="str">
        <f t="shared" si="36"/>
        <v>Masculino</v>
      </c>
      <c r="E185" t="str">
        <f t="shared" si="37"/>
        <v>De 24 a 26 años</v>
      </c>
      <c r="F185">
        <f t="shared" si="38"/>
        <v>24</v>
      </c>
      <c r="G185" s="9" t="s">
        <v>428</v>
      </c>
      <c r="H185" s="9" t="str">
        <f t="shared" si="39"/>
        <v>Profesional</v>
      </c>
      <c r="I185" s="9" t="str">
        <f t="shared" si="40"/>
        <v>Trabajo actualmente como empleado</v>
      </c>
      <c r="J185" s="13" t="str">
        <f>IF(I185="Trabajo actualmente como empleado",IF(MOD((COUNTIF($I$2:I185,"Trabajo actualmente como empleado")-1)*37,150)&lt;100,"Empleado con contrato","Empleado sin contrato formal"),IF(I185="Trabajo de manera independiente","Trabajo independiente",""))</f>
        <v>Empleado con contrato</v>
      </c>
      <c r="K185" s="9" t="str">
        <f>IF(OR(I185="Trabajo actualmente como empleado",I185="Trabajo de manera independiente"),CHOOSE(MOD(COUNTIF($I$2:I185,I185)-1,4)+1,"Menos de 3 meses","De 3 a 6 meses","De 7 a 12 meses","Más de un año"),"")</f>
        <v>Más de un año</v>
      </c>
      <c r="L185" t="str">
        <f>IF(OR(I185="Trabajo actualmente como empleado",I185="Trabajo de manera independiente"),CHOOSE(MOD(COUNTIF($I$2:I185,I185)-1,3)+1,"Sí, completamente","Parcialmente","No"),"")</f>
        <v>No</v>
      </c>
      <c r="M185" t="str">
        <f>IF(OR(I185="Trabajo actualmente como empleado",I185="Trabajo de manera independiente"),CHOOSE(MOD(INT((COUNTIF($I$2:I185,I185)-1)/3),4)+1,"1- Muy satisfecho/a","2- Satisfecho/a","3- Insatisfecho/a","4- Muy insatisfecho/a"),"")</f>
        <v>4- Muy insatisfecho/a</v>
      </c>
      <c r="N185" t="str">
        <f>IF(OR(I185="Trabajo actualmente como empleado",I185="Trabajo de manera independiente"),_xlfn.LET(_xlpm.opcion,MOD(INT((COUNTIF($I$2:I185,I185)-1)/5),6)+1,CHOOSE(IF(AND(_xlpm.opcion=6,L185="Sí,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185" s="9" t="str">
        <f>IF(OR(I185="Trabajo actualmente como empleado",I185="Trabajo de manera independiente"),_xlfn.LET(_xlpm.turno,MOD(COUNTIF($I$2:I185,I185)-1,5),_xlpm.nivel,VALUE(LEFT(M185,1)),IF(_xlpm.turno=4,"No estoy seguro/a",IF(_xlpm.turno&lt;IF(_xlpm.nivel&lt;=2,1,3),"Sí","No"))),"")</f>
        <v>No estoy seguro/a</v>
      </c>
      <c r="P185" s="9" t="str">
        <f>_xlfn.LET(_xlpm.perfil,I185,_xlpm.turno,COUNTIF($I$2:I185,_xlpm.perfil)-1,_xlpm.busca,OR(_xlpm.perfil="Actualmente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trabajar"),IF(AND(_xlpm.trabaja,O185="No"),"Todavía no he iniciado una búsqueda activa",CHOOSE(MOD(_xlpm.turno*3,5)+1,"Menos de 1 mes","Entre 1 y 3 meses","Entre 4 y 6 meses","Más de 6 meses","Todavía no he iniciado una búsqueda activa")),"")))</f>
        <v>Entre 4 y 6 meses</v>
      </c>
      <c r="Q185" t="str">
        <f>IF(I185="Tengo un emprendimiento o quiero iniciar uno","",CHOOSE(MOD(INT((COUNTIF($I$2:I185,I185)-1)/7),3)+1,"Sí","No","Tengo una pero necesito actualizarla"))</f>
        <v>Tengo una pero necesito actualizarla</v>
      </c>
      <c r="R185" s="9" t="str">
        <f>IF(I185="Tengo un emprendimiento o quiero iniciar uno","",IF(I185="Busco mi primer empleo","No",IF(MOD(COUNTIF($I$2:I185,I185)-1,2)=0,"Sí","No")))</f>
        <v>No</v>
      </c>
      <c r="S185" t="str">
        <f>IF(I185="Tengo un emprendimiento o quiero iniciar uno","",CHOOSE(MOD(INT((COUNTIF($I$2:I185,I185)-1)/3),10)+1,"Portales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85" t="str">
        <f>IF(I185="Tengo un emprendimiento o quiero iniciar uno","",_xlfn.LET(_xlpm.opcion,MOD(INT((COUNTIF($I$2:I185,I185)-1)/4),6)+1,CHOOSE(IF(AND(_xlpm.opcion=3,Q185="Sí"),1,_xlpm.opcion),"Falta de experiencia","Falta de formación","Dificultades con la hoja de vida","Horarios disponibles","Transporte","Internet")))</f>
        <v>Dificultades con la hoja de vida</v>
      </c>
      <c r="U185" s="9" t="str">
        <f>IF(I185="Tengo un emprendimiento o quiero iniciar uno","",IF(MOD(INT((COUNTIF($I$2:I185,I185)-1)/3),2)=0,"Sí","No"))</f>
        <v>No</v>
      </c>
      <c r="V185" s="9" t="str">
        <f>IF(I185="Tengo un emprendimiento o quiero iniciar uno",CHOOSE(MOD(COUNTIF($I$2:I185,I185)-1,3)+1,"Tengo un emprendimiento","Estoy iniciando un emprendimiento","Me interesa emprender"),"")</f>
        <v/>
      </c>
      <c r="W185" t="str">
        <f t="shared" si="41"/>
        <v/>
      </c>
      <c r="X185" s="9" t="str">
        <f>IF(I185="Tengo un emprendimiento o quiero iniciar uno",CHOOSE(MOD(COUNTIF($I$2:I185,I185)-1,5)+1,"Falta de financiación","Falta de conocimientos administrativos","Falta de conocimientos financieros","Falta de tiempo","Falta de herramientas"),"")</f>
        <v/>
      </c>
      <c r="Y185" s="9" t="str">
        <f t="shared" si="42"/>
        <v/>
      </c>
      <c r="Z185" t="str">
        <f>IF(I185="Tengo un emprendimiento o quiero iniciar uno",CHOOSE(INT(MOD((COUNTIF($I$2:I185,I185)-1)*7,39)/13)+1,"Sí","No","No conozco programas de ese tipo"),"")</f>
        <v/>
      </c>
      <c r="AA185" t="str">
        <f t="shared" si="43"/>
        <v>Puedo hacerlo sin ayuda</v>
      </c>
      <c r="AB185" t="str">
        <f t="shared" si="43"/>
        <v>Puedo hacerlo sin ayuda</v>
      </c>
      <c r="AC185" t="str">
        <f t="shared" si="44"/>
        <v>No puedo hacerlo</v>
      </c>
      <c r="AD185" s="9" t="str">
        <f t="shared" si="45"/>
        <v>Puedo hacerlo con ayuda</v>
      </c>
      <c r="AE185" t="str">
        <f t="shared" si="46"/>
        <v>Puedo hacerlo con ayuda</v>
      </c>
      <c r="AF185" s="9" t="str">
        <f t="shared" si="47"/>
        <v>Educación financiera</v>
      </c>
      <c r="AG185" s="9" t="str">
        <f t="shared" si="48"/>
        <v>Falta de información</v>
      </c>
      <c r="AH185" t="str">
        <f t="shared" si="49"/>
        <v>Oficina de orientación laboral</v>
      </c>
      <c r="AI185" s="9" t="str">
        <f t="shared" si="50"/>
        <v>Presencial y virtual</v>
      </c>
      <c r="AJ185" s="9" t="str">
        <f t="shared" si="51"/>
        <v>Nocturno</v>
      </c>
      <c r="AK185" s="9" t="str">
        <f t="shared" si="52"/>
        <v>Correo electrónico</v>
      </c>
    </row>
    <row r="186" spans="1:37">
      <c r="A186" t="str">
        <f t="shared" si="53"/>
        <v>SG185</v>
      </c>
      <c r="B186" t="s">
        <v>418</v>
      </c>
      <c r="C186" s="9" t="s">
        <v>427</v>
      </c>
      <c r="D186" t="str">
        <f t="shared" si="36"/>
        <v>Femenino</v>
      </c>
      <c r="E186" t="str">
        <f t="shared" si="37"/>
        <v>De 26 a 28 años</v>
      </c>
      <c r="F186">
        <f t="shared" si="38"/>
        <v>26</v>
      </c>
      <c r="G186" s="9" t="s">
        <v>428</v>
      </c>
      <c r="H186" s="9" t="str">
        <f t="shared" si="39"/>
        <v>Bachiller</v>
      </c>
      <c r="I186" s="9" t="str">
        <f t="shared" si="40"/>
        <v>Trabajo de manera independiente</v>
      </c>
      <c r="J186" s="13" t="str">
        <f>IF(I186="Trabajo actualmente como empleado",IF(MOD((COUNTIF($I$2:I186,"Trabajo actualmente como empleado")-1)*37,150)&lt;100,"Empleado con contrato","Empleado sin contrato formal"),IF(I186="Trabajo de manera independiente","Trabajo independiente",""))</f>
        <v>Trabajo independiente</v>
      </c>
      <c r="K186" s="9" t="str">
        <f>IF(OR(I186="Trabajo actualmente como empleado",I186="Trabajo de manera independiente"),CHOOSE(MOD(COUNTIF($I$2:I186,I186)-1,4)+1,"Menos de 3 meses","De 3 a 6 meses","De 7 a 12 meses","Más de un año"),"")</f>
        <v>Más de un año</v>
      </c>
      <c r="L186" t="str">
        <f>IF(OR(I186="Trabajo actualmente como empleado",I186="Trabajo de manera independiente"),CHOOSE(MOD(COUNTIF($I$2:I186,I186)-1,3)+1,"Sí, completamente","Parcialmente","No"),"")</f>
        <v>Parcialmente</v>
      </c>
      <c r="M186" t="str">
        <f>IF(OR(I186="Trabajo actualmente como empleado",I186="Trabajo de manera independiente"),CHOOSE(MOD(INT((COUNTIF($I$2:I186,I186)-1)/3),4)+1,"1- Muy satisfecho/a","2- Satisfecho/a","3- Insatisfecho/a","4- Muy insatisfecho/a"),"")</f>
        <v>3- Insatisfecho/a</v>
      </c>
      <c r="N186" t="str">
        <f>IF(OR(I186="Trabajo actualmente como empleado",I186="Trabajo de manera independiente"),_xlfn.LET(_xlpm.opcion,MOD(INT((COUNTIF($I$2:I186,I186)-1)/5),6)+1,CHOOSE(IF(AND(_xlpm.opcion=6,L186="Sí, completamente"),5,_xlpm.opcion),"Salario","Estabilidad laboral","Horario","Acceso a prestaciones","Oportunidades de crecimiento","Trabajar en un área relacionada con mi formación")),"")</f>
        <v>Salario</v>
      </c>
      <c r="O186" s="9" t="str">
        <f>IF(OR(I186="Trabajo actualmente como empleado",I186="Trabajo de manera independiente"),_xlfn.LET(_xlpm.turno,MOD(COUNTIF($I$2:I186,I186)-1,5),_xlpm.nivel,VALUE(LEFT(M186,1)),IF(_xlpm.turno=4,"No estoy seguro/a",IF(_xlpm.turno&lt;IF(_xlpm.nivel&lt;=2,1,3),"Sí","No"))),"")</f>
        <v>Sí</v>
      </c>
      <c r="P186" s="9" t="str">
        <f>_xlfn.LET(_xlpm.perfil,I186,_xlpm.turno,COUNTIF($I$2:I186,_xlpm.perfil)-1,_xlpm.busca,OR(_xlpm.perfil="Actualmente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trabajar"),IF(AND(_xlpm.trabaja,O186="No"),"Todavía no he iniciado una búsqueda activa",CHOOSE(MOD(_xlpm.turno*3,5)+1,"Menos de 1 mes","Entre 1 y 3 meses","Entre 4 y 6 meses","Más de 6 meses","Todavía no he iniciado una búsqueda activa")),"")))</f>
        <v>Más de 6 meses</v>
      </c>
      <c r="Q186" t="str">
        <f>IF(I186="Tengo un emprendimiento o quiero iniciar uno","",CHOOSE(MOD(INT((COUNTIF($I$2:I186,I186)-1)/7),3)+1,"Sí","No","Tengo una pero necesito actualizarla"))</f>
        <v>No</v>
      </c>
      <c r="R186" s="9" t="str">
        <f>IF(I186="Tengo un emprendimiento o quiero iniciar uno","",IF(I186="Busco mi primer empleo","No",IF(MOD(COUNTIF($I$2:I186,I186)-1,2)=0,"Sí","No")))</f>
        <v>No</v>
      </c>
      <c r="S186" t="str">
        <f>IF(I186="Tengo un emprendimiento o quiero iniciar uno","",CHOOSE(MOD(INT((COUNTIF($I$2:I186,I186)-1)/3),10)+1,"Portales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86" t="str">
        <f>IF(I186="Tengo un emprendimiento o quiero iniciar uno","",_xlfn.LET(_xlpm.opcion,MOD(INT((COUNTIF($I$2:I186,I186)-1)/4),6)+1,CHOOSE(IF(AND(_xlpm.opcion=3,Q186="Sí"),1,_xlpm.opcion),"Falta de experiencia","Falta de formación","Dificultades con la hoja de vida","Horarios disponibles","Transporte","Internet")))</f>
        <v>Falta de formación</v>
      </c>
      <c r="U186" s="9" t="str">
        <f>IF(I186="Tengo un emprendimiento o quiero iniciar uno","",IF(MOD(INT((COUNTIF($I$2:I186,I186)-1)/3),2)=0,"Sí","No"))</f>
        <v>Sí</v>
      </c>
      <c r="V186" s="9" t="str">
        <f>IF(I186="Tengo un emprendimiento o quiero iniciar uno",CHOOSE(MOD(COUNTIF($I$2:I186,I186)-1,3)+1,"Tengo un emprendimiento","Estoy iniciando un emprendimiento","Me interesa emprender"),"")</f>
        <v/>
      </c>
      <c r="W186" t="str">
        <f t="shared" si="41"/>
        <v/>
      </c>
      <c r="X186" s="9" t="str">
        <f>IF(I186="Tengo un emprendimiento o quiero iniciar uno",CHOOSE(MOD(COUNTIF($I$2:I186,I186)-1,5)+1,"Falta de financiación","Falta de conocimientos administrativos","Falta de conocimientos financieros","Falta de tiempo","Falta de herramientas"),"")</f>
        <v/>
      </c>
      <c r="Y186" s="9" t="str">
        <f t="shared" si="42"/>
        <v/>
      </c>
      <c r="Z186" t="str">
        <f>IF(I186="Tengo un emprendimiento o quiero iniciar uno",CHOOSE(INT(MOD((COUNTIF($I$2:I186,I186)-1)*7,39)/13)+1,"Sí","No","No conozco programas de ese tipo"),"")</f>
        <v/>
      </c>
      <c r="AA186" t="str">
        <f t="shared" si="43"/>
        <v>Puedo hacerlo con ayuda</v>
      </c>
      <c r="AB186" t="str">
        <f t="shared" si="43"/>
        <v>Puedo hacerlo con ayuda</v>
      </c>
      <c r="AC186" t="str">
        <f t="shared" si="44"/>
        <v>Puedo hacerlo con ayuda</v>
      </c>
      <c r="AD186" s="9" t="str">
        <f t="shared" si="45"/>
        <v>Puedo hacerlo con ayuda</v>
      </c>
      <c r="AE186" t="str">
        <f t="shared" si="46"/>
        <v>Puedo hacerlo con ayuda</v>
      </c>
      <c r="AF186" s="9" t="str">
        <f t="shared" si="47"/>
        <v>Crear una hoja de vida;Preparación para entrevista</v>
      </c>
      <c r="AG186" s="9" t="str">
        <f t="shared" si="48"/>
        <v>Falta de información</v>
      </c>
      <c r="AH186" t="str">
        <f t="shared" si="49"/>
        <v>Programas de emprendimiento</v>
      </c>
      <c r="AI186" s="9" t="str">
        <f t="shared" si="50"/>
        <v>Me es indiferente</v>
      </c>
      <c r="AJ186" s="9" t="str">
        <f t="shared" si="51"/>
        <v>Fines de semana</v>
      </c>
      <c r="AK186" s="9" t="str">
        <f t="shared" si="52"/>
        <v>Celular</v>
      </c>
    </row>
    <row r="187" spans="1:37">
      <c r="A187" t="str">
        <f t="shared" si="53"/>
        <v>SG186</v>
      </c>
      <c r="B187" t="s">
        <v>418</v>
      </c>
      <c r="C187" s="9" t="s">
        <v>427</v>
      </c>
      <c r="D187" t="str">
        <f t="shared" si="36"/>
        <v>Femenino</v>
      </c>
      <c r="E187" t="str">
        <f t="shared" si="37"/>
        <v>De 18 a 20 años</v>
      </c>
      <c r="F187">
        <f t="shared" si="38"/>
        <v>19</v>
      </c>
      <c r="G187" s="9" t="s">
        <v>428</v>
      </c>
      <c r="H187" s="9" t="str">
        <f t="shared" si="39"/>
        <v>Bachiller</v>
      </c>
      <c r="I187" s="9" t="str">
        <f t="shared" si="40"/>
        <v>Estudio y quiero comenzar a trabajar</v>
      </c>
      <c r="J187" s="13" t="str">
        <f>IF(I187="Trabajo actualmente como empleado",IF(MOD((COUNTIF($I$2:I187,"Trabajo actualmente como empleado")-1)*37,150)&lt;100,"Empleado con contrato","Empleado sin contrato formal"),IF(I187="Trabajo de manera independiente","Trabajo independiente",""))</f>
        <v/>
      </c>
      <c r="K187" s="9" t="str">
        <f>IF(OR(I187="Trabajo actualmente como empleado",I187="Trabajo de manera independiente"),CHOOSE(MOD(COUNTIF($I$2:I187,I187)-1,4)+1,"Menos de 3 meses","De 3 a 6 meses","De 7 a 12 meses","Más de un año"),"")</f>
        <v/>
      </c>
      <c r="L187" t="str">
        <f>IF(OR(I187="Trabajo actualmente como empleado",I187="Trabajo de manera independiente"),CHOOSE(MOD(COUNTIF($I$2:I187,I187)-1,3)+1,"Sí, completamente","Parcialmente","No"),"")</f>
        <v/>
      </c>
      <c r="M187" t="str">
        <f>IF(OR(I187="Trabajo actualmente como empleado",I187="Trabajo de manera independiente"),CHOOSE(MOD(INT((COUNTIF($I$2:I187,I187)-1)/3),4)+1,"1- Muy satisfecho/a","2- Satisfecho/a","3- Insatisfecho/a","4- Muy insatisfecho/a"),"")</f>
        <v/>
      </c>
      <c r="N187" t="str">
        <f>IF(OR(I187="Trabajo actualmente como empleado",I187="Trabajo de manera independiente"),_xlfn.LET(_xlpm.opcion,MOD(INT((COUNTIF($I$2:I187,I187)-1)/5),6)+1,CHOOSE(IF(AND(_xlpm.opcion=6,L187="Sí, completamente"),5,_xlpm.opcion),"Salario","Estabilidad laboral","Horario","Acceso a prestaciones","Oportunidades de crecimiento","Trabajar en un área relacionada con mi formación")),"")</f>
        <v/>
      </c>
      <c r="O187" s="9" t="str">
        <f>IF(OR(I187="Trabajo actualmente como empleado",I187="Trabajo de manera independiente"),_xlfn.LET(_xlpm.turno,MOD(COUNTIF($I$2:I187,I187)-1,5),_xlpm.nivel,VALUE(LEFT(M187,1)),IF(_xlpm.turno=4,"No estoy seguro/a",IF(_xlpm.turno&lt;IF(_xlpm.nivel&lt;=2,1,3),"Sí","No"))),"")</f>
        <v/>
      </c>
      <c r="P187" s="9" t="str">
        <f>_xlfn.LET(_xlpm.perfil,I187,_xlpm.turno,COUNTIF($I$2:I187,_xlpm.perfil)-1,_xlpm.busca,OR(_xlpm.perfil="Actualmente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trabajar"),IF(AND(_xlpm.trabaja,O187="No"),"Todavía no he iniciado una búsqueda activa",CHOOSE(MOD(_xlpm.turno*3,5)+1,"Menos de 1 mes","Entre 1 y 3 meses","Entre 4 y 6 meses","Más de 6 meses","Todavía no he iniciado una búsqueda activa")),"")))</f>
        <v>Menos de 1 mes</v>
      </c>
      <c r="Q187" t="str">
        <f>IF(I187="Tengo un emprendimiento o quiero iniciar uno","",CHOOSE(MOD(INT((COUNTIF($I$2:I187,I187)-1)/7),3)+1,"Sí","No","Tengo una pero necesito actualizarla"))</f>
        <v>Tengo una pero necesito actualizarla</v>
      </c>
      <c r="R187" s="9" t="str">
        <f>IF(I187="Tengo un emprendimiento o quiero iniciar uno","",IF(I187="Busco mi primer empleo","No",IF(MOD(COUNTIF($I$2:I187,I187)-1,2)=0,"Sí","No")))</f>
        <v>Sí</v>
      </c>
      <c r="S187" t="str">
        <f>IF(I187="Tengo un emprendimiento o quiero iniciar uno","",CHOOSE(MOD(INT((COUNTIF($I$2:I187,I187)-1)/3),10)+1,"Portales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187" t="str">
        <f>IF(I187="Tengo un emprendimiento o quiero iniciar uno","",_xlfn.LET(_xlpm.opcion,MOD(INT((COUNTIF($I$2:I187,I187)-1)/4),6)+1,CHOOSE(IF(AND(_xlpm.opcion=3,Q187="Sí"),1,_xlpm.opcion),"Falta de experiencia","Falta de formación","Dificultades con la hoja de vida","Horarios disponibles","Transporte","Internet")))</f>
        <v>Internet</v>
      </c>
      <c r="U187" s="9" t="str">
        <f>IF(I187="Tengo un emprendimiento o quiero iniciar uno","",IF(MOD(INT((COUNTIF($I$2:I187,I187)-1)/3),2)=0,"Sí","No"))</f>
        <v>Sí</v>
      </c>
      <c r="V187" s="9" t="str">
        <f>IF(I187="Tengo un emprendimiento o quiero iniciar uno",CHOOSE(MOD(COUNTIF($I$2:I187,I187)-1,3)+1,"Tengo un emprendimiento","Estoy iniciando un emprendimiento","Me interesa emprender"),"")</f>
        <v/>
      </c>
      <c r="W187" t="str">
        <f t="shared" si="41"/>
        <v/>
      </c>
      <c r="X187" s="9" t="str">
        <f>IF(I187="Tengo un emprendimiento o quiero iniciar uno",CHOOSE(MOD(COUNTIF($I$2:I187,I187)-1,5)+1,"Falta de financiación","Falta de conocimientos administrativos","Falta de conocimientos financieros","Falta de tiempo","Falta de herramientas"),"")</f>
        <v/>
      </c>
      <c r="Y187" s="9" t="str">
        <f t="shared" si="42"/>
        <v/>
      </c>
      <c r="Z187" t="str">
        <f>IF(I187="Tengo un emprendimiento o quiero iniciar uno",CHOOSE(INT(MOD((COUNTIF($I$2:I187,I187)-1)*7,39)/13)+1,"Sí","No","No conozco programas de ese tipo"),"")</f>
        <v/>
      </c>
      <c r="AA187" t="str">
        <f t="shared" si="43"/>
        <v>Puedo hacerlo sin ayuda</v>
      </c>
      <c r="AB187" t="str">
        <f t="shared" si="43"/>
        <v>Puedo hacerlo sin ayuda</v>
      </c>
      <c r="AC187" t="str">
        <f t="shared" si="44"/>
        <v>Puedo hacerlo sin ayuda</v>
      </c>
      <c r="AD187" s="9" t="str">
        <f t="shared" si="45"/>
        <v>Puedo hacerlo con dificultad</v>
      </c>
      <c r="AE187" t="str">
        <f t="shared" si="46"/>
        <v>Puedo hacerlo con dificultad</v>
      </c>
      <c r="AF187" s="9" t="str">
        <f t="shared" si="47"/>
        <v>Comunicación;Liderazgo</v>
      </c>
      <c r="AG187" s="9" t="str">
        <f t="shared" si="48"/>
        <v>Falta de información</v>
      </c>
      <c r="AH187" t="str">
        <f t="shared" si="49"/>
        <v>No conozco ninguno</v>
      </c>
      <c r="AI187" s="9" t="str">
        <f t="shared" si="50"/>
        <v>Presencial</v>
      </c>
      <c r="AJ187" s="9" t="str">
        <f t="shared" si="51"/>
        <v>Diurno</v>
      </c>
      <c r="AK187" s="9" t="str">
        <f t="shared" si="52"/>
        <v>WhatsApp</v>
      </c>
    </row>
    <row r="188" spans="1:37">
      <c r="A188" t="str">
        <f t="shared" si="53"/>
        <v>SG187</v>
      </c>
      <c r="B188" t="s">
        <v>418</v>
      </c>
      <c r="C188" s="9" t="s">
        <v>427</v>
      </c>
      <c r="D188" t="str">
        <f t="shared" si="36"/>
        <v>Masculino</v>
      </c>
      <c r="E188" t="str">
        <f t="shared" si="37"/>
        <v>De 20 a 22 años</v>
      </c>
      <c r="F188">
        <f t="shared" si="38"/>
        <v>21</v>
      </c>
      <c r="G188" s="9" t="s">
        <v>428</v>
      </c>
      <c r="H188" s="9" t="str">
        <f t="shared" si="39"/>
        <v>Bachiller</v>
      </c>
      <c r="I188" s="9" t="str">
        <f t="shared" si="40"/>
        <v>Trabajo actualmente como empleado</v>
      </c>
      <c r="J188" s="13" t="str">
        <f>IF(I188="Trabajo actualmente como empleado",IF(MOD((COUNTIF($I$2:I188,"Trabajo actualmente como empleado")-1)*37,150)&lt;100,"Empleado con contrato","Empleado sin contrato formal"),IF(I188="Trabajo de manera independiente","Trabajo independiente",""))</f>
        <v>Empleado sin contrato formal</v>
      </c>
      <c r="K188" s="9" t="str">
        <f>IF(OR(I188="Trabajo actualmente como empleado",I188="Trabajo de manera independiente"),CHOOSE(MOD(COUNTIF($I$2:I188,I188)-1,4)+1,"Menos de 3 meses","De 3 a 6 meses","De 7 a 12 meses","Más de un año"),"")</f>
        <v>Menos de 3 meses</v>
      </c>
      <c r="L188" t="str">
        <f>IF(OR(I188="Trabajo actualmente como empleado",I188="Trabajo de manera independiente"),CHOOSE(MOD(COUNTIF($I$2:I188,I188)-1,3)+1,"Sí, completamente","Parcialmente","No"),"")</f>
        <v>Sí, completamente</v>
      </c>
      <c r="M188" t="str">
        <f>IF(OR(I188="Trabajo actualmente como empleado",I188="Trabajo de manera independiente"),CHOOSE(MOD(INT((COUNTIF($I$2:I188,I188)-1)/3),4)+1,"1- Muy satisfecho/a","2- Satisfecho/a","3- Insatisfecho/a","4- Muy insatisfecho/a"),"")</f>
        <v>1- Muy satisfecho/a</v>
      </c>
      <c r="N188" t="str">
        <f>IF(OR(I188="Trabajo actualmente como empleado",I188="Trabajo de manera independiente"),_xlfn.LET(_xlpm.opcion,MOD(INT((COUNTIF($I$2:I188,I188)-1)/5),6)+1,CHOOSE(IF(AND(_xlpm.opcion=6,L188="Sí, completamente"),5,_xlpm.opcion),"Salario","Estabilidad laboral","Horario","Acceso a prestaciones","Oportunidades de crecimiento","Trabajar en un área relacionada con mi formación")),"")</f>
        <v>Salario</v>
      </c>
      <c r="O188" s="9" t="str">
        <f>IF(OR(I188="Trabajo actualmente como empleado",I188="Trabajo de manera independiente"),_xlfn.LET(_xlpm.turno,MOD(COUNTIF($I$2:I188,I188)-1,5),_xlpm.nivel,VALUE(LEFT(M188,1)),IF(_xlpm.turno=4,"No estoy seguro/a",IF(_xlpm.turno&lt;IF(_xlpm.nivel&lt;=2,1,3),"Sí","No"))),"")</f>
        <v>Sí</v>
      </c>
      <c r="P188" s="9" t="str">
        <f>_xlfn.LET(_xlpm.perfil,I188,_xlpm.turno,COUNTIF($I$2:I188,_xlpm.perfil)-1,_xlpm.busca,OR(_xlpm.perfil="Actualmente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trabajar"),IF(AND(_xlpm.trabaja,O188="No"),"Todavía no he iniciado una búsqueda activa",CHOOSE(MOD(_xlpm.turno*3,5)+1,"Menos de 1 mes","Entre 1 y 3 meses","Entre 4 y 6 meses","Más de 6 meses","Todavía no he iniciado una búsqueda activa")),"")))</f>
        <v>Menos de 1 mes</v>
      </c>
      <c r="Q188" t="str">
        <f>IF(I188="Tengo un emprendimiento o quiero iniciar uno","",CHOOSE(MOD(INT((COUNTIF($I$2:I188,I188)-1)/7),3)+1,"Sí","No","Tengo una pero necesito actualizarla"))</f>
        <v>Tengo una pero necesito actualizarla</v>
      </c>
      <c r="R188" s="9" t="str">
        <f>IF(I188="Tengo un emprendimiento o quiero iniciar uno","",IF(I188="Busco mi primer empleo","No",IF(MOD(COUNTIF($I$2:I188,I188)-1,2)=0,"Sí","No")))</f>
        <v>Sí</v>
      </c>
      <c r="S188" t="str">
        <f>IF(I188="Tengo un emprendimiento o quiero iniciar uno","",CHOOSE(MOD(INT((COUNTIF($I$2:I188,I188)-1)/3),10)+1,"Portales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88" t="str">
        <f>IF(I188="Tengo un emprendimiento o quiero iniciar uno","",_xlfn.LET(_xlpm.opcion,MOD(INT((COUNTIF($I$2:I188,I188)-1)/4),6)+1,CHOOSE(IF(AND(_xlpm.opcion=3,Q188="Sí"),1,_xlpm.opcion),"Falta de experiencia","Falta de formación","Dificultades con la hoja de vida","Horarios disponibles","Transporte","Internet")))</f>
        <v>Horarios disponibles</v>
      </c>
      <c r="U188" s="9" t="str">
        <f>IF(I188="Tengo un emprendimiento o quiero iniciar uno","",IF(MOD(INT((COUNTIF($I$2:I188,I188)-1)/3),2)=0,"Sí","No"))</f>
        <v>Sí</v>
      </c>
      <c r="V188" s="9" t="str">
        <f>IF(I188="Tengo un emprendimiento o quiero iniciar uno",CHOOSE(MOD(COUNTIF($I$2:I188,I188)-1,3)+1,"Tengo un emprendimiento","Estoy iniciando un emprendimiento","Me interesa emprender"),"")</f>
        <v/>
      </c>
      <c r="W188" t="str">
        <f t="shared" si="41"/>
        <v/>
      </c>
      <c r="X188" s="9" t="str">
        <f>IF(I188="Tengo un emprendimiento o quiero iniciar uno",CHOOSE(MOD(COUNTIF($I$2:I188,I188)-1,5)+1,"Falta de financiación","Falta de conocimientos administrativos","Falta de conocimientos financieros","Falta de tiempo","Falta de herramientas"),"")</f>
        <v/>
      </c>
      <c r="Y188" s="9" t="str">
        <f t="shared" si="42"/>
        <v/>
      </c>
      <c r="Z188" t="str">
        <f>IF(I188="Tengo un emprendimiento o quiero iniciar uno",CHOOSE(INT(MOD((COUNTIF($I$2:I188,I188)-1)*7,39)/13)+1,"Sí","No","No conozco programas de ese tipo"),"")</f>
        <v/>
      </c>
      <c r="AA188" t="str">
        <f t="shared" si="43"/>
        <v>No puedo hacerlo</v>
      </c>
      <c r="AB188" t="str">
        <f t="shared" si="43"/>
        <v>No puedo hacerlo</v>
      </c>
      <c r="AC188" t="str">
        <f t="shared" si="44"/>
        <v>No puedo hacerlo</v>
      </c>
      <c r="AD188" s="9" t="str">
        <f t="shared" si="45"/>
        <v>Puedo hacerlo sin ayuda</v>
      </c>
      <c r="AE188" t="str">
        <f t="shared" si="46"/>
        <v>Puedo hacerlo con dificultad</v>
      </c>
      <c r="AF188" s="9" t="str">
        <f t="shared" si="47"/>
        <v>Herramientas digitales;Educación financiera</v>
      </c>
      <c r="AG188" s="9" t="str">
        <f t="shared" si="48"/>
        <v>Horarios</v>
      </c>
      <c r="AH188" t="str">
        <f t="shared" si="49"/>
        <v>Ferias de empleo</v>
      </c>
      <c r="AI188" s="9" t="str">
        <f t="shared" si="50"/>
        <v>Virtual</v>
      </c>
      <c r="AJ188" s="9" t="str">
        <f t="shared" si="51"/>
        <v>Nocturno</v>
      </c>
      <c r="AK188" s="9" t="str">
        <f t="shared" si="52"/>
        <v>Redes sociales</v>
      </c>
    </row>
    <row r="189" spans="1:37">
      <c r="A189" t="str">
        <f t="shared" si="53"/>
        <v>SG188</v>
      </c>
      <c r="B189" t="s">
        <v>418</v>
      </c>
      <c r="C189" s="9" t="s">
        <v>427</v>
      </c>
      <c r="D189" t="str">
        <f t="shared" si="36"/>
        <v>Femenino</v>
      </c>
      <c r="E189" t="str">
        <f t="shared" si="37"/>
        <v>De 22 a 24 años</v>
      </c>
      <c r="F189">
        <f t="shared" si="38"/>
        <v>23</v>
      </c>
      <c r="G189" s="9" t="s">
        <v>428</v>
      </c>
      <c r="H189" s="9" t="str">
        <f t="shared" si="39"/>
        <v>Técnico</v>
      </c>
      <c r="I189" s="9" t="str">
        <f t="shared" si="40"/>
        <v>Actualmente no trabajo y estoy buscando empleo</v>
      </c>
      <c r="J189" s="13" t="str">
        <f>IF(I189="Trabajo actualmente como empleado",IF(MOD((COUNTIF($I$2:I189,"Trabajo actualmente como empleado")-1)*37,150)&lt;100,"Empleado con contrato","Empleado sin contrato formal"),IF(I189="Trabajo de manera independiente","Trabajo independiente",""))</f>
        <v/>
      </c>
      <c r="K189" s="9" t="str">
        <f>IF(OR(I189="Trabajo actualmente como empleado",I189="Trabajo de manera independiente"),CHOOSE(MOD(COUNTIF($I$2:I189,I189)-1,4)+1,"Menos de 3 meses","De 3 a 6 meses","De 7 a 12 meses","Más de un año"),"")</f>
        <v/>
      </c>
      <c r="L189" t="str">
        <f>IF(OR(I189="Trabajo actualmente como empleado",I189="Trabajo de manera independiente"),CHOOSE(MOD(COUNTIF($I$2:I189,I189)-1,3)+1,"Sí, completamente","Parcialmente","No"),"")</f>
        <v/>
      </c>
      <c r="M189" t="str">
        <f>IF(OR(I189="Trabajo actualmente como empleado",I189="Trabajo de manera independiente"),CHOOSE(MOD(INT((COUNTIF($I$2:I189,I189)-1)/3),4)+1,"1- Muy satisfecho/a","2- Satisfecho/a","3- Insatisfecho/a","4- Muy insatisfecho/a"),"")</f>
        <v/>
      </c>
      <c r="N189" t="str">
        <f>IF(OR(I189="Trabajo actualmente como empleado",I189="Trabajo de manera independiente"),_xlfn.LET(_xlpm.opcion,MOD(INT((COUNTIF($I$2:I189,I189)-1)/5),6)+1,CHOOSE(IF(AND(_xlpm.opcion=6,L189="Sí, completamente"),5,_xlpm.opcion),"Salario","Estabilidad laboral","Horario","Acceso a prestaciones","Oportunidades de crecimiento","Trabajar en un área relacionada con mi formación")),"")</f>
        <v/>
      </c>
      <c r="O189" s="9" t="str">
        <f>IF(OR(I189="Trabajo actualmente como empleado",I189="Trabajo de manera independiente"),_xlfn.LET(_xlpm.turno,MOD(COUNTIF($I$2:I189,I189)-1,5),_xlpm.nivel,VALUE(LEFT(M189,1)),IF(_xlpm.turno=4,"No estoy seguro/a",IF(_xlpm.turno&lt;IF(_xlpm.nivel&lt;=2,1,3),"Sí","No"))),"")</f>
        <v/>
      </c>
      <c r="P189" s="9" t="str">
        <f>_xlfn.LET(_xlpm.perfil,I189,_xlpm.turno,COUNTIF($I$2:I189,_xlpm.perfil)-1,_xlpm.busca,OR(_xlpm.perfil="Actualmente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trabajar"),IF(AND(_xlpm.trabaja,O189="No"),"Todavía no he iniciado una búsqueda activa",CHOOSE(MOD(_xlpm.turno*3,5)+1,"Menos de 1 mes","Entre 1 y 3 meses","Entre 4 y 6 meses","Más de 6 meses","Todavía no he iniciado una búsqueda activa")),"")))</f>
        <v>Menos de 1 mes</v>
      </c>
      <c r="Q189" t="str">
        <f>IF(I189="Tengo un emprendimiento o quiero iniciar uno","",CHOOSE(MOD(INT((COUNTIF($I$2:I189,I189)-1)/7),3)+1,"Sí","No","Tengo una pero necesito actualizarla"))</f>
        <v>No</v>
      </c>
      <c r="R189" s="9" t="str">
        <f>IF(I189="Tengo un emprendimiento o quiero iniciar uno","",IF(I189="Busco mi primer empleo","No",IF(MOD(COUNTIF($I$2:I189,I189)-1,2)=0,"Sí","No")))</f>
        <v>Sí</v>
      </c>
      <c r="S189" t="str">
        <f>IF(I189="Tengo un emprendimiento o quiero iniciar uno","",CHOOSE(MOD(INT((COUNTIF($I$2:I189,I189)-1)/3),10)+1,"Portales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89" t="str">
        <f>IF(I189="Tengo un emprendimiento o quiero iniciar uno","",_xlfn.LET(_xlpm.opcion,MOD(INT((COUNTIF($I$2:I189,I189)-1)/4),6)+1,CHOOSE(IF(AND(_xlpm.opcion=3,Q189="Sí"),1,_xlpm.opcion),"Falta de experiencia","Falta de formación","Dificultades con la hoja de vida","Horarios disponibles","Transporte","Internet")))</f>
        <v>Dificultades con la hoja de vida</v>
      </c>
      <c r="U189" s="9" t="str">
        <f>IF(I189="Tengo un emprendimiento o quiero iniciar uno","",IF(MOD(INT((COUNTIF($I$2:I189,I189)-1)/3),2)=0,"Sí","No"))</f>
        <v>Sí</v>
      </c>
      <c r="V189" s="9" t="str">
        <f>IF(I189="Tengo un emprendimiento o quiero iniciar uno",CHOOSE(MOD(COUNTIF($I$2:I189,I189)-1,3)+1,"Tengo un emprendimiento","Estoy iniciando un emprendimiento","Me interesa emprender"),"")</f>
        <v/>
      </c>
      <c r="W189" t="str">
        <f t="shared" si="41"/>
        <v/>
      </c>
      <c r="X189" s="9" t="str">
        <f>IF(I189="Tengo un emprendimiento o quiero iniciar uno",CHOOSE(MOD(COUNTIF($I$2:I189,I189)-1,5)+1,"Falta de financiación","Falta de conocimientos administrativos","Falta de conocimientos financieros","Falta de tiempo","Falta de herramientas"),"")</f>
        <v/>
      </c>
      <c r="Y189" s="9" t="str">
        <f t="shared" si="42"/>
        <v/>
      </c>
      <c r="Z189" t="str">
        <f>IF(I189="Tengo un emprendimiento o quiero iniciar uno",CHOOSE(INT(MOD((COUNTIF($I$2:I189,I189)-1)*7,39)/13)+1,"Sí","No","No conozco programas de ese tipo"),"")</f>
        <v/>
      </c>
      <c r="AA189" t="str">
        <f t="shared" si="43"/>
        <v>Puedo hacerlo con dificultad</v>
      </c>
      <c r="AB189" t="str">
        <f t="shared" si="43"/>
        <v>Puedo hacerlo con dificultad</v>
      </c>
      <c r="AC189" t="str">
        <f t="shared" si="44"/>
        <v>Puedo hacerlo con ayuda</v>
      </c>
      <c r="AD189" s="9" t="str">
        <f t="shared" si="45"/>
        <v>No puedo hacerlo</v>
      </c>
      <c r="AE189" t="str">
        <f t="shared" si="46"/>
        <v>Puedo hacerlo sin ayuda</v>
      </c>
      <c r="AF189" s="9" t="str">
        <f t="shared" si="47"/>
        <v>Crear una hoja de vida</v>
      </c>
      <c r="AG189" s="9" t="str">
        <f t="shared" si="48"/>
        <v>Horarios</v>
      </c>
      <c r="AH189" t="str">
        <f t="shared" si="49"/>
        <v>No conozco ninguno</v>
      </c>
      <c r="AI189" s="9" t="str">
        <f t="shared" si="50"/>
        <v>Presencial y virtual</v>
      </c>
      <c r="AJ189" s="9" t="str">
        <f t="shared" si="51"/>
        <v>Fines de semana</v>
      </c>
      <c r="AK189" s="9" t="str">
        <f t="shared" si="52"/>
        <v>Celular</v>
      </c>
    </row>
    <row r="190" spans="1:37">
      <c r="A190" t="str">
        <f t="shared" si="53"/>
        <v>SG189</v>
      </c>
      <c r="B190" t="s">
        <v>418</v>
      </c>
      <c r="C190" s="9" t="s">
        <v>427</v>
      </c>
      <c r="D190" t="str">
        <f t="shared" si="36"/>
        <v>Femenino</v>
      </c>
      <c r="E190" t="str">
        <f t="shared" si="37"/>
        <v>De 24 a 26 años</v>
      </c>
      <c r="F190">
        <f t="shared" si="38"/>
        <v>25</v>
      </c>
      <c r="G190" s="9" t="s">
        <v>428</v>
      </c>
      <c r="H190" s="9" t="str">
        <f t="shared" si="39"/>
        <v>Técnico</v>
      </c>
      <c r="I190" s="9" t="str">
        <f t="shared" si="40"/>
        <v>Estudio y quiero comenzar a trabajar</v>
      </c>
      <c r="J190" s="13" t="str">
        <f>IF(I190="Trabajo actualmente como empleado",IF(MOD((COUNTIF($I$2:I190,"Trabajo actualmente como empleado")-1)*37,150)&lt;100,"Empleado con contrato","Empleado sin contrato formal"),IF(I190="Trabajo de manera independiente","Trabajo independiente",""))</f>
        <v/>
      </c>
      <c r="K190" s="9" t="str">
        <f>IF(OR(I190="Trabajo actualmente como empleado",I190="Trabajo de manera independiente"),CHOOSE(MOD(COUNTIF($I$2:I190,I190)-1,4)+1,"Menos de 3 meses","De 3 a 6 meses","De 7 a 12 meses","Más de un año"),"")</f>
        <v/>
      </c>
      <c r="L190" t="str">
        <f>IF(OR(I190="Trabajo actualmente como empleado",I190="Trabajo de manera independiente"),CHOOSE(MOD(COUNTIF($I$2:I190,I190)-1,3)+1,"Sí, completamente","Parcialmente","No"),"")</f>
        <v/>
      </c>
      <c r="M190" t="str">
        <f>IF(OR(I190="Trabajo actualmente como empleado",I190="Trabajo de manera independiente"),CHOOSE(MOD(INT((COUNTIF($I$2:I190,I190)-1)/3),4)+1,"1- Muy satisfecho/a","2- Satisfecho/a","3- Insatisfecho/a","4- Muy insatisfecho/a"),"")</f>
        <v/>
      </c>
      <c r="N190" t="str">
        <f>IF(OR(I190="Trabajo actualmente como empleado",I190="Trabajo de manera independiente"),_xlfn.LET(_xlpm.opcion,MOD(INT((COUNTIF($I$2:I190,I190)-1)/5),6)+1,CHOOSE(IF(AND(_xlpm.opcion=6,L190="Sí, completamente"),5,_xlpm.opcion),"Salario","Estabilidad laboral","Horario","Acceso a prestaciones","Oportunidades de crecimiento","Trabajar en un área relacionada con mi formación")),"")</f>
        <v/>
      </c>
      <c r="O190" s="9" t="str">
        <f>IF(OR(I190="Trabajo actualmente como empleado",I190="Trabajo de manera independiente"),_xlfn.LET(_xlpm.turno,MOD(COUNTIF($I$2:I190,I190)-1,5),_xlpm.nivel,VALUE(LEFT(M190,1)),IF(_xlpm.turno=4,"No estoy seguro/a",IF(_xlpm.turno&lt;IF(_xlpm.nivel&lt;=2,1,3),"Sí","No"))),"")</f>
        <v/>
      </c>
      <c r="P190" s="9" t="str">
        <f>_xlfn.LET(_xlpm.perfil,I190,_xlpm.turno,COUNTIF($I$2:I190,_xlpm.perfil)-1,_xlpm.busca,OR(_xlpm.perfil="Actualmente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trabajar"),IF(AND(_xlpm.trabaja,O190="No"),"Todavía no he iniciado una búsqueda activa",CHOOSE(MOD(_xlpm.turno*3,5)+1,"Menos de 1 mes","Entre 1 y 3 meses","Entre 4 y 6 meses","Más de 6 meses","Todavía no he iniciado una búsqueda activa")),"")))</f>
        <v>Más de 6 meses</v>
      </c>
      <c r="Q190" t="str">
        <f>IF(I190="Tengo un emprendimiento o quiero iniciar uno","",CHOOSE(MOD(INT((COUNTIF($I$2:I190,I190)-1)/7),3)+1,"Sí","No","Tengo una pero necesito actualizarla"))</f>
        <v>Sí</v>
      </c>
      <c r="R190" s="9" t="str">
        <f>IF(I190="Tengo un emprendimiento o quiero iniciar uno","",IF(I190="Busco mi primer empleo","No",IF(MOD(COUNTIF($I$2:I190,I190)-1,2)=0,"Sí","No")))</f>
        <v>No</v>
      </c>
      <c r="S190" t="str">
        <f>IF(I190="Tengo un emprendimiento o quiero iniciar uno","",CHOOSE(MOD(INT((COUNTIF($I$2:I190,I190)-1)/3),10)+1,"Portales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190" t="str">
        <f>IF(I190="Tengo un emprendimiento o quiero iniciar uno","",_xlfn.LET(_xlpm.opcion,MOD(INT((COUNTIF($I$2:I190,I190)-1)/4),6)+1,CHOOSE(IF(AND(_xlpm.opcion=3,Q190="Sí"),1,_xlpm.opcion),"Falta de experiencia","Falta de formación","Dificultades con la hoja de vida","Horarios disponibles","Transporte","Internet")))</f>
        <v>Internet</v>
      </c>
      <c r="U190" s="9" t="str">
        <f>IF(I190="Tengo un emprendimiento o quiero iniciar uno","",IF(MOD(INT((COUNTIF($I$2:I190,I190)-1)/3),2)=0,"Sí","No"))</f>
        <v>No</v>
      </c>
      <c r="V190" s="9" t="str">
        <f>IF(I190="Tengo un emprendimiento o quiero iniciar uno",CHOOSE(MOD(COUNTIF($I$2:I190,I190)-1,3)+1,"Tengo un emprendimiento","Estoy iniciando un emprendimiento","Me interesa emprender"),"")</f>
        <v/>
      </c>
      <c r="W190" t="str">
        <f t="shared" si="41"/>
        <v/>
      </c>
      <c r="X190" s="9" t="str">
        <f>IF(I190="Tengo un emprendimiento o quiero iniciar uno",CHOOSE(MOD(COUNTIF($I$2:I190,I190)-1,5)+1,"Falta de financiación","Falta de conocimientos administrativos","Falta de conocimientos financieros","Falta de tiempo","Falta de herramientas"),"")</f>
        <v/>
      </c>
      <c r="Y190" s="9" t="str">
        <f t="shared" si="42"/>
        <v/>
      </c>
      <c r="Z190" t="str">
        <f>IF(I190="Tengo un emprendimiento o quiero iniciar uno",CHOOSE(INT(MOD((COUNTIF($I$2:I190,I190)-1)*7,39)/13)+1,"Sí","No","No conozco programas de ese tipo"),"")</f>
        <v/>
      </c>
      <c r="AA190" t="str">
        <f t="shared" si="43"/>
        <v>Puedo hacerlo sin ayuda</v>
      </c>
      <c r="AB190" t="str">
        <f t="shared" si="43"/>
        <v>Puedo hacerlo sin ayuda</v>
      </c>
      <c r="AC190" t="str">
        <f t="shared" si="44"/>
        <v>Puedo hacerlo sin ayuda</v>
      </c>
      <c r="AD190" s="9" t="str">
        <f t="shared" si="45"/>
        <v>No puedo hacerlo</v>
      </c>
      <c r="AE190" t="str">
        <f t="shared" si="46"/>
        <v>No puedo hacerlo</v>
      </c>
      <c r="AF190" s="9" t="str">
        <f t="shared" si="47"/>
        <v>Preparación para entrevista</v>
      </c>
      <c r="AG190" s="9" t="str">
        <f t="shared" si="48"/>
        <v>Horarios</v>
      </c>
      <c r="AH190" t="str">
        <f t="shared" si="49"/>
        <v>Oficina de orientación laboral</v>
      </c>
      <c r="AI190" s="9" t="str">
        <f t="shared" si="50"/>
        <v>Me es indiferente</v>
      </c>
      <c r="AJ190" s="9" t="str">
        <f t="shared" si="51"/>
        <v>Diurno</v>
      </c>
      <c r="AK190" s="9" t="str">
        <f t="shared" si="52"/>
        <v>Correo electrónico</v>
      </c>
    </row>
    <row r="191" spans="1:37">
      <c r="A191" t="str">
        <f t="shared" si="53"/>
        <v>SG190</v>
      </c>
      <c r="B191" t="s">
        <v>418</v>
      </c>
      <c r="C191" s="9" t="s">
        <v>427</v>
      </c>
      <c r="D191" t="str">
        <f t="shared" si="36"/>
        <v>Masculino</v>
      </c>
      <c r="E191" t="str">
        <f t="shared" si="37"/>
        <v>De 26 a 28 años</v>
      </c>
      <c r="F191">
        <f t="shared" si="38"/>
        <v>27</v>
      </c>
      <c r="G191" s="9" t="s">
        <v>428</v>
      </c>
      <c r="H191" s="9" t="str">
        <f t="shared" si="39"/>
        <v>Tecnólogo</v>
      </c>
      <c r="I191" s="9" t="str">
        <f t="shared" si="40"/>
        <v>Trabajo actualmente como empleado</v>
      </c>
      <c r="J191" s="13" t="str">
        <f>IF(I191="Trabajo actualmente como empleado",IF(MOD((COUNTIF($I$2:I191,"Trabajo actualmente como empleado")-1)*37,150)&lt;100,"Empleado con contrato","Empleado sin contrato formal"),IF(I191="Trabajo de manera independiente","Trabajo independiente",""))</f>
        <v>Empleado con contrato</v>
      </c>
      <c r="K191" s="9" t="str">
        <f>IF(OR(I191="Trabajo actualmente como empleado",I191="Trabajo de manera independiente"),CHOOSE(MOD(COUNTIF($I$2:I191,I191)-1,4)+1,"Menos de 3 meses","De 3 a 6 meses","De 7 a 12 meses","Más de un año"),"")</f>
        <v>De 3 a 6 meses</v>
      </c>
      <c r="L191" t="str">
        <f>IF(OR(I191="Trabajo actualmente como empleado",I191="Trabajo de manera independiente"),CHOOSE(MOD(COUNTIF($I$2:I191,I191)-1,3)+1,"Sí, completamente","Parcialmente","No"),"")</f>
        <v>Parcialmente</v>
      </c>
      <c r="M191" t="str">
        <f>IF(OR(I191="Trabajo actualmente como empleado",I191="Trabajo de manera independiente"),CHOOSE(MOD(INT((COUNTIF($I$2:I191,I191)-1)/3),4)+1,"1- Muy satisfecho/a","2- Satisfecho/a","3- Insatisfecho/a","4- Muy insatisfecho/a"),"")</f>
        <v>1- Muy satisfecho/a</v>
      </c>
      <c r="N191" t="str">
        <f>IF(OR(I191="Trabajo actualmente como empleado",I191="Trabajo de manera independiente"),_xlfn.LET(_xlpm.opcion,MOD(INT((COUNTIF($I$2:I191,I191)-1)/5),6)+1,CHOOSE(IF(AND(_xlpm.opcion=6,L191="Sí, completamente"),5,_xlpm.opcion),"Salario","Estabilidad laboral","Horario","Acceso a prestaciones","Oportunidades de crecimiento","Trabajar en un área relacionada con mi formación")),"")</f>
        <v>Salario</v>
      </c>
      <c r="O191" s="9" t="str">
        <f>IF(OR(I191="Trabajo actualmente como empleado",I191="Trabajo de manera independiente"),_xlfn.LET(_xlpm.turno,MOD(COUNTIF($I$2:I191,I191)-1,5),_xlpm.nivel,VALUE(LEFT(M191,1)),IF(_xlpm.turno=4,"No estoy seguro/a",IF(_xlpm.turno&lt;IF(_xlpm.nivel&lt;=2,1,3),"Sí","No"))),"")</f>
        <v>No</v>
      </c>
      <c r="P191" s="9" t="str">
        <f>_xlfn.LET(_xlpm.perfil,I191,_xlpm.turno,COUNTIF($I$2:I191,_xlpm.perfil)-1,_xlpm.busca,OR(_xlpm.perfil="Actualmente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91" t="str">
        <f>IF(I191="Tengo un emprendimiento o quiero iniciar uno","",CHOOSE(MOD(INT((COUNTIF($I$2:I191,I191)-1)/7),3)+1,"Sí","No","Tengo una pero necesito actualizarla"))</f>
        <v>Tengo una pero necesito actualizarla</v>
      </c>
      <c r="R191" s="9" t="str">
        <f>IF(I191="Tengo un emprendimiento o quiero iniciar uno","",IF(I191="Busco mi primer empleo","No",IF(MOD(COUNTIF($I$2:I191,I191)-1,2)=0,"Sí","No")))</f>
        <v>No</v>
      </c>
      <c r="S191" t="str">
        <f>IF(I191="Tengo un emprendimiento o quiero iniciar uno","",CHOOSE(MOD(INT((COUNTIF($I$2:I191,I191)-1)/3),10)+1,"Portales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91" t="str">
        <f>IF(I191="Tengo un emprendimiento o quiero iniciar uno","",_xlfn.LET(_xlpm.opcion,MOD(INT((COUNTIF($I$2:I191,I191)-1)/4),6)+1,CHOOSE(IF(AND(_xlpm.opcion=3,Q191="Sí"),1,_xlpm.opcion),"Falta de experiencia","Falta de formación","Dificultades con la hoja de vida","Horarios disponibles","Transporte","Internet")))</f>
        <v>Horarios disponibles</v>
      </c>
      <c r="U191" s="9" t="str">
        <f>IF(I191="Tengo un emprendimiento o quiero iniciar uno","",IF(MOD(INT((COUNTIF($I$2:I191,I191)-1)/3),2)=0,"Sí","No"))</f>
        <v>Sí</v>
      </c>
      <c r="V191" s="9" t="str">
        <f>IF(I191="Tengo un emprendimiento o quiero iniciar uno",CHOOSE(MOD(COUNTIF($I$2:I191,I191)-1,3)+1,"Tengo un emprendimiento","Estoy iniciando un emprendimiento","Me interesa emprender"),"")</f>
        <v/>
      </c>
      <c r="W191" t="str">
        <f t="shared" si="41"/>
        <v/>
      </c>
      <c r="X191" s="9" t="str">
        <f>IF(I191="Tengo un emprendimiento o quiero iniciar uno",CHOOSE(MOD(COUNTIF($I$2:I191,I191)-1,5)+1,"Falta de financiación","Falta de conocimientos administrativos","Falta de conocimientos financieros","Falta de tiempo","Falta de herramientas"),"")</f>
        <v/>
      </c>
      <c r="Y191" s="9" t="str">
        <f t="shared" si="42"/>
        <v/>
      </c>
      <c r="Z191" t="str">
        <f>IF(I191="Tengo un emprendimiento o quiero iniciar uno",CHOOSE(INT(MOD((COUNTIF($I$2:I191,I191)-1)*7,39)/13)+1,"Sí","No","No conozco programas de ese tipo"),"")</f>
        <v/>
      </c>
      <c r="AA191" t="str">
        <f t="shared" si="43"/>
        <v>Puedo hacerlo con ayuda</v>
      </c>
      <c r="AB191" t="str">
        <f t="shared" si="43"/>
        <v>Puedo hacerlo con ayuda</v>
      </c>
      <c r="AC191" t="str">
        <f t="shared" si="44"/>
        <v>No puedo hacerlo</v>
      </c>
      <c r="AD191" s="9" t="str">
        <f t="shared" si="45"/>
        <v>Puedo hacerlo con ayuda</v>
      </c>
      <c r="AE191" t="str">
        <f t="shared" si="46"/>
        <v>No puedo hacerlo</v>
      </c>
      <c r="AF191" s="9" t="str">
        <f t="shared" si="47"/>
        <v>Comunicación</v>
      </c>
      <c r="AG191" s="9" t="str">
        <f t="shared" si="48"/>
        <v>Costos de transporte</v>
      </c>
      <c r="AH191" t="str">
        <f t="shared" si="49"/>
        <v>Programas de emprendimiento</v>
      </c>
      <c r="AI191" s="9" t="str">
        <f t="shared" si="50"/>
        <v>Virtual</v>
      </c>
      <c r="AJ191" s="9" t="str">
        <f t="shared" si="51"/>
        <v>Mañana entre semana</v>
      </c>
      <c r="AK191" s="9" t="str">
        <f t="shared" si="52"/>
        <v>Redes sociales</v>
      </c>
    </row>
    <row r="192" spans="1:37">
      <c r="A192" t="str">
        <f t="shared" si="53"/>
        <v>SG191</v>
      </c>
      <c r="B192" t="s">
        <v>418</v>
      </c>
      <c r="C192" s="9" t="s">
        <v>427</v>
      </c>
      <c r="D192" t="str">
        <f t="shared" si="36"/>
        <v>Masculino</v>
      </c>
      <c r="E192" t="str">
        <f t="shared" si="37"/>
        <v>De 18 a 20 años</v>
      </c>
      <c r="F192">
        <f t="shared" si="38"/>
        <v>18</v>
      </c>
      <c r="G192" s="9" t="s">
        <v>428</v>
      </c>
      <c r="H192" s="9" t="str">
        <f t="shared" si="39"/>
        <v>Técnico</v>
      </c>
      <c r="I192" s="9" t="str">
        <f t="shared" si="40"/>
        <v>Actualmente no trabajo y estoy buscando empleo</v>
      </c>
      <c r="J192" s="13" t="str">
        <f>IF(I192="Trabajo actualmente como empleado",IF(MOD((COUNTIF($I$2:I192,"Trabajo actualmente como empleado")-1)*37,150)&lt;100,"Empleado con contrato","Empleado sin contrato formal"),IF(I192="Trabajo de manera independiente","Trabajo independiente",""))</f>
        <v/>
      </c>
      <c r="K192" s="9" t="str">
        <f>IF(OR(I192="Trabajo actualmente como empleado",I192="Trabajo de manera independiente"),CHOOSE(MOD(COUNTIF($I$2:I192,I192)-1,4)+1,"Menos de 3 meses","De 3 a 6 meses","De 7 a 12 meses","Más de un año"),"")</f>
        <v/>
      </c>
      <c r="L192" t="str">
        <f>IF(OR(I192="Trabajo actualmente como empleado",I192="Trabajo de manera independiente"),CHOOSE(MOD(COUNTIF($I$2:I192,I192)-1,3)+1,"Sí, completamente","Parcialmente","No"),"")</f>
        <v/>
      </c>
      <c r="M192" t="str">
        <f>IF(OR(I192="Trabajo actualmente como empleado",I192="Trabajo de manera independiente"),CHOOSE(MOD(INT((COUNTIF($I$2:I192,I192)-1)/3),4)+1,"1- Muy satisfecho/a","2- Satisfecho/a","3- Insatisfecho/a","4- Muy insatisfecho/a"),"")</f>
        <v/>
      </c>
      <c r="N192" t="str">
        <f>IF(OR(I192="Trabajo actualmente como empleado",I192="Trabajo de manera independiente"),_xlfn.LET(_xlpm.opcion,MOD(INT((COUNTIF($I$2:I192,I192)-1)/5),6)+1,CHOOSE(IF(AND(_xlpm.opcion=6,L192="Sí, completamente"),5,_xlpm.opcion),"Salario","Estabilidad laboral","Horario","Acceso a prestaciones","Oportunidades de crecimiento","Trabajar en un área relacionada con mi formación")),"")</f>
        <v/>
      </c>
      <c r="O192" s="9" t="str">
        <f>IF(OR(I192="Trabajo actualmente como empleado",I192="Trabajo de manera independiente"),_xlfn.LET(_xlpm.turno,MOD(COUNTIF($I$2:I192,I192)-1,5),_xlpm.nivel,VALUE(LEFT(M192,1)),IF(_xlpm.turno=4,"No estoy seguro/a",IF(_xlpm.turno&lt;IF(_xlpm.nivel&lt;=2,1,3),"Sí","No"))),"")</f>
        <v/>
      </c>
      <c r="P192" s="9" t="str">
        <f>_xlfn.LET(_xlpm.perfil,I192,_xlpm.turno,COUNTIF($I$2:I192,_xlpm.perfil)-1,_xlpm.busca,OR(_xlpm.perfil="Actualmente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trabajar"),IF(AND(_xlpm.trabaja,O192="No"),"Todavía no he iniciado una búsqueda activa",CHOOSE(MOD(_xlpm.turno*3,5)+1,"Menos de 1 mes","Entre 1 y 3 meses","Entre 4 y 6 meses","Más de 6 meses","Todavía no he iniciado una búsqueda activa")),"")))</f>
        <v>Más de 6 meses</v>
      </c>
      <c r="Q192" t="str">
        <f>IF(I192="Tengo un emprendimiento o quiero iniciar uno","",CHOOSE(MOD(INT((COUNTIF($I$2:I192,I192)-1)/7),3)+1,"Sí","No","Tengo una pero necesito actualizarla"))</f>
        <v>No</v>
      </c>
      <c r="R192" s="9" t="str">
        <f>IF(I192="Tengo un emprendimiento o quiero iniciar uno","",IF(I192="Busco mi primer empleo","No",IF(MOD(COUNTIF($I$2:I192,I192)-1,2)=0,"Sí","No")))</f>
        <v>No</v>
      </c>
      <c r="S192" t="str">
        <f>IF(I192="Tengo un emprendimiento o quiero iniciar uno","",CHOOSE(MOD(INT((COUNTIF($I$2:I192,I192)-1)/3),10)+1,"Portales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92" t="str">
        <f>IF(I192="Tengo un emprendimiento o quiero iniciar uno","",_xlfn.LET(_xlpm.opcion,MOD(INT((COUNTIF($I$2:I192,I192)-1)/4),6)+1,CHOOSE(IF(AND(_xlpm.opcion=3,Q192="Sí"),1,_xlpm.opcion),"Falta de experiencia","Falta de formación","Dificultades con la hoja de vida","Horarios disponibles","Transporte","Internet")))</f>
        <v>Dificultades con la hoja de vida</v>
      </c>
      <c r="U192" s="9" t="str">
        <f>IF(I192="Tengo un emprendimiento o quiero iniciar uno","",IF(MOD(INT((COUNTIF($I$2:I192,I192)-1)/3),2)=0,"Sí","No"))</f>
        <v>No</v>
      </c>
      <c r="V192" s="9" t="str">
        <f>IF(I192="Tengo un emprendimiento o quiero iniciar uno",CHOOSE(MOD(COUNTIF($I$2:I192,I192)-1,3)+1,"Tengo un emprendimiento","Estoy iniciando un emprendimiento","Me interesa emprender"),"")</f>
        <v/>
      </c>
      <c r="W192" t="str">
        <f t="shared" si="41"/>
        <v/>
      </c>
      <c r="X192" s="9" t="str">
        <f>IF(I192="Tengo un emprendimiento o quiero iniciar uno",CHOOSE(MOD(COUNTIF($I$2:I192,I192)-1,5)+1,"Falta de financiación","Falta de conocimientos administrativos","Falta de conocimientos financieros","Falta de tiempo","Falta de herramientas"),"")</f>
        <v/>
      </c>
      <c r="Y192" s="9" t="str">
        <f t="shared" si="42"/>
        <v/>
      </c>
      <c r="Z192" t="str">
        <f>IF(I192="Tengo un emprendimiento o quiero iniciar uno",CHOOSE(INT(MOD((COUNTIF($I$2:I192,I192)-1)*7,39)/13)+1,"Sí","No","No conozco programas de ese tipo"),"")</f>
        <v/>
      </c>
      <c r="AA192" t="str">
        <f t="shared" si="43"/>
        <v>Puedo hacerlo sin ayuda</v>
      </c>
      <c r="AB192" t="str">
        <f t="shared" si="43"/>
        <v>Puedo hacerlo sin ayuda</v>
      </c>
      <c r="AC192" t="str">
        <f t="shared" si="44"/>
        <v>Puedo hacerlo con ayuda</v>
      </c>
      <c r="AD192" s="9" t="str">
        <f t="shared" si="45"/>
        <v>Puedo hacerlo con dificultad</v>
      </c>
      <c r="AE192" t="str">
        <f t="shared" si="46"/>
        <v>Puedo hacerlo con ayuda</v>
      </c>
      <c r="AF192" s="9" t="str">
        <f t="shared" si="47"/>
        <v>Liderazgo</v>
      </c>
      <c r="AG192" s="9" t="str">
        <f t="shared" si="48"/>
        <v>Costos de transporte</v>
      </c>
      <c r="AH192" t="str">
        <f t="shared" si="49"/>
        <v>Oficina de orientación laboral</v>
      </c>
      <c r="AI192" s="9" t="str">
        <f t="shared" si="50"/>
        <v>Presencial y virtual</v>
      </c>
      <c r="AJ192" s="9" t="str">
        <f t="shared" si="51"/>
        <v>Fines de semana</v>
      </c>
      <c r="AK192" s="9" t="str">
        <f t="shared" si="52"/>
        <v>WhatsApp</v>
      </c>
    </row>
    <row r="193" spans="1:37">
      <c r="A193" t="str">
        <f t="shared" si="53"/>
        <v>SG192</v>
      </c>
      <c r="B193" t="s">
        <v>418</v>
      </c>
      <c r="C193" s="9" t="s">
        <v>427</v>
      </c>
      <c r="D193" t="str">
        <f t="shared" si="36"/>
        <v>Femenino</v>
      </c>
      <c r="E193" t="str">
        <f t="shared" si="37"/>
        <v>De 20 a 22 años</v>
      </c>
      <c r="F193">
        <f t="shared" si="38"/>
        <v>20</v>
      </c>
      <c r="G193" s="9" t="s">
        <v>428</v>
      </c>
      <c r="H193" s="9" t="str">
        <f t="shared" si="39"/>
        <v>Técnico</v>
      </c>
      <c r="I193" s="9" t="str">
        <f t="shared" si="40"/>
        <v>Tengo un emprendimiento o quiero iniciar uno</v>
      </c>
      <c r="J193" s="13" t="str">
        <f>IF(I193="Trabajo actualmente como empleado",IF(MOD((COUNTIF($I$2:I193,"Trabajo actualmente como empleado")-1)*37,150)&lt;100,"Empleado con contrato","Empleado sin contrato formal"),IF(I193="Trabajo de manera independiente","Trabajo independiente",""))</f>
        <v/>
      </c>
      <c r="K193" s="9" t="str">
        <f>IF(OR(I193="Trabajo actualmente como empleado",I193="Trabajo de manera independiente"),CHOOSE(MOD(COUNTIF($I$2:I193,I193)-1,4)+1,"Menos de 3 meses","De 3 a 6 meses","De 7 a 12 meses","Más de un año"),"")</f>
        <v/>
      </c>
      <c r="L193" t="str">
        <f>IF(OR(I193="Trabajo actualmente como empleado",I193="Trabajo de manera independiente"),CHOOSE(MOD(COUNTIF($I$2:I193,I193)-1,3)+1,"Sí, completamente","Parcialmente","No"),"")</f>
        <v/>
      </c>
      <c r="M193" t="str">
        <f>IF(OR(I193="Trabajo actualmente como empleado",I193="Trabajo de manera independiente"),CHOOSE(MOD(INT((COUNTIF($I$2:I193,I193)-1)/3),4)+1,"1- Muy satisfecho/a","2- Satisfecho/a","3- Insatisfecho/a","4- Muy insatisfecho/a"),"")</f>
        <v/>
      </c>
      <c r="N193" t="str">
        <f>IF(OR(I193="Trabajo actualmente como empleado",I193="Trabajo de manera independiente"),_xlfn.LET(_xlpm.opcion,MOD(INT((COUNTIF($I$2:I193,I193)-1)/5),6)+1,CHOOSE(IF(AND(_xlpm.opcion=6,L193="Sí, completamente"),5,_xlpm.opcion),"Salario","Estabilidad laboral","Horario","Acceso a prestaciones","Oportunidades de crecimiento","Trabajar en un área relacionada con mi formación")),"")</f>
        <v/>
      </c>
      <c r="O193" s="9" t="str">
        <f>IF(OR(I193="Trabajo actualmente como empleado",I193="Trabajo de manera independiente"),_xlfn.LET(_xlpm.turno,MOD(COUNTIF($I$2:I193,I193)-1,5),_xlpm.nivel,VALUE(LEFT(M193,1)),IF(_xlpm.turno=4,"No estoy seguro/a",IF(_xlpm.turno&lt;IF(_xlpm.nivel&lt;=2,1,3),"Sí","No"))),"")</f>
        <v/>
      </c>
      <c r="P193" s="9" t="str">
        <f>_xlfn.LET(_xlpm.perfil,I193,_xlpm.turno,COUNTIF($I$2:I193,_xlpm.perfil)-1,_xlpm.busca,OR(_xlpm.perfil="Actualmente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trabajar"),IF(AND(_xlpm.trabaja,O193="No"),"Todavía no he iniciado una búsqueda activa",CHOOSE(MOD(_xlpm.turno*3,5)+1,"Menos de 1 mes","Entre 1 y 3 meses","Entre 4 y 6 meses","Más de 6 meses","Todavía no he iniciado una búsqueda activa")),"")))</f>
        <v/>
      </c>
      <c r="Q193" t="str">
        <f>IF(I193="Tengo un emprendimiento o quiero iniciar uno","",CHOOSE(MOD(INT((COUNTIF($I$2:I193,I193)-1)/7),3)+1,"Sí","No","Tengo una pero necesito actualizarla"))</f>
        <v/>
      </c>
      <c r="R193" s="9" t="str">
        <f>IF(I193="Tengo un emprendimiento o quiero iniciar uno","",IF(I193="Busco mi primer empleo","No",IF(MOD(COUNTIF($I$2:I193,I193)-1,2)=0,"Sí","No")))</f>
        <v/>
      </c>
      <c r="S193" t="str">
        <f>IF(I193="Tengo un emprendimiento o quiero iniciar uno","",CHOOSE(MOD(INT((COUNTIF($I$2:I193,I193)-1)/3),10)+1,"Portales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193" t="str">
        <f>IF(I193="Tengo un emprendimiento o quiero iniciar uno","",_xlfn.LET(_xlpm.opcion,MOD(INT((COUNTIF($I$2:I193,I193)-1)/4),6)+1,CHOOSE(IF(AND(_xlpm.opcion=3,Q193="Sí"),1,_xlpm.opcion),"Falta de experiencia","Falta de formación","Dificultades con la hoja de vida","Horarios disponibles","Transporte","Internet")))</f>
        <v/>
      </c>
      <c r="U193" s="9" t="str">
        <f>IF(I193="Tengo un emprendimiento o quiero iniciar uno","",IF(MOD(INT((COUNTIF($I$2:I193,I193)-1)/3),2)=0,"Sí","No"))</f>
        <v/>
      </c>
      <c r="V193" s="9" t="str">
        <f>IF(I193="Tengo un emprendimiento o quiero iniciar uno",CHOOSE(MOD(COUNTIF($I$2:I193,I193)-1,3)+1,"Tengo un emprendimiento","Estoy iniciando un emprendimiento","Me interesa emprender"),"")</f>
        <v>Tengo un emprendimiento</v>
      </c>
      <c r="W193" t="str">
        <f t="shared" si="41"/>
        <v>Funcionamiento estable</v>
      </c>
      <c r="X193" s="9" t="str">
        <f>IF(I193="Tengo un emprendimiento o quiero iniciar uno",CHOOSE(MOD(COUNTIF($I$2:I193,I193)-1,5)+1,"Falta de financiación","Falta de conocimientos administrativos","Falta de conocimientos financieros","Falta de tiempo","Falta de herramientas"),"")</f>
        <v>Falta de financiación</v>
      </c>
      <c r="Y193" s="9" t="str">
        <f t="shared" si="42"/>
        <v>Falta de financiación</v>
      </c>
      <c r="Z193" t="str">
        <f>IF(I193="Tengo un emprendimiento o quiero iniciar uno",CHOOSE(INT(MOD((COUNTIF($I$2:I193,I193)-1)*7,39)/13)+1,"Sí","No","No conozco programas de ese tipo"),"")</f>
        <v>No conozco programas de ese tipo</v>
      </c>
      <c r="AA193" t="str">
        <f t="shared" si="43"/>
        <v>No puedo hacerlo</v>
      </c>
      <c r="AB193" t="str">
        <f t="shared" si="43"/>
        <v>No puedo hacerlo</v>
      </c>
      <c r="AC193" t="str">
        <f t="shared" si="44"/>
        <v>Puedo hacerlo sin ayuda</v>
      </c>
      <c r="AD193" s="9" t="str">
        <f t="shared" si="45"/>
        <v>Puedo hacerlo sin ayuda</v>
      </c>
      <c r="AE193" t="str">
        <f t="shared" si="46"/>
        <v>Puedo hacerlo con ayuda</v>
      </c>
      <c r="AF193" s="9" t="str">
        <f t="shared" si="47"/>
        <v>Emprendimiento</v>
      </c>
      <c r="AG193" s="9" t="str">
        <f t="shared" si="48"/>
        <v>Costos de transporte</v>
      </c>
      <c r="AH193" t="str">
        <f t="shared" si="49"/>
        <v>Ferias de empleo</v>
      </c>
      <c r="AI193" s="9" t="str">
        <f t="shared" si="50"/>
        <v>Me es indiferente</v>
      </c>
      <c r="AJ193" s="9" t="str">
        <f t="shared" si="51"/>
        <v>Diurno</v>
      </c>
      <c r="AK193" s="9" t="str">
        <f t="shared" si="52"/>
        <v>Correo electrónico</v>
      </c>
    </row>
    <row r="194" spans="1:37">
      <c r="A194" t="str">
        <f t="shared" si="53"/>
        <v>SG193</v>
      </c>
      <c r="B194" t="s">
        <v>418</v>
      </c>
      <c r="C194" s="9" t="s">
        <v>427</v>
      </c>
      <c r="D194" t="str">
        <f t="shared" ref="D194:D257" si="54">IF(MOD((ROW()-2)*137,479)&lt;230,"Masculino",IF(MOD((ROW()-2)*137,479)&lt;460,"Femenino",IF(MOD((ROW()-2)*137,479)&lt;470,"Otro","No quiero responder")))</f>
        <v>Femenino</v>
      </c>
      <c r="E194" t="str">
        <f t="shared" ref="E194:E257" si="55">CHOOSE(MOD(ROW()-2,5)+1,"De 18 a 20 años","De 20 a 22 años","De 22 a 24 años","De 24 a 26 años","De 26 a 28 años")</f>
        <v>De 22 a 24 años</v>
      </c>
      <c r="F194">
        <f t="shared" ref="F194:F257" si="56">CHOOSE(MOD(ROW()-2,5)+1,18,20,22,24,26)+MOD(INT((ROW()-2)/5),IF(MOD(ROW()-2,5)=4,3,2))</f>
        <v>22</v>
      </c>
      <c r="G194" s="9" t="s">
        <v>428</v>
      </c>
      <c r="H194" s="9" t="str">
        <f t="shared" ref="H194:H257" si="57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Tecnólogo</v>
      </c>
      <c r="I194" s="9" t="str">
        <f t="shared" ref="I194:I257" si="58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Trabajo de manera independiente</v>
      </c>
      <c r="J194" s="13" t="str">
        <f>IF(I194="Trabajo actualmente como empleado",IF(MOD((COUNTIF($I$2:I194,"Trabajo actualmente como empleado")-1)*37,150)&lt;100,"Empleado con contrato","Empleado sin contrato formal"),IF(I194="Trabajo de manera independiente","Trabajo independiente",""))</f>
        <v>Trabajo independiente</v>
      </c>
      <c r="K194" s="9" t="str">
        <f>IF(OR(I194="Trabajo actualmente como empleado",I194="Trabajo de manera independiente"),CHOOSE(MOD(COUNTIF($I$2:I194,I194)-1,4)+1,"Menos de 3 meses","De 3 a 6 meses","De 7 a 12 meses","Más de un año"),"")</f>
        <v>Menos de 3 meses</v>
      </c>
      <c r="L194" t="str">
        <f>IF(OR(I194="Trabajo actualmente como empleado",I194="Trabajo de manera independiente"),CHOOSE(MOD(COUNTIF($I$2:I194,I194)-1,3)+1,"Sí, completamente","Parcialmente","No"),"")</f>
        <v>No</v>
      </c>
      <c r="M194" t="str">
        <f>IF(OR(I194="Trabajo actualmente como empleado",I194="Trabajo de manera independiente"),CHOOSE(MOD(INT((COUNTIF($I$2:I194,I194)-1)/3),4)+1,"1- Muy satisfecho/a","2- Satisfecho/a","3- Insatisfecho/a","4- Muy insatisfecho/a"),"")</f>
        <v>3- Insatisfecho/a</v>
      </c>
      <c r="N194" t="str">
        <f>IF(OR(I194="Trabajo actualmente como empleado",I194="Trabajo de manera independiente"),_xlfn.LET(_xlpm.opcion,MOD(INT((COUNTIF($I$2:I194,I194)-1)/5),6)+1,CHOOSE(IF(AND(_xlpm.opcion=6,L194="Sí, completamente"),5,_xlpm.opcion),"Salario","Estabilidad laboral","Horario","Acceso a prestaciones","Oportunidades de crecimiento","Trabajar en un área relacionada con mi formación")),"")</f>
        <v>Salario</v>
      </c>
      <c r="O194" s="9" t="str">
        <f>IF(OR(I194="Trabajo actualmente como empleado",I194="Trabajo de manera independiente"),_xlfn.LET(_xlpm.turno,MOD(COUNTIF($I$2:I194,I194)-1,5),_xlpm.nivel,VALUE(LEFT(M194,1)),IF(_xlpm.turno=4,"No estoy seguro/a",IF(_xlpm.turno&lt;IF(_xlpm.nivel&lt;=2,1,3),"Sí","No"))),"")</f>
        <v>Sí</v>
      </c>
      <c r="P194" s="9" t="str">
        <f>_xlfn.LET(_xlpm.perfil,I194,_xlpm.turno,COUNTIF($I$2:I194,_xlpm.perfil)-1,_xlpm.busca,OR(_xlpm.perfil="Actualmente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trabajar"),IF(AND(_xlpm.trabaja,O194="No"),"Todavía no he iniciado una búsqueda activa",CHOOSE(MOD(_xlpm.turno*3,5)+1,"Menos de 1 mes","Entre 1 y 3 meses","Entre 4 y 6 meses","Más de 6 meses","Todavía no he iniciado una búsqueda activa")),"")))</f>
        <v>Entre 1 y 3 meses</v>
      </c>
      <c r="Q194" t="str">
        <f>IF(I194="Tengo un emprendimiento o quiero iniciar uno","",CHOOSE(MOD(INT((COUNTIF($I$2:I194,I194)-1)/7),3)+1,"Sí","No","Tengo una pero necesito actualizarla"))</f>
        <v>No</v>
      </c>
      <c r="R194" s="9" t="str">
        <f>IF(I194="Tengo un emprendimiento o quiero iniciar uno","",IF(I194="Busco mi primer empleo","No",IF(MOD(COUNTIF($I$2:I194,I194)-1,2)=0,"Sí","No")))</f>
        <v>Sí</v>
      </c>
      <c r="S194" t="str">
        <f>IF(I194="Tengo un emprendimiento o quiero iniciar uno","",CHOOSE(MOD(INT((COUNTIF($I$2:I194,I194)-1)/3),10)+1,"Portales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94" t="str">
        <f>IF(I194="Tengo un emprendimiento o quiero iniciar uno","",_xlfn.LET(_xlpm.opcion,MOD(INT((COUNTIF($I$2:I194,I194)-1)/4),6)+1,CHOOSE(IF(AND(_xlpm.opcion=3,Q194="Sí"),1,_xlpm.opcion),"Falta de experiencia","Falta de formación","Dificultades con la hoja de vida","Horarios disponibles","Transporte","Internet")))</f>
        <v>Dificultades con la hoja de vida</v>
      </c>
      <c r="U194" s="9" t="str">
        <f>IF(I194="Tengo un emprendimiento o quiero iniciar uno","",IF(MOD(INT((COUNTIF($I$2:I194,I194)-1)/3),2)=0,"Sí","No"))</f>
        <v>Sí</v>
      </c>
      <c r="V194" s="9" t="str">
        <f>IF(I194="Tengo un emprendimiento o quiero iniciar uno",CHOOSE(MOD(COUNTIF($I$2:I194,I194)-1,3)+1,"Tengo un emprendimiento","Estoy iniciando un emprendimiento","Me interesa emprender"),"")</f>
        <v/>
      </c>
      <c r="W194" t="str">
        <f t="shared" ref="W194:W257" si="59">IF(V194="Tengo un emprendimiento","Funcionamiento estable",IF(V194="Estoy iniciando un emprendimiento","Inicio",""))</f>
        <v/>
      </c>
      <c r="X194" s="9" t="str">
        <f>IF(I194="Tengo un emprendimiento o quiero iniciar uno",CHOOSE(MOD(COUNTIF($I$2:I194,I194)-1,5)+1,"Falta de financiación","Falta de conocimientos administrativos","Falta de conocimientos financieros","Falta de tiempo","Falta de herramientas"),"")</f>
        <v/>
      </c>
      <c r="Y194" s="9" t="str">
        <f t="shared" ref="Y194:Y257" si="60">IF(I194="Tengo un emprendimiento o quiero iniciar uno",X194,"")</f>
        <v/>
      </c>
      <c r="Z194" t="str">
        <f>IF(I194="Tengo un emprendimiento o quiero iniciar uno",CHOOSE(INT(MOD((COUNTIF($I$2:I194,I194)-1)*7,39)/13)+1,"Sí","No","No conozco programas de ese tipo"),"")</f>
        <v/>
      </c>
      <c r="AA194" t="str">
        <f t="shared" ref="AA194:AB257" si="61">CHOOSE(INT(MOD((ROW()-2)*191,479)/120)+1,"No puedo hacerlo","Puedo hacerlo con ayuda","Puedo hacerlo con dificultad","Puedo hacerlo sin ayuda")</f>
        <v>Puedo hacerlo con dificultad</v>
      </c>
      <c r="AB194" t="str">
        <f t="shared" si="61"/>
        <v>Puedo hacerlo con dificultad</v>
      </c>
      <c r="AC194" t="str">
        <f t="shared" ref="AC194:AC257" si="62">CHOOSE(INT(MOD((ROW()-2)*157+83,479)/120)+1,"No puedo hacerlo","Puedo hacerlo con ayuda","Puedo hacerlo con dificultad","Puedo hacerlo sin ayuda")</f>
        <v>No puedo hacerlo</v>
      </c>
      <c r="AD194" s="9" t="str">
        <f t="shared" ref="AD194:AD257" si="63">CHOOSE(INT(MOD((ROW()-2)*89+131,479)/120)+1,"No puedo hacerlo","Puedo hacerlo con ayuda","Puedo hacerlo con dificultad","Puedo hacerlo sin ayuda")</f>
        <v>Puedo hacerlo sin ayuda</v>
      </c>
      <c r="AE194" t="str">
        <f t="shared" ref="AE194:AE257" si="64">CHOOSE(INT(MOD((ROW()-2)*73+179,479)/120)+1,"No puedo hacerlo","Puedo hacerlo con ayuda","Puedo hacerlo con dificultad","Puedo hacerlo sin ayuda")</f>
        <v>Puedo hacerlo con dificultad</v>
      </c>
      <c r="AF194" s="9" t="str">
        <f t="shared" ref="AF194:AF257" si="65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Herramientas digitales</v>
      </c>
      <c r="AG194" s="9" t="str">
        <f t="shared" ref="AG194:AG257" si="66">CHOOSE(MOD(INT((ROW()-2)/3)*7,9)+1,"Costos de transporte","Distancia","Horarios","Falta de experiencia","Falta de información","Ninguna","Costos de transporte;Distancia","Horarios;Falta de información","Falta de experiencia;Falta de información")</f>
        <v>Horarios;Falta de información</v>
      </c>
      <c r="AH194" t="str">
        <f t="shared" ref="AH194:AH257" si="67">CHOOSE(INT(MOD((ROW()-2)*199+59,479)/120)+1,"Oficina de orientación laboral","Ferias de empleo","Programas de emprendimiento","No conozco ninguno")</f>
        <v>No conozco ninguno</v>
      </c>
      <c r="AI194" s="9" t="str">
        <f t="shared" ref="AI194:AI257" si="68">CHOOSE(INT(MOD((ROW()-2)*127+71,479)/120)+1,"Presencial","Virtual","Presencial y virtual","Me es indiferente")</f>
        <v>Presencial</v>
      </c>
      <c r="AJ194" s="9" t="str">
        <f t="shared" ref="AJ194:AJ257" si="69">CHOOSE(INT(MOD((ROW()-2)*163+97,479)/120)+1,"Diurno","Nocturno","Mañana entre semana","Fines de semana")</f>
        <v>Mañana entre semana</v>
      </c>
      <c r="AK194" s="9" t="str">
        <f t="shared" ref="AK194:AK257" si="70">CHOOSE(INT(MOD((ROW()-2)*181+109,479)/120)+1,"WhatsApp","Correo electrónico","Redes sociales","Celular")</f>
        <v>Celular</v>
      </c>
    </row>
    <row r="195" spans="1:37">
      <c r="A195" t="str">
        <f t="shared" ref="A195:A258" si="71">"SG"&amp;TEXT(ROW()-1,"000")</f>
        <v>SG194</v>
      </c>
      <c r="B195" t="s">
        <v>418</v>
      </c>
      <c r="C195" s="9" t="s">
        <v>427</v>
      </c>
      <c r="D195" t="str">
        <f t="shared" si="54"/>
        <v>Masculino</v>
      </c>
      <c r="E195" t="str">
        <f t="shared" si="55"/>
        <v>De 24 a 26 años</v>
      </c>
      <c r="F195">
        <f t="shared" si="56"/>
        <v>24</v>
      </c>
      <c r="G195" s="9" t="s">
        <v>428</v>
      </c>
      <c r="H195" s="9" t="str">
        <f t="shared" si="57"/>
        <v>Profesional</v>
      </c>
      <c r="I195" s="9" t="str">
        <f t="shared" si="58"/>
        <v>Busco mi primer empleo</v>
      </c>
      <c r="J195" s="13" t="str">
        <f>IF(I195="Trabajo actualmente como empleado",IF(MOD((COUNTIF($I$2:I195,"Trabajo actualmente como empleado")-1)*37,150)&lt;100,"Empleado con contrato","Empleado sin contrato formal"),IF(I195="Trabajo de manera independiente","Trabajo independiente",""))</f>
        <v/>
      </c>
      <c r="K195" s="9" t="str">
        <f>IF(OR(I195="Trabajo actualmente como empleado",I195="Trabajo de manera independiente"),CHOOSE(MOD(COUNTIF($I$2:I195,I195)-1,4)+1,"Menos de 3 meses","De 3 a 6 meses","De 7 a 12 meses","Más de un año"),"")</f>
        <v/>
      </c>
      <c r="L195" t="str">
        <f>IF(OR(I195="Trabajo actualmente como empleado",I195="Trabajo de manera independiente"),CHOOSE(MOD(COUNTIF($I$2:I195,I195)-1,3)+1,"Sí, completamente","Parcialmente","No"),"")</f>
        <v/>
      </c>
      <c r="M195" t="str">
        <f>IF(OR(I195="Trabajo actualmente como empleado",I195="Trabajo de manera independiente"),CHOOSE(MOD(INT((COUNTIF($I$2:I195,I195)-1)/3),4)+1,"1- Muy satisfecho/a","2- Satisfecho/a","3- Insatisfecho/a","4- Muy insatisfecho/a"),"")</f>
        <v/>
      </c>
      <c r="N195" t="str">
        <f>IF(OR(I195="Trabajo actualmente como empleado",I195="Trabajo de manera independiente"),_xlfn.LET(_xlpm.opcion,MOD(INT((COUNTIF($I$2:I195,I195)-1)/5),6)+1,CHOOSE(IF(AND(_xlpm.opcion=6,L195="Sí, completamente"),5,_xlpm.opcion),"Salario","Estabilidad laboral","Horario","Acceso a prestaciones","Oportunidades de crecimiento","Trabajar en un área relacionada con mi formación")),"")</f>
        <v/>
      </c>
      <c r="O195" s="9" t="str">
        <f>IF(OR(I195="Trabajo actualmente como empleado",I195="Trabajo de manera independiente"),_xlfn.LET(_xlpm.turno,MOD(COUNTIF($I$2:I195,I195)-1,5),_xlpm.nivel,VALUE(LEFT(M195,1)),IF(_xlpm.turno=4,"No estoy seguro/a",IF(_xlpm.turno&lt;IF(_xlpm.nivel&lt;=2,1,3),"Sí","No"))),"")</f>
        <v/>
      </c>
      <c r="P195" s="9" t="str">
        <f>_xlfn.LET(_xlpm.perfil,I195,_xlpm.turno,COUNTIF($I$2:I195,_xlpm.perfil)-1,_xlpm.busca,OR(_xlpm.perfil="Actualmente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trabajar"),IF(AND(_xlpm.trabaja,O195="No"),"Todavía no he iniciado una búsqueda activa",CHOOSE(MOD(_xlpm.turno*3,5)+1,"Menos de 1 mes","Entre 1 y 3 meses","Entre 4 y 6 meses","Más de 6 meses","Todavía no he iniciado una búsqueda activa")),"")))</f>
        <v>Entre 4 y 6 meses</v>
      </c>
      <c r="Q195" t="str">
        <f>IF(I195="Tengo un emprendimiento o quiero iniciar uno","",CHOOSE(MOD(INT((COUNTIF($I$2:I195,I195)-1)/7),3)+1,"Sí","No","Tengo una pero necesito actualizarla"))</f>
        <v>Sí</v>
      </c>
      <c r="R195" s="9" t="str">
        <f>IF(I195="Tengo un emprendimiento o quiero iniciar uno","",IF(I195="Busco mi primer empleo","No",IF(MOD(COUNTIF($I$2:I195,I195)-1,2)=0,"Sí","No")))</f>
        <v>No</v>
      </c>
      <c r="S195" t="str">
        <f>IF(I195="Tengo un emprendimiento o quiero iniciar uno","",CHOOSE(MOD(INT((COUNTIF($I$2:I195,I195)-1)/3),10)+1,"Portales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195" t="str">
        <f>IF(I195="Tengo un emprendimiento o quiero iniciar uno","",_xlfn.LET(_xlpm.opcion,MOD(INT((COUNTIF($I$2:I195,I195)-1)/4),6)+1,CHOOSE(IF(AND(_xlpm.opcion=3,Q195="Sí"),1,_xlpm.opcion),"Falta de experiencia","Falta de formación","Dificultades con la hoja de vida","Horarios disponibles","Transporte","Internet")))</f>
        <v>Falta de experiencia</v>
      </c>
      <c r="U195" s="9" t="str">
        <f>IF(I195="Tengo un emprendimiento o quiero iniciar uno","",IF(MOD(INT((COUNTIF($I$2:I195,I195)-1)/3),2)=0,"Sí","No"))</f>
        <v>Sí</v>
      </c>
      <c r="V195" s="9" t="str">
        <f>IF(I195="Tengo un emprendimiento o quiero iniciar uno",CHOOSE(MOD(COUNTIF($I$2:I195,I195)-1,3)+1,"Tengo un emprendimiento","Estoy iniciando un emprendimiento","Me interesa emprender"),"")</f>
        <v/>
      </c>
      <c r="W195" t="str">
        <f t="shared" si="59"/>
        <v/>
      </c>
      <c r="X195" s="9" t="str">
        <f>IF(I195="Tengo un emprendimiento o quiero iniciar uno",CHOOSE(MOD(COUNTIF($I$2:I195,I195)-1,5)+1,"Falta de financiación","Falta de conocimientos administrativos","Falta de conocimientos financieros","Falta de tiempo","Falta de herramientas"),"")</f>
        <v/>
      </c>
      <c r="Y195" s="9" t="str">
        <f t="shared" si="60"/>
        <v/>
      </c>
      <c r="Z195" t="str">
        <f>IF(I195="Tengo un emprendimiento o quiero iniciar uno",CHOOSE(INT(MOD((COUNTIF($I$2:I195,I195)-1)*7,39)/13)+1,"Sí","No","No conozco programas de ese tipo"),"")</f>
        <v/>
      </c>
      <c r="AA195" t="str">
        <f t="shared" si="61"/>
        <v>Puedo hacerlo sin ayuda</v>
      </c>
      <c r="AB195" t="str">
        <f t="shared" si="61"/>
        <v>Puedo hacerlo sin ayuda</v>
      </c>
      <c r="AC195" t="str">
        <f t="shared" si="62"/>
        <v>Puedo hacerlo con ayuda</v>
      </c>
      <c r="AD195" s="9" t="str">
        <f t="shared" si="63"/>
        <v>No puedo hacerlo</v>
      </c>
      <c r="AE195" t="str">
        <f t="shared" si="64"/>
        <v>Puedo hacerlo sin ayuda</v>
      </c>
      <c r="AF195" s="9" t="str">
        <f t="shared" si="65"/>
        <v>Educación financiera</v>
      </c>
      <c r="AG195" s="9" t="str">
        <f t="shared" si="66"/>
        <v>Horarios;Falta de información</v>
      </c>
      <c r="AH195" t="str">
        <f t="shared" si="67"/>
        <v>Ferias de empleo</v>
      </c>
      <c r="AI195" s="9" t="str">
        <f t="shared" si="68"/>
        <v>Virtual</v>
      </c>
      <c r="AJ195" s="9" t="str">
        <f t="shared" si="69"/>
        <v>Fines de semana</v>
      </c>
      <c r="AK195" s="9" t="str">
        <f t="shared" si="70"/>
        <v>WhatsApp</v>
      </c>
    </row>
    <row r="196" spans="1:37">
      <c r="A196" t="str">
        <f t="shared" si="71"/>
        <v>SG195</v>
      </c>
      <c r="B196" t="s">
        <v>418</v>
      </c>
      <c r="C196" s="9" t="s">
        <v>427</v>
      </c>
      <c r="D196" t="str">
        <f t="shared" si="54"/>
        <v>Femenino</v>
      </c>
      <c r="E196" t="str">
        <f t="shared" si="55"/>
        <v>De 26 a 28 años</v>
      </c>
      <c r="F196">
        <f t="shared" si="56"/>
        <v>28</v>
      </c>
      <c r="G196" s="9" t="s">
        <v>428</v>
      </c>
      <c r="H196" s="9" t="str">
        <f t="shared" si="57"/>
        <v>Profesional</v>
      </c>
      <c r="I196" s="9" t="str">
        <f t="shared" si="58"/>
        <v>Trabajo actualmente como empleado</v>
      </c>
      <c r="J196" s="13" t="str">
        <f>IF(I196="Trabajo actualmente como empleado",IF(MOD((COUNTIF($I$2:I196,"Trabajo actualmente como empleado")-1)*37,150)&lt;100,"Empleado con contrato","Empleado sin contrato formal"),IF(I196="Trabajo de manera independiente","Trabajo independiente",""))</f>
        <v>Empleado con contrato</v>
      </c>
      <c r="K196" s="9" t="str">
        <f>IF(OR(I196="Trabajo actualmente como empleado",I196="Trabajo de manera independiente"),CHOOSE(MOD(COUNTIF($I$2:I196,I196)-1,4)+1,"Menos de 3 meses","De 3 a 6 meses","De 7 a 12 meses","Más de un año"),"")</f>
        <v>De 7 a 12 meses</v>
      </c>
      <c r="L196" t="str">
        <f>IF(OR(I196="Trabajo actualmente como empleado",I196="Trabajo de manera independiente"),CHOOSE(MOD(COUNTIF($I$2:I196,I196)-1,3)+1,"Sí, completamente","Parcialmente","No"),"")</f>
        <v>No</v>
      </c>
      <c r="M196" t="str">
        <f>IF(OR(I196="Trabajo actualmente como empleado",I196="Trabajo de manera independiente"),CHOOSE(MOD(INT((COUNTIF($I$2:I196,I196)-1)/3),4)+1,"1- Muy satisfecho/a","2- Satisfecho/a","3- Insatisfecho/a","4- Muy insatisfecho/a"),"")</f>
        <v>1- Muy satisfecho/a</v>
      </c>
      <c r="N196" t="str">
        <f>IF(OR(I196="Trabajo actualmente como empleado",I196="Trabajo de manera independiente"),_xlfn.LET(_xlpm.opcion,MOD(INT((COUNTIF($I$2:I196,I196)-1)/5),6)+1,CHOOSE(IF(AND(_xlpm.opcion=6,L196="Sí, completamente"),5,_xlpm.opcion),"Salario","Estabilidad laboral","Horario","Acceso a prestaciones","Oportunidades de crecimiento","Trabajar en un área relacionada con mi formación")),"")</f>
        <v>Salario</v>
      </c>
      <c r="O196" s="9" t="str">
        <f>IF(OR(I196="Trabajo actualmente como empleado",I196="Trabajo de manera independiente"),_xlfn.LET(_xlpm.turno,MOD(COUNTIF($I$2:I196,I196)-1,5),_xlpm.nivel,VALUE(LEFT(M196,1)),IF(_xlpm.turno=4,"No estoy seguro/a",IF(_xlpm.turno&lt;IF(_xlpm.nivel&lt;=2,1,3),"Sí","No"))),"")</f>
        <v>No</v>
      </c>
      <c r="P196" s="9" t="str">
        <f>_xlfn.LET(_xlpm.perfil,I196,_xlpm.turno,COUNTIF($I$2:I196,_xlpm.perfil)-1,_xlpm.busca,OR(_xlpm.perfil="Actualmente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96" t="str">
        <f>IF(I196="Tengo un emprendimiento o quiero iniciar uno","",CHOOSE(MOD(INT((COUNTIF($I$2:I196,I196)-1)/7),3)+1,"Sí","No","Tengo una pero necesito actualizarla"))</f>
        <v>Tengo una pero necesito actualizarla</v>
      </c>
      <c r="R196" s="9" t="str">
        <f>IF(I196="Tengo un emprendimiento o quiero iniciar uno","",IF(I196="Busco mi primer empleo","No",IF(MOD(COUNTIF($I$2:I196,I196)-1,2)=0,"Sí","No")))</f>
        <v>Sí</v>
      </c>
      <c r="S196" t="str">
        <f>IF(I196="Tengo un emprendimiento o quiero iniciar uno","",CHOOSE(MOD(INT((COUNTIF($I$2:I196,I196)-1)/3),10)+1,"Portales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196" t="str">
        <f>IF(I196="Tengo un emprendimiento o quiero iniciar uno","",_xlfn.LET(_xlpm.opcion,MOD(INT((COUNTIF($I$2:I196,I196)-1)/4),6)+1,CHOOSE(IF(AND(_xlpm.opcion=3,Q196="Sí"),1,_xlpm.opcion),"Falta de experiencia","Falta de formación","Dificultades con la hoja de vida","Horarios disponibles","Transporte","Internet")))</f>
        <v>Horarios disponibles</v>
      </c>
      <c r="U196" s="9" t="str">
        <f>IF(I196="Tengo un emprendimiento o quiero iniciar uno","",IF(MOD(INT((COUNTIF($I$2:I196,I196)-1)/3),2)=0,"Sí","No"))</f>
        <v>Sí</v>
      </c>
      <c r="V196" s="9" t="str">
        <f>IF(I196="Tengo un emprendimiento o quiero iniciar uno",CHOOSE(MOD(COUNTIF($I$2:I196,I196)-1,3)+1,"Tengo un emprendimiento","Estoy iniciando un emprendimiento","Me interesa emprender"),"")</f>
        <v/>
      </c>
      <c r="W196" t="str">
        <f t="shared" si="59"/>
        <v/>
      </c>
      <c r="X196" s="9" t="str">
        <f>IF(I196="Tengo un emprendimiento o quiero iniciar uno",CHOOSE(MOD(COUNTIF($I$2:I196,I196)-1,5)+1,"Falta de financiación","Falta de conocimientos administrativos","Falta de conocimientos financieros","Falta de tiempo","Falta de herramientas"),"")</f>
        <v/>
      </c>
      <c r="Y196" s="9" t="str">
        <f t="shared" si="60"/>
        <v/>
      </c>
      <c r="Z196" t="str">
        <f>IF(I196="Tengo un emprendimiento o quiero iniciar uno",CHOOSE(INT(MOD((COUNTIF($I$2:I196,I196)-1)*7,39)/13)+1,"Sí","No","No conozco programas de ese tipo"),"")</f>
        <v/>
      </c>
      <c r="AA196" t="str">
        <f t="shared" si="61"/>
        <v>Puedo hacerlo con ayuda</v>
      </c>
      <c r="AB196" t="str">
        <f t="shared" si="61"/>
        <v>Puedo hacerlo con ayuda</v>
      </c>
      <c r="AC196" t="str">
        <f t="shared" si="62"/>
        <v>Puedo hacerlo sin ayuda</v>
      </c>
      <c r="AD196" s="9" t="str">
        <f t="shared" si="63"/>
        <v>Puedo hacerlo con ayuda</v>
      </c>
      <c r="AE196" t="str">
        <f t="shared" si="64"/>
        <v>Puedo hacerlo sin ayuda</v>
      </c>
      <c r="AF196" s="9" t="str">
        <f t="shared" si="65"/>
        <v>Crear una hoja de vida;Preparación para entrevista</v>
      </c>
      <c r="AG196" s="9" t="str">
        <f t="shared" si="66"/>
        <v>Horarios;Falta de información</v>
      </c>
      <c r="AH196" t="str">
        <f t="shared" si="67"/>
        <v>Programas de emprendimiento</v>
      </c>
      <c r="AI196" s="9" t="str">
        <f t="shared" si="68"/>
        <v>Presencial y virtual</v>
      </c>
      <c r="AJ196" s="9" t="str">
        <f t="shared" si="69"/>
        <v>Diurno</v>
      </c>
      <c r="AK196" s="9" t="str">
        <f t="shared" si="70"/>
        <v>Redes sociales</v>
      </c>
    </row>
    <row r="197" spans="1:37">
      <c r="A197" t="str">
        <f t="shared" si="71"/>
        <v>SG196</v>
      </c>
      <c r="B197" t="s">
        <v>418</v>
      </c>
      <c r="C197" s="9" t="s">
        <v>427</v>
      </c>
      <c r="D197" t="str">
        <f t="shared" si="54"/>
        <v>Femenino</v>
      </c>
      <c r="E197" t="str">
        <f t="shared" si="55"/>
        <v>De 18 a 20 años</v>
      </c>
      <c r="F197">
        <f t="shared" si="56"/>
        <v>19</v>
      </c>
      <c r="G197" s="9" t="s">
        <v>428</v>
      </c>
      <c r="H197" s="9" t="str">
        <f t="shared" si="57"/>
        <v>Bachiller</v>
      </c>
      <c r="I197" s="9" t="str">
        <f t="shared" si="58"/>
        <v>Trabajo de manera independiente</v>
      </c>
      <c r="J197" s="13" t="str">
        <f>IF(I197="Trabajo actualmente como empleado",IF(MOD((COUNTIF($I$2:I197,"Trabajo actualmente como empleado")-1)*37,150)&lt;100,"Empleado con contrato","Empleado sin contrato formal"),IF(I197="Trabajo de manera independiente","Trabajo independiente",""))</f>
        <v>Trabajo independiente</v>
      </c>
      <c r="K197" s="9" t="str">
        <f>IF(OR(I197="Trabajo actualmente como empleado",I197="Trabajo de manera independiente"),CHOOSE(MOD(COUNTIF($I$2:I197,I197)-1,4)+1,"Menos de 3 meses","De 3 a 6 meses","De 7 a 12 meses","Más de un año"),"")</f>
        <v>De 3 a 6 meses</v>
      </c>
      <c r="L197" t="str">
        <f>IF(OR(I197="Trabajo actualmente como empleado",I197="Trabajo de manera independiente"),CHOOSE(MOD(COUNTIF($I$2:I197,I197)-1,3)+1,"Sí, completamente","Parcialmente","No"),"")</f>
        <v>Sí, completamente</v>
      </c>
      <c r="M197" t="str">
        <f>IF(OR(I197="Trabajo actualmente como empleado",I197="Trabajo de manera independiente"),CHOOSE(MOD(INT((COUNTIF($I$2:I197,I197)-1)/3),4)+1,"1- Muy satisfecho/a","2- Satisfecho/a","3- Insatisfecho/a","4- Muy insatisfecho/a"),"")</f>
        <v>4- Muy insatisfecho/a</v>
      </c>
      <c r="N197" t="str">
        <f>IF(OR(I197="Trabajo actualmente como empleado",I197="Trabajo de manera independiente"),_xlfn.LET(_xlpm.opcion,MOD(INT((COUNTIF($I$2:I197,I197)-1)/5),6)+1,CHOOSE(IF(AND(_xlpm.opcion=6,L197="Sí, completamente"),5,_xlpm.opcion),"Salario","Estabilidad laboral","Horario","Acceso a prestaciones","Oportunidades de crecimiento","Trabajar en un área relacionada con mi formación")),"")</f>
        <v>Salario</v>
      </c>
      <c r="O197" s="9" t="str">
        <f>IF(OR(I197="Trabajo actualmente como empleado",I197="Trabajo de manera independiente"),_xlfn.LET(_xlpm.turno,MOD(COUNTIF($I$2:I197,I197)-1,5),_xlpm.nivel,VALUE(LEFT(M197,1)),IF(_xlpm.turno=4,"No estoy seguro/a",IF(_xlpm.turno&lt;IF(_xlpm.nivel&lt;=2,1,3),"Sí","No"))),"")</f>
        <v>No</v>
      </c>
      <c r="P197" s="9" t="str">
        <f>_xlfn.LET(_xlpm.perfil,I197,_xlpm.turno,COUNTIF($I$2:I197,_xlpm.perfil)-1,_xlpm.busca,OR(_xlpm.perfil="Actualmente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97" t="str">
        <f>IF(I197="Tengo un emprendimiento o quiero iniciar uno","",CHOOSE(MOD(INT((COUNTIF($I$2:I197,I197)-1)/7),3)+1,"Sí","No","Tengo una pero necesito actualizarla"))</f>
        <v>No</v>
      </c>
      <c r="R197" s="9" t="str">
        <f>IF(I197="Tengo un emprendimiento o quiero iniciar uno","",IF(I197="Busco mi primer empleo","No",IF(MOD(COUNTIF($I$2:I197,I197)-1,2)=0,"Sí","No")))</f>
        <v>No</v>
      </c>
      <c r="S197" t="str">
        <f>IF(I197="Tengo un emprendimiento o quiero iniciar uno","",CHOOSE(MOD(INT((COUNTIF($I$2:I197,I197)-1)/3),10)+1,"Portales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97" t="str">
        <f>IF(I197="Tengo un emprendimiento o quiero iniciar uno","",_xlfn.LET(_xlpm.opcion,MOD(INT((COUNTIF($I$2:I197,I197)-1)/4),6)+1,CHOOSE(IF(AND(_xlpm.opcion=3,Q197="Sí"),1,_xlpm.opcion),"Falta de experiencia","Falta de formación","Dificultades con la hoja de vida","Horarios disponibles","Transporte","Internet")))</f>
        <v>Dificultades con la hoja de vida</v>
      </c>
      <c r="U197" s="9" t="str">
        <f>IF(I197="Tengo un emprendimiento o quiero iniciar uno","",IF(MOD(INT((COUNTIF($I$2:I197,I197)-1)/3),2)=0,"Sí","No"))</f>
        <v>No</v>
      </c>
      <c r="V197" s="9" t="str">
        <f>IF(I197="Tengo un emprendimiento o quiero iniciar uno",CHOOSE(MOD(COUNTIF($I$2:I197,I197)-1,3)+1,"Tengo un emprendimiento","Estoy iniciando un emprendimiento","Me interesa emprender"),"")</f>
        <v/>
      </c>
      <c r="W197" t="str">
        <f t="shared" si="59"/>
        <v/>
      </c>
      <c r="X197" s="9" t="str">
        <f>IF(I197="Tengo un emprendimiento o quiero iniciar uno",CHOOSE(MOD(COUNTIF($I$2:I197,I197)-1,5)+1,"Falta de financiación","Falta de conocimientos administrativos","Falta de conocimientos financieros","Falta de tiempo","Falta de herramientas"),"")</f>
        <v/>
      </c>
      <c r="Y197" s="9" t="str">
        <f t="shared" si="60"/>
        <v/>
      </c>
      <c r="Z197" t="str">
        <f>IF(I197="Tengo un emprendimiento o quiero iniciar uno",CHOOSE(INT(MOD((COUNTIF($I$2:I197,I197)-1)*7,39)/13)+1,"Sí","No","No conozco programas de ese tipo"),"")</f>
        <v/>
      </c>
      <c r="AA197" t="str">
        <f t="shared" si="61"/>
        <v>Puedo hacerlo sin ayuda</v>
      </c>
      <c r="AB197" t="str">
        <f t="shared" si="61"/>
        <v>Puedo hacerlo sin ayuda</v>
      </c>
      <c r="AC197" t="str">
        <f t="shared" si="62"/>
        <v>No puedo hacerlo</v>
      </c>
      <c r="AD197" s="9" t="str">
        <f t="shared" si="63"/>
        <v>Puedo hacerlo con dificultad</v>
      </c>
      <c r="AE197" t="str">
        <f t="shared" si="64"/>
        <v>No puedo hacerlo</v>
      </c>
      <c r="AF197" s="9" t="str">
        <f t="shared" si="65"/>
        <v>Comunicación;Liderazgo</v>
      </c>
      <c r="AG197" s="9" t="str">
        <f t="shared" si="66"/>
        <v>Ninguna</v>
      </c>
      <c r="AH197" t="str">
        <f t="shared" si="67"/>
        <v>Oficina de orientación laboral</v>
      </c>
      <c r="AI197" s="9" t="str">
        <f t="shared" si="68"/>
        <v>Me es indiferente</v>
      </c>
      <c r="AJ197" s="9" t="str">
        <f t="shared" si="69"/>
        <v>Mañana entre semana</v>
      </c>
      <c r="AK197" s="9" t="str">
        <f t="shared" si="70"/>
        <v>Celular</v>
      </c>
    </row>
    <row r="198" spans="1:37">
      <c r="A198" t="str">
        <f t="shared" si="71"/>
        <v>SG197</v>
      </c>
      <c r="B198" t="s">
        <v>418</v>
      </c>
      <c r="C198" s="9" t="s">
        <v>427</v>
      </c>
      <c r="D198" t="str">
        <f t="shared" si="54"/>
        <v>Masculino</v>
      </c>
      <c r="E198" t="str">
        <f t="shared" si="55"/>
        <v>De 20 a 22 años</v>
      </c>
      <c r="F198">
        <f t="shared" si="56"/>
        <v>21</v>
      </c>
      <c r="G198" s="9" t="s">
        <v>428</v>
      </c>
      <c r="H198" s="9" t="str">
        <f t="shared" si="57"/>
        <v>Bachiller</v>
      </c>
      <c r="I198" s="9" t="str">
        <f t="shared" si="58"/>
        <v>Busco mi primer empleo</v>
      </c>
      <c r="J198" s="13" t="str">
        <f>IF(I198="Trabajo actualmente como empleado",IF(MOD((COUNTIF($I$2:I198,"Trabajo actualmente como empleado")-1)*37,150)&lt;100,"Empleado con contrato","Empleado sin contrato formal"),IF(I198="Trabajo de manera independiente","Trabajo independiente",""))</f>
        <v/>
      </c>
      <c r="K198" s="9" t="str">
        <f>IF(OR(I198="Trabajo actualmente como empleado",I198="Trabajo de manera independiente"),CHOOSE(MOD(COUNTIF($I$2:I198,I198)-1,4)+1,"Menos de 3 meses","De 3 a 6 meses","De 7 a 12 meses","Más de un año"),"")</f>
        <v/>
      </c>
      <c r="L198" t="str">
        <f>IF(OR(I198="Trabajo actualmente como empleado",I198="Trabajo de manera independiente"),CHOOSE(MOD(COUNTIF($I$2:I198,I198)-1,3)+1,"Sí, completamente","Parcialmente","No"),"")</f>
        <v/>
      </c>
      <c r="M198" t="str">
        <f>IF(OR(I198="Trabajo actualmente como empleado",I198="Trabajo de manera independiente"),CHOOSE(MOD(INT((COUNTIF($I$2:I198,I198)-1)/3),4)+1,"1- Muy satisfecho/a","2- Satisfecho/a","3- Insatisfecho/a","4- Muy insatisfecho/a"),"")</f>
        <v/>
      </c>
      <c r="N198" t="str">
        <f>IF(OR(I198="Trabajo actualmente como empleado",I198="Trabajo de manera independiente"),_xlfn.LET(_xlpm.opcion,MOD(INT((COUNTIF($I$2:I198,I198)-1)/5),6)+1,CHOOSE(IF(AND(_xlpm.opcion=6,L198="Sí, completamente"),5,_xlpm.opcion),"Salario","Estabilidad laboral","Horario","Acceso a prestaciones","Oportunidades de crecimiento","Trabajar en un área relacionada con mi formación")),"")</f>
        <v/>
      </c>
      <c r="O198" s="9" t="str">
        <f>IF(OR(I198="Trabajo actualmente como empleado",I198="Trabajo de manera independiente"),_xlfn.LET(_xlpm.turno,MOD(COUNTIF($I$2:I198,I198)-1,5),_xlpm.nivel,VALUE(LEFT(M198,1)),IF(_xlpm.turno=4,"No estoy seguro/a",IF(_xlpm.turno&lt;IF(_xlpm.nivel&lt;=2,1,3),"Sí","No"))),"")</f>
        <v/>
      </c>
      <c r="P198" s="9" t="str">
        <f>_xlfn.LET(_xlpm.perfil,I198,_xlpm.turno,COUNTIF($I$2:I198,_xlpm.perfil)-1,_xlpm.busca,OR(_xlpm.perfil="Actualmente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trabajar"),IF(AND(_xlpm.trabaja,O198="No"),"Todavía no he iniciado una búsqueda activa",CHOOSE(MOD(_xlpm.turno*3,5)+1,"Menos de 1 mes","Entre 1 y 3 meses","Entre 4 y 6 meses","Más de 6 meses","Todavía no he iniciado una búsqueda activa")),"")))</f>
        <v>Entre 1 y 3 meses</v>
      </c>
      <c r="Q198" t="str">
        <f>IF(I198="Tengo un emprendimiento o quiero iniciar uno","",CHOOSE(MOD(INT((COUNTIF($I$2:I198,I198)-1)/7),3)+1,"Sí","No","Tengo una pero necesito actualizarla"))</f>
        <v>Sí</v>
      </c>
      <c r="R198" s="9" t="str">
        <f>IF(I198="Tengo un emprendimiento o quiero iniciar uno","",IF(I198="Busco mi primer empleo","No",IF(MOD(COUNTIF($I$2:I198,I198)-1,2)=0,"Sí","No")))</f>
        <v>No</v>
      </c>
      <c r="S198" t="str">
        <f>IF(I198="Tengo un emprendimiento o quiero iniciar uno","",CHOOSE(MOD(INT((COUNTIF($I$2:I198,I198)-1)/3),10)+1,"Portales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198" t="str">
        <f>IF(I198="Tengo un emprendimiento o quiero iniciar uno","",_xlfn.LET(_xlpm.opcion,MOD(INT((COUNTIF($I$2:I198,I198)-1)/4),6)+1,CHOOSE(IF(AND(_xlpm.opcion=3,Q198="Sí"),1,_xlpm.opcion),"Falta de experiencia","Falta de formación","Dificultades con la hoja de vida","Horarios disponibles","Transporte","Internet")))</f>
        <v>Falta de experiencia</v>
      </c>
      <c r="U198" s="9" t="str">
        <f>IF(I198="Tengo un emprendimiento o quiero iniciar uno","",IF(MOD(INT((COUNTIF($I$2:I198,I198)-1)/3),2)=0,"Sí","No"))</f>
        <v>No</v>
      </c>
      <c r="V198" s="9" t="str">
        <f>IF(I198="Tengo un emprendimiento o quiero iniciar uno",CHOOSE(MOD(COUNTIF($I$2:I198,I198)-1,3)+1,"Tengo un emprendimiento","Estoy iniciando un emprendimiento","Me interesa emprender"),"")</f>
        <v/>
      </c>
      <c r="W198" t="str">
        <f t="shared" si="59"/>
        <v/>
      </c>
      <c r="X198" s="9" t="str">
        <f>IF(I198="Tengo un emprendimiento o quiero iniciar uno",CHOOSE(MOD(COUNTIF($I$2:I198,I198)-1,5)+1,"Falta de financiación","Falta de conocimientos administrativos","Falta de conocimientos financieros","Falta de tiempo","Falta de herramientas"),"")</f>
        <v/>
      </c>
      <c r="Y198" s="9" t="str">
        <f t="shared" si="60"/>
        <v/>
      </c>
      <c r="Z198" t="str">
        <f>IF(I198="Tengo un emprendimiento o quiero iniciar uno",CHOOSE(INT(MOD((COUNTIF($I$2:I198,I198)-1)*7,39)/13)+1,"Sí","No","No conozco programas de ese tipo"),"")</f>
        <v/>
      </c>
      <c r="AA198" t="str">
        <f t="shared" si="61"/>
        <v>No puedo hacerlo</v>
      </c>
      <c r="AB198" t="str">
        <f t="shared" si="61"/>
        <v>No puedo hacerlo</v>
      </c>
      <c r="AC198" t="str">
        <f t="shared" si="62"/>
        <v>Puedo hacerlo con ayuda</v>
      </c>
      <c r="AD198" s="9" t="str">
        <f t="shared" si="63"/>
        <v>Puedo hacerlo con dificultad</v>
      </c>
      <c r="AE198" t="str">
        <f t="shared" si="64"/>
        <v>No puedo hacerlo</v>
      </c>
      <c r="AF198" s="9" t="str">
        <f t="shared" si="65"/>
        <v>Herramientas digitales;Educación financiera</v>
      </c>
      <c r="AG198" s="9" t="str">
        <f t="shared" si="66"/>
        <v>Ninguna</v>
      </c>
      <c r="AH198" t="str">
        <f t="shared" si="67"/>
        <v>Programas de emprendimiento</v>
      </c>
      <c r="AI198" s="9" t="str">
        <f t="shared" si="68"/>
        <v>Presencial</v>
      </c>
      <c r="AJ198" s="9" t="str">
        <f t="shared" si="69"/>
        <v>Fines de semana</v>
      </c>
      <c r="AK198" s="9" t="str">
        <f t="shared" si="70"/>
        <v>Correo electrónico</v>
      </c>
    </row>
    <row r="199" spans="1:37">
      <c r="A199" t="str">
        <f t="shared" si="71"/>
        <v>SG198</v>
      </c>
      <c r="B199" t="s">
        <v>418</v>
      </c>
      <c r="C199" s="9" t="s">
        <v>427</v>
      </c>
      <c r="D199" t="str">
        <f t="shared" si="54"/>
        <v>Masculino</v>
      </c>
      <c r="E199" t="str">
        <f t="shared" si="55"/>
        <v>De 22 a 24 años</v>
      </c>
      <c r="F199">
        <f t="shared" si="56"/>
        <v>23</v>
      </c>
      <c r="G199" s="9" t="s">
        <v>428</v>
      </c>
      <c r="H199" s="9" t="str">
        <f t="shared" si="57"/>
        <v>Bachiller</v>
      </c>
      <c r="I199" s="9" t="str">
        <f t="shared" si="58"/>
        <v>Trabajo actualmente como empleado</v>
      </c>
      <c r="J199" s="13" t="str">
        <f>IF(I199="Trabajo actualmente como empleado",IF(MOD((COUNTIF($I$2:I199,"Trabajo actualmente como empleado")-1)*37,150)&lt;100,"Empleado con contrato","Empleado sin contrato formal"),IF(I199="Trabajo de manera independiente","Trabajo independiente",""))</f>
        <v>Empleado con contrato</v>
      </c>
      <c r="K199" s="9" t="str">
        <f>IF(OR(I199="Trabajo actualmente como empleado",I199="Trabajo de manera independiente"),CHOOSE(MOD(COUNTIF($I$2:I199,I199)-1,4)+1,"Menos de 3 meses","De 3 a 6 meses","De 7 a 12 meses","Más de un año"),"")</f>
        <v>Más de un año</v>
      </c>
      <c r="L199" t="str">
        <f>IF(OR(I199="Trabajo actualmente como empleado",I199="Trabajo de manera independiente"),CHOOSE(MOD(COUNTIF($I$2:I199,I199)-1,3)+1,"Sí, completamente","Parcialmente","No"),"")</f>
        <v>Sí, completamente</v>
      </c>
      <c r="M199" t="str">
        <f>IF(OR(I199="Trabajo actualmente como empleado",I199="Trabajo de manera independiente"),CHOOSE(MOD(INT((COUNTIF($I$2:I199,I199)-1)/3),4)+1,"1- Muy satisfecho/a","2- Satisfecho/a","3- Insatisfecho/a","4- Muy insatisfecho/a"),"")</f>
        <v>2- Satisfecho/a</v>
      </c>
      <c r="N199" t="str">
        <f>IF(OR(I199="Trabajo actualmente como empleado",I199="Trabajo de manera independiente"),_xlfn.LET(_xlpm.opcion,MOD(INT((COUNTIF($I$2:I199,I199)-1)/5),6)+1,CHOOSE(IF(AND(_xlpm.opcion=6,L199="Sí, completamente"),5,_xlpm.opcion),"Salario","Estabilidad laboral","Horario","Acceso a prestaciones","Oportunidades de crecimiento","Trabajar en un área relacionada con mi formación")),"")</f>
        <v>Salario</v>
      </c>
      <c r="O199" s="9" t="str">
        <f>IF(OR(I199="Trabajo actualmente como empleado",I199="Trabajo de manera independiente"),_xlfn.LET(_xlpm.turno,MOD(COUNTIF($I$2:I199,I199)-1,5),_xlpm.nivel,VALUE(LEFT(M199,1)),IF(_xlpm.turno=4,"No estoy seguro/a",IF(_xlpm.turno&lt;IF(_xlpm.nivel&lt;=2,1,3),"Sí","No"))),"")</f>
        <v>No</v>
      </c>
      <c r="P199" s="9" t="str">
        <f>_xlfn.LET(_xlpm.perfil,I199,_xlpm.turno,COUNTIF($I$2:I199,_xlpm.perfil)-1,_xlpm.busca,OR(_xlpm.perfil="Actualmente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trabajar"),IF(AND(_xlpm.trabaja,O199="No"),"Todavía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199" t="str">
        <f>IF(I199="Tengo un emprendimiento o quiero iniciar uno","",CHOOSE(MOD(INT((COUNTIF($I$2:I199,I199)-1)/7),3)+1,"Sí","No","Tengo una pero necesito actualizarla"))</f>
        <v>Sí</v>
      </c>
      <c r="R199" s="9" t="str">
        <f>IF(I199="Tengo un emprendimiento o quiero iniciar uno","",IF(I199="Busco mi primer empleo","No",IF(MOD(COUNTIF($I$2:I199,I199)-1,2)=0,"Sí","No")))</f>
        <v>No</v>
      </c>
      <c r="S199" t="str">
        <f>IF(I199="Tengo un emprendimiento o quiero iniciar uno","",CHOOSE(MOD(INT((COUNTIF($I$2:I199,I199)-1)/3),10)+1,"Portales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199" t="str">
        <f>IF(I199="Tengo un emprendimiento o quiero iniciar uno","",_xlfn.LET(_xlpm.opcion,MOD(INT((COUNTIF($I$2:I199,I199)-1)/4),6)+1,CHOOSE(IF(AND(_xlpm.opcion=3,Q199="Sí"),1,_xlpm.opcion),"Falta de experiencia","Falta de formación","Dificultades con la hoja de vida","Horarios disponibles","Transporte","Internet")))</f>
        <v>Horarios disponibles</v>
      </c>
      <c r="U199" s="9" t="str">
        <f>IF(I199="Tengo un emprendimiento o quiero iniciar uno","",IF(MOD(INT((COUNTIF($I$2:I199,I199)-1)/3),2)=0,"Sí","No"))</f>
        <v>No</v>
      </c>
      <c r="V199" s="9" t="str">
        <f>IF(I199="Tengo un emprendimiento o quiero iniciar uno",CHOOSE(MOD(COUNTIF($I$2:I199,I199)-1,3)+1,"Tengo un emprendimiento","Estoy iniciando un emprendimiento","Me interesa emprender"),"")</f>
        <v/>
      </c>
      <c r="W199" t="str">
        <f t="shared" si="59"/>
        <v/>
      </c>
      <c r="X199" s="9" t="str">
        <f>IF(I199="Tengo un emprendimiento o quiero iniciar uno",CHOOSE(MOD(COUNTIF($I$2:I199,I199)-1,5)+1,"Falta de financiación","Falta de conocimientos administrativos","Falta de conocimientos financieros","Falta de tiempo","Falta de herramientas"),"")</f>
        <v/>
      </c>
      <c r="Y199" s="9" t="str">
        <f t="shared" si="60"/>
        <v/>
      </c>
      <c r="Z199" t="str">
        <f>IF(I199="Tengo un emprendimiento o quiero iniciar uno",CHOOSE(INT(MOD((COUNTIF($I$2:I199,I199)-1)*7,39)/13)+1,"Sí","No","No conozco programas de ese tipo"),"")</f>
        <v/>
      </c>
      <c r="AA199" t="str">
        <f t="shared" si="61"/>
        <v>Puedo hacerlo con dificultad</v>
      </c>
      <c r="AB199" t="str">
        <f t="shared" si="61"/>
        <v>Puedo hacerlo con dificultad</v>
      </c>
      <c r="AC199" t="str">
        <f t="shared" si="62"/>
        <v>Puedo hacerlo con dificultad</v>
      </c>
      <c r="AD199" s="9" t="str">
        <f t="shared" si="63"/>
        <v>Puedo hacerlo sin ayuda</v>
      </c>
      <c r="AE199" t="str">
        <f t="shared" si="64"/>
        <v>Puedo hacerlo con ayuda</v>
      </c>
      <c r="AF199" s="9" t="str">
        <f t="shared" si="65"/>
        <v>Crear una hoja de vida</v>
      </c>
      <c r="AG199" s="9" t="str">
        <f t="shared" si="66"/>
        <v>Ninguna</v>
      </c>
      <c r="AH199" t="str">
        <f t="shared" si="67"/>
        <v>No conozco ninguno</v>
      </c>
      <c r="AI199" s="9" t="str">
        <f t="shared" si="68"/>
        <v>Virtual</v>
      </c>
      <c r="AJ199" s="9" t="str">
        <f t="shared" si="69"/>
        <v>Diurno</v>
      </c>
      <c r="AK199" s="9" t="str">
        <f t="shared" si="70"/>
        <v>Redes sociales</v>
      </c>
    </row>
    <row r="200" spans="1:37">
      <c r="A200" t="str">
        <f t="shared" si="71"/>
        <v>SG199</v>
      </c>
      <c r="B200" t="s">
        <v>418</v>
      </c>
      <c r="C200" s="9" t="s">
        <v>427</v>
      </c>
      <c r="D200" t="str">
        <f t="shared" si="54"/>
        <v>Femenino</v>
      </c>
      <c r="E200" t="str">
        <f t="shared" si="55"/>
        <v>De 24 a 26 años</v>
      </c>
      <c r="F200">
        <f t="shared" si="56"/>
        <v>25</v>
      </c>
      <c r="G200" s="9" t="s">
        <v>428</v>
      </c>
      <c r="H200" s="9" t="str">
        <f t="shared" si="57"/>
        <v>Bachiller</v>
      </c>
      <c r="I200" s="9" t="str">
        <f t="shared" si="58"/>
        <v>Actualmente no trabajo y estoy buscando empleo</v>
      </c>
      <c r="J200" s="13" t="str">
        <f>IF(I200="Trabajo actualmente como empleado",IF(MOD((COUNTIF($I$2:I200,"Trabajo actualmente como empleado")-1)*37,150)&lt;100,"Empleado con contrato","Empleado sin contrato formal"),IF(I200="Trabajo de manera independiente","Trabajo independiente",""))</f>
        <v/>
      </c>
      <c r="K200" s="9" t="str">
        <f>IF(OR(I200="Trabajo actualmente como empleado",I200="Trabajo de manera independiente"),CHOOSE(MOD(COUNTIF($I$2:I200,I200)-1,4)+1,"Menos de 3 meses","De 3 a 6 meses","De 7 a 12 meses","Más de un año"),"")</f>
        <v/>
      </c>
      <c r="L200" t="str">
        <f>IF(OR(I200="Trabajo actualmente como empleado",I200="Trabajo de manera independiente"),CHOOSE(MOD(COUNTIF($I$2:I200,I200)-1,3)+1,"Sí, completamente","Parcialmente","No"),"")</f>
        <v/>
      </c>
      <c r="M200" t="str">
        <f>IF(OR(I200="Trabajo actualmente como empleado",I200="Trabajo de manera independiente"),CHOOSE(MOD(INT((COUNTIF($I$2:I200,I200)-1)/3),4)+1,"1- Muy satisfecho/a","2- Satisfecho/a","3- Insatisfecho/a","4- Muy insatisfecho/a"),"")</f>
        <v/>
      </c>
      <c r="N200" t="str">
        <f>IF(OR(I200="Trabajo actualmente como empleado",I200="Trabajo de manera independiente"),_xlfn.LET(_xlpm.opcion,MOD(INT((COUNTIF($I$2:I200,I200)-1)/5),6)+1,CHOOSE(IF(AND(_xlpm.opcion=6,L200="Sí, completamente"),5,_xlpm.opcion),"Salario","Estabilidad laboral","Horario","Acceso a prestaciones","Oportunidades de crecimiento","Trabajar en un área relacionada con mi formación")),"")</f>
        <v/>
      </c>
      <c r="O200" s="9" t="str">
        <f>IF(OR(I200="Trabajo actualmente como empleado",I200="Trabajo de manera independiente"),_xlfn.LET(_xlpm.turno,MOD(COUNTIF($I$2:I200,I200)-1,5),_xlpm.nivel,VALUE(LEFT(M200,1)),IF(_xlpm.turno=4,"No estoy seguro/a",IF(_xlpm.turno&lt;IF(_xlpm.nivel&lt;=2,1,3),"Sí","No"))),"")</f>
        <v/>
      </c>
      <c r="P200" s="9" t="str">
        <f>_xlfn.LET(_xlpm.perfil,I200,_xlpm.turno,COUNTIF($I$2:I200,_xlpm.perfil)-1,_xlpm.busca,OR(_xlpm.perfil="Actualmente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trabajar"),IF(AND(_xlpm.trabaja,O200="No"),"Todavía no he iniciado una búsqueda activa",CHOOSE(MOD(_xlpm.turno*3,5)+1,"Menos de 1 mes","Entre 1 y 3 meses","Entre 4 y 6 meses","Más de 6 meses","Todavía no he iniciado una búsqueda activa")),"")))</f>
        <v>Entre 4 y 6 meses</v>
      </c>
      <c r="Q200" t="str">
        <f>IF(I200="Tengo un emprendimiento o quiero iniciar uno","",CHOOSE(MOD(INT((COUNTIF($I$2:I200,I200)-1)/7),3)+1,"Sí","No","Tengo una pero necesito actualizarla"))</f>
        <v>No</v>
      </c>
      <c r="R200" s="9" t="str">
        <f>IF(I200="Tengo un emprendimiento o quiero iniciar uno","",IF(I200="Busco mi primer empleo","No",IF(MOD(COUNTIF($I$2:I200,I200)-1,2)=0,"Sí","No")))</f>
        <v>Sí</v>
      </c>
      <c r="S200" t="str">
        <f>IF(I200="Tengo un emprendimiento o quiero iniciar uno","",CHOOSE(MOD(INT((COUNTIF($I$2:I200,I200)-1)/3),10)+1,"Portales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00" t="str">
        <f>IF(I200="Tengo un emprendimiento o quiero iniciar uno","",_xlfn.LET(_xlpm.opcion,MOD(INT((COUNTIF($I$2:I200,I200)-1)/4),6)+1,CHOOSE(IF(AND(_xlpm.opcion=3,Q200="Sí"),1,_xlpm.opcion),"Falta de experiencia","Falta de formación","Dificultades con la hoja de vida","Horarios disponibles","Transporte","Internet")))</f>
        <v>Dificultades con la hoja de vida</v>
      </c>
      <c r="U200" s="9" t="str">
        <f>IF(I200="Tengo un emprendimiento o quiero iniciar uno","",IF(MOD(INT((COUNTIF($I$2:I200,I200)-1)/3),2)=0,"Sí","No"))</f>
        <v>No</v>
      </c>
      <c r="V200" s="9" t="str">
        <f>IF(I200="Tengo un emprendimiento o quiero iniciar uno",CHOOSE(MOD(COUNTIF($I$2:I200,I200)-1,3)+1,"Tengo un emprendimiento","Estoy iniciando un emprendimiento","Me interesa emprender"),"")</f>
        <v/>
      </c>
      <c r="W200" t="str">
        <f t="shared" si="59"/>
        <v/>
      </c>
      <c r="X200" s="9" t="str">
        <f>IF(I200="Tengo un emprendimiento o quiero iniciar uno",CHOOSE(MOD(COUNTIF($I$2:I200,I200)-1,5)+1,"Falta de financiación","Falta de conocimientos administrativos","Falta de conocimientos financieros","Falta de tiempo","Falta de herramientas"),"")</f>
        <v/>
      </c>
      <c r="Y200" s="9" t="str">
        <f t="shared" si="60"/>
        <v/>
      </c>
      <c r="Z200" t="str">
        <f>IF(I200="Tengo un emprendimiento o quiero iniciar uno",CHOOSE(INT(MOD((COUNTIF($I$2:I200,I200)-1)*7,39)/13)+1,"Sí","No","No conozco programas de ese tipo"),"")</f>
        <v/>
      </c>
      <c r="AA200" t="str">
        <f t="shared" si="61"/>
        <v>Puedo hacerlo sin ayuda</v>
      </c>
      <c r="AB200" t="str">
        <f t="shared" si="61"/>
        <v>Puedo hacerlo sin ayuda</v>
      </c>
      <c r="AC200" t="str">
        <f t="shared" si="62"/>
        <v>No puedo hacerlo</v>
      </c>
      <c r="AD200" s="9" t="str">
        <f t="shared" si="63"/>
        <v>No puedo hacerlo</v>
      </c>
      <c r="AE200" t="str">
        <f t="shared" si="64"/>
        <v>Puedo hacerlo con dificultad</v>
      </c>
      <c r="AF200" s="9" t="str">
        <f t="shared" si="65"/>
        <v>Preparación para entrevista</v>
      </c>
      <c r="AG200" s="9" t="str">
        <f t="shared" si="66"/>
        <v>Falta de experiencia</v>
      </c>
      <c r="AH200" t="str">
        <f t="shared" si="67"/>
        <v>Ferias de empleo</v>
      </c>
      <c r="AI200" s="9" t="str">
        <f t="shared" si="68"/>
        <v>Presencial y virtual</v>
      </c>
      <c r="AJ200" s="9" t="str">
        <f t="shared" si="69"/>
        <v>Mañana entre semana</v>
      </c>
      <c r="AK200" s="9" t="str">
        <f t="shared" si="70"/>
        <v>WhatsApp</v>
      </c>
    </row>
    <row r="201" spans="1:37">
      <c r="A201" t="str">
        <f t="shared" si="71"/>
        <v>SG200</v>
      </c>
      <c r="B201" t="s">
        <v>418</v>
      </c>
      <c r="C201" s="9" t="s">
        <v>427</v>
      </c>
      <c r="D201" t="str">
        <f t="shared" si="54"/>
        <v>Femenino</v>
      </c>
      <c r="E201" t="str">
        <f t="shared" si="55"/>
        <v>De 26 a 28 años</v>
      </c>
      <c r="F201">
        <f t="shared" si="56"/>
        <v>26</v>
      </c>
      <c r="G201" s="9" t="s">
        <v>428</v>
      </c>
      <c r="H201" s="9" t="str">
        <f t="shared" si="57"/>
        <v>Técnico</v>
      </c>
      <c r="I201" s="9" t="str">
        <f t="shared" si="58"/>
        <v>Estudio y quiero comenzar a trabajar</v>
      </c>
      <c r="J201" s="13" t="str">
        <f>IF(I201="Trabajo actualmente como empleado",IF(MOD((COUNTIF($I$2:I201,"Trabajo actualmente como empleado")-1)*37,150)&lt;100,"Empleado con contrato","Empleado sin contrato formal"),IF(I201="Trabajo de manera independiente","Trabajo independiente",""))</f>
        <v/>
      </c>
      <c r="K201" s="9" t="str">
        <f>IF(OR(I201="Trabajo actualmente como empleado",I201="Trabajo de manera independiente"),CHOOSE(MOD(COUNTIF($I$2:I201,I201)-1,4)+1,"Menos de 3 meses","De 3 a 6 meses","De 7 a 12 meses","Más de un año"),"")</f>
        <v/>
      </c>
      <c r="L201" t="str">
        <f>IF(OR(I201="Trabajo actualmente como empleado",I201="Trabajo de manera independiente"),CHOOSE(MOD(COUNTIF($I$2:I201,I201)-1,3)+1,"Sí, completamente","Parcialmente","No"),"")</f>
        <v/>
      </c>
      <c r="M201" t="str">
        <f>IF(OR(I201="Trabajo actualmente como empleado",I201="Trabajo de manera independiente"),CHOOSE(MOD(INT((COUNTIF($I$2:I201,I201)-1)/3),4)+1,"1- Muy satisfecho/a","2- Satisfecho/a","3- Insatisfecho/a","4- Muy insatisfecho/a"),"")</f>
        <v/>
      </c>
      <c r="N201" t="str">
        <f>IF(OR(I201="Trabajo actualmente como empleado",I201="Trabajo de manera independiente"),_xlfn.LET(_xlpm.opcion,MOD(INT((COUNTIF($I$2:I201,I201)-1)/5),6)+1,CHOOSE(IF(AND(_xlpm.opcion=6,L201="Sí, completamente"),5,_xlpm.opcion),"Salario","Estabilidad laboral","Horario","Acceso a prestaciones","Oportunidades de crecimiento","Trabajar en un área relacionada con mi formación")),"")</f>
        <v/>
      </c>
      <c r="O201" s="9" t="str">
        <f>IF(OR(I201="Trabajo actualmente como empleado",I201="Trabajo de manera independiente"),_xlfn.LET(_xlpm.turno,MOD(COUNTIF($I$2:I201,I201)-1,5),_xlpm.nivel,VALUE(LEFT(M201,1)),IF(_xlpm.turno=4,"No estoy seguro/a",IF(_xlpm.turno&lt;IF(_xlpm.nivel&lt;=2,1,3),"Sí","No"))),"")</f>
        <v/>
      </c>
      <c r="P201" s="9" t="str">
        <f>_xlfn.LET(_xlpm.perfil,I201,_xlpm.turno,COUNTIF($I$2:I201,_xlpm.perfil)-1,_xlpm.busca,OR(_xlpm.perfil="Actualmente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trabajar"),IF(AND(_xlpm.trabaja,O201="No"),"Todavía no he iniciado una búsqueda activa",CHOOSE(MOD(_xlpm.turno*3,5)+1,"Menos de 1 mes","Entre 1 y 3 meses","Entre 4 y 6 meses","Más de 6 meses","Todavía no he iniciado una búsqueda activa")),"")))</f>
        <v>Entre 1 y 3 meses</v>
      </c>
      <c r="Q201" t="str">
        <f>IF(I201="Tengo un emprendimiento o quiero iniciar uno","",CHOOSE(MOD(INT((COUNTIF($I$2:I201,I201)-1)/7),3)+1,"Sí","No","Tengo una pero necesito actualizarla"))</f>
        <v>Sí</v>
      </c>
      <c r="R201" s="9" t="str">
        <f>IF(I201="Tengo un emprendimiento o quiero iniciar uno","",IF(I201="Busco mi primer empleo","No",IF(MOD(COUNTIF($I$2:I201,I201)-1,2)=0,"Sí","No")))</f>
        <v>Sí</v>
      </c>
      <c r="S201" t="str">
        <f>IF(I201="Tengo un emprendimiento o quiero iniciar uno","",CHOOSE(MOD(INT((COUNTIF($I$2:I201,I201)-1)/3),10)+1,"Portales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01" t="str">
        <f>IF(I201="Tengo un emprendimiento o quiero iniciar uno","",_xlfn.LET(_xlpm.opcion,MOD(INT((COUNTIF($I$2:I201,I201)-1)/4),6)+1,CHOOSE(IF(AND(_xlpm.opcion=3,Q201="Sí"),1,_xlpm.opcion),"Falta de experiencia","Falta de formación","Dificultades con la hoja de vida","Horarios disponibles","Transporte","Internet")))</f>
        <v>Internet</v>
      </c>
      <c r="U201" s="9" t="str">
        <f>IF(I201="Tengo un emprendimiento o quiero iniciar uno","",IF(MOD(INT((COUNTIF($I$2:I201,I201)-1)/3),2)=0,"Sí","No"))</f>
        <v>No</v>
      </c>
      <c r="V201" s="9" t="str">
        <f>IF(I201="Tengo un emprendimiento o quiero iniciar uno",CHOOSE(MOD(COUNTIF($I$2:I201,I201)-1,3)+1,"Tengo un emprendimiento","Estoy iniciando un emprendimiento","Me interesa emprender"),"")</f>
        <v/>
      </c>
      <c r="W201" t="str">
        <f t="shared" si="59"/>
        <v/>
      </c>
      <c r="X201" s="9" t="str">
        <f>IF(I201="Tengo un emprendimiento o quiero iniciar uno",CHOOSE(MOD(COUNTIF($I$2:I201,I201)-1,5)+1,"Falta de financiación","Falta de conocimientos administrativos","Falta de conocimientos financieros","Falta de tiempo","Falta de herramientas"),"")</f>
        <v/>
      </c>
      <c r="Y201" s="9" t="str">
        <f t="shared" si="60"/>
        <v/>
      </c>
      <c r="Z201" t="str">
        <f>IF(I201="Tengo un emprendimiento o quiero iniciar uno",CHOOSE(INT(MOD((COUNTIF($I$2:I201,I201)-1)*7,39)/13)+1,"Sí","No","No conozco programas de ese tipo"),"")</f>
        <v/>
      </c>
      <c r="AA201" t="str">
        <f t="shared" si="61"/>
        <v>Puedo hacerlo con ayuda</v>
      </c>
      <c r="AB201" t="str">
        <f t="shared" si="61"/>
        <v>Puedo hacerlo con ayuda</v>
      </c>
      <c r="AC201" t="str">
        <f t="shared" si="62"/>
        <v>Puedo hacerlo con ayuda</v>
      </c>
      <c r="AD201" s="9" t="str">
        <f t="shared" si="63"/>
        <v>No puedo hacerlo</v>
      </c>
      <c r="AE201" t="str">
        <f t="shared" si="64"/>
        <v>Puedo hacerlo con dificultad</v>
      </c>
      <c r="AF201" s="9" t="str">
        <f t="shared" si="65"/>
        <v>Comunicación</v>
      </c>
      <c r="AG201" s="9" t="str">
        <f t="shared" si="66"/>
        <v>Falta de experiencia</v>
      </c>
      <c r="AH201" t="str">
        <f t="shared" si="67"/>
        <v>No conozco ninguno</v>
      </c>
      <c r="AI201" s="9" t="str">
        <f t="shared" si="68"/>
        <v>Me es indiferente</v>
      </c>
      <c r="AJ201" s="9" t="str">
        <f t="shared" si="69"/>
        <v>Fines de semana</v>
      </c>
      <c r="AK201" s="9" t="str">
        <f t="shared" si="70"/>
        <v>Correo electrónico</v>
      </c>
    </row>
    <row r="202" spans="1:37">
      <c r="A202" t="str">
        <f t="shared" si="71"/>
        <v>SG201</v>
      </c>
      <c r="B202" t="s">
        <v>418</v>
      </c>
      <c r="C202" s="9" t="s">
        <v>427</v>
      </c>
      <c r="D202" t="str">
        <f t="shared" si="54"/>
        <v>Masculino</v>
      </c>
      <c r="E202" t="str">
        <f t="shared" si="55"/>
        <v>De 18 a 20 años</v>
      </c>
      <c r="F202">
        <f t="shared" si="56"/>
        <v>18</v>
      </c>
      <c r="G202" s="9" t="s">
        <v>428</v>
      </c>
      <c r="H202" s="9" t="str">
        <f t="shared" si="57"/>
        <v>Bachiller</v>
      </c>
      <c r="I202" s="9" t="str">
        <f t="shared" si="58"/>
        <v>Trabajo actualmente como empleado</v>
      </c>
      <c r="J202" s="13" t="str">
        <f>IF(I202="Trabajo actualmente como empleado",IF(MOD((COUNTIF($I$2:I202,"Trabajo actualmente como empleado")-1)*37,150)&lt;100,"Empleado con contrato","Empleado sin contrato formal"),IF(I202="Trabajo de manera independiente","Trabajo independiente",""))</f>
        <v>Empleado sin contrato formal</v>
      </c>
      <c r="K202" s="9" t="str">
        <f>IF(OR(I202="Trabajo actualmente como empleado",I202="Trabajo de manera independiente"),CHOOSE(MOD(COUNTIF($I$2:I202,I202)-1,4)+1,"Menos de 3 meses","De 3 a 6 meses","De 7 a 12 meses","Más de un año"),"")</f>
        <v>Menos de 3 meses</v>
      </c>
      <c r="L202" t="str">
        <f>IF(OR(I202="Trabajo actualmente como empleado",I202="Trabajo de manera independiente"),CHOOSE(MOD(COUNTIF($I$2:I202,I202)-1,3)+1,"Sí, completamente","Parcialmente","No"),"")</f>
        <v>Parcialmente</v>
      </c>
      <c r="M202" t="str">
        <f>IF(OR(I202="Trabajo actualmente como empleado",I202="Trabajo de manera independiente"),CHOOSE(MOD(INT((COUNTIF($I$2:I202,I202)-1)/3),4)+1,"1- Muy satisfecho/a","2- Satisfecho/a","3- Insatisfecho/a","4- Muy insatisfecho/a"),"")</f>
        <v>2- Satisfecho/a</v>
      </c>
      <c r="N202" t="str">
        <f>IF(OR(I202="Trabajo actualmente como empleado",I202="Trabajo de manera independiente"),_xlfn.LET(_xlpm.opcion,MOD(INT((COUNTIF($I$2:I202,I202)-1)/5),6)+1,CHOOSE(IF(AND(_xlpm.opcion=6,L202="Sí, completamente"),5,_xlpm.opcion),"Salario","Estabilidad laboral","Horario","Acceso a prestaciones","Oportunidades de crecimiento","Trabajar en un área relacionada con mi formación")),"")</f>
        <v>Salario</v>
      </c>
      <c r="O202" s="9" t="str">
        <f>IF(OR(I202="Trabajo actualmente como empleado",I202="Trabajo de manera independiente"),_xlfn.LET(_xlpm.turno,MOD(COUNTIF($I$2:I202,I202)-1,5),_xlpm.nivel,VALUE(LEFT(M202,1)),IF(_xlpm.turno=4,"No estoy seguro/a",IF(_xlpm.turno&lt;IF(_xlpm.nivel&lt;=2,1,3),"Sí","No"))),"")</f>
        <v>No estoy seguro/a</v>
      </c>
      <c r="P202" s="9" t="str">
        <f>_xlfn.LET(_xlpm.perfil,I202,_xlpm.turno,COUNTIF($I$2:I202,_xlpm.perfil)-1,_xlpm.busca,OR(_xlpm.perfil="Actualmente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trabajar"),IF(AND(_xlpm.trabaja,O202="No"),"Todavía no he iniciado una búsqueda activa",CHOOSE(MOD(_xlpm.turno*3,5)+1,"Menos de 1 mes","Entre 1 y 3 meses","Entre 4 y 6 meses","Más de 6 meses","Todavía no he iniciado una búsqueda activa")),"")))</f>
        <v>Entre 4 y 6 meses</v>
      </c>
      <c r="Q202" t="str">
        <f>IF(I202="Tengo un emprendimiento o quiero iniciar uno","",CHOOSE(MOD(INT((COUNTIF($I$2:I202,I202)-1)/7),3)+1,"Sí","No","Tengo una pero necesito actualizarla"))</f>
        <v>Sí</v>
      </c>
      <c r="R202" s="9" t="str">
        <f>IF(I202="Tengo un emprendimiento o quiero iniciar uno","",IF(I202="Busco mi primer empleo","No",IF(MOD(COUNTIF($I$2:I202,I202)-1,2)=0,"Sí","No")))</f>
        <v>Sí</v>
      </c>
      <c r="S202" t="str">
        <f>IF(I202="Tengo un emprendimiento o quiero iniciar uno","",CHOOSE(MOD(INT((COUNTIF($I$2:I202,I202)-1)/3),10)+1,"Portales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02" t="str">
        <f>IF(I202="Tengo un emprendimiento o quiero iniciar uno","",_xlfn.LET(_xlpm.opcion,MOD(INT((COUNTIF($I$2:I202,I202)-1)/4),6)+1,CHOOSE(IF(AND(_xlpm.opcion=3,Q202="Sí"),1,_xlpm.opcion),"Falta de experiencia","Falta de formación","Dificultades con la hoja de vida","Horarios disponibles","Transporte","Internet")))</f>
        <v>Transporte</v>
      </c>
      <c r="U202" s="9" t="str">
        <f>IF(I202="Tengo un emprendimiento o quiero iniciar uno","",IF(MOD(INT((COUNTIF($I$2:I202,I202)-1)/3),2)=0,"Sí","No"))</f>
        <v>No</v>
      </c>
      <c r="V202" s="9" t="str">
        <f>IF(I202="Tengo un emprendimiento o quiero iniciar uno",CHOOSE(MOD(COUNTIF($I$2:I202,I202)-1,3)+1,"Tengo un emprendimiento","Estoy iniciando un emprendimiento","Me interesa emprender"),"")</f>
        <v/>
      </c>
      <c r="W202" t="str">
        <f t="shared" si="59"/>
        <v/>
      </c>
      <c r="X202" s="9" t="str">
        <f>IF(I202="Tengo un emprendimiento o quiero iniciar uno",CHOOSE(MOD(COUNTIF($I$2:I202,I202)-1,5)+1,"Falta de financiación","Falta de conocimientos administrativos","Falta de conocimientos financieros","Falta de tiempo","Falta de herramientas"),"")</f>
        <v/>
      </c>
      <c r="Y202" s="9" t="str">
        <f t="shared" si="60"/>
        <v/>
      </c>
      <c r="Z202" t="str">
        <f>IF(I202="Tengo un emprendimiento o quiero iniciar uno",CHOOSE(INT(MOD((COUNTIF($I$2:I202,I202)-1)*7,39)/13)+1,"Sí","No","No conozco programas de ese tipo"),"")</f>
        <v/>
      </c>
      <c r="AA202" t="str">
        <f t="shared" si="61"/>
        <v>Puedo hacerlo con dificultad</v>
      </c>
      <c r="AB202" t="str">
        <f t="shared" si="61"/>
        <v>Puedo hacerlo con dificultad</v>
      </c>
      <c r="AC202" t="str">
        <f t="shared" si="62"/>
        <v>Puedo hacerlo con dificultad</v>
      </c>
      <c r="AD202" s="9" t="str">
        <f t="shared" si="63"/>
        <v>Puedo hacerlo con ayuda</v>
      </c>
      <c r="AE202" t="str">
        <f t="shared" si="64"/>
        <v>Puedo hacerlo sin ayuda</v>
      </c>
      <c r="AF202" s="9" t="str">
        <f t="shared" si="65"/>
        <v>Liderazgo</v>
      </c>
      <c r="AG202" s="9" t="str">
        <f t="shared" si="66"/>
        <v>Falta de experiencia</v>
      </c>
      <c r="AH202" t="str">
        <f t="shared" si="67"/>
        <v>Oficina de orientación laboral</v>
      </c>
      <c r="AI202" s="9" t="str">
        <f t="shared" si="68"/>
        <v>Presencial</v>
      </c>
      <c r="AJ202" s="9" t="str">
        <f t="shared" si="69"/>
        <v>Nocturno</v>
      </c>
      <c r="AK202" s="9" t="str">
        <f t="shared" si="70"/>
        <v>Celular</v>
      </c>
    </row>
    <row r="203" spans="1:37">
      <c r="A203" t="str">
        <f t="shared" si="71"/>
        <v>SG202</v>
      </c>
      <c r="B203" t="s">
        <v>418</v>
      </c>
      <c r="C203" s="9" t="s">
        <v>427</v>
      </c>
      <c r="D203" t="str">
        <f t="shared" si="54"/>
        <v>Femenino</v>
      </c>
      <c r="E203" t="str">
        <f t="shared" si="55"/>
        <v>De 20 a 22 años</v>
      </c>
      <c r="F203">
        <f t="shared" si="56"/>
        <v>20</v>
      </c>
      <c r="G203" s="9" t="s">
        <v>428</v>
      </c>
      <c r="H203" s="9" t="str">
        <f t="shared" si="57"/>
        <v>Técnico</v>
      </c>
      <c r="I203" s="9" t="str">
        <f t="shared" si="58"/>
        <v>Actualmente no trabajo y estoy buscando empleo</v>
      </c>
      <c r="J203" s="13" t="str">
        <f>IF(I203="Trabajo actualmente como empleado",IF(MOD((COUNTIF($I$2:I203,"Trabajo actualmente como empleado")-1)*37,150)&lt;100,"Empleado con contrato","Empleado sin contrato formal"),IF(I203="Trabajo de manera independiente","Trabajo independiente",""))</f>
        <v/>
      </c>
      <c r="K203" s="9" t="str">
        <f>IF(OR(I203="Trabajo actualmente como empleado",I203="Trabajo de manera independiente"),CHOOSE(MOD(COUNTIF($I$2:I203,I203)-1,4)+1,"Menos de 3 meses","De 3 a 6 meses","De 7 a 12 meses","Más de un año"),"")</f>
        <v/>
      </c>
      <c r="L203" t="str">
        <f>IF(OR(I203="Trabajo actualmente como empleado",I203="Trabajo de manera independiente"),CHOOSE(MOD(COUNTIF($I$2:I203,I203)-1,3)+1,"Sí, completamente","Parcialmente","No"),"")</f>
        <v/>
      </c>
      <c r="M203" t="str">
        <f>IF(OR(I203="Trabajo actualmente como empleado",I203="Trabajo de manera independiente"),CHOOSE(MOD(INT((COUNTIF($I$2:I203,I203)-1)/3),4)+1,"1- Muy satisfecho/a","2- Satisfecho/a","3- Insatisfecho/a","4- Muy insatisfecho/a"),"")</f>
        <v/>
      </c>
      <c r="N203" t="str">
        <f>IF(OR(I203="Trabajo actualmente como empleado",I203="Trabajo de manera independiente"),_xlfn.LET(_xlpm.opcion,MOD(INT((COUNTIF($I$2:I203,I203)-1)/5),6)+1,CHOOSE(IF(AND(_xlpm.opcion=6,L203="Sí, completamente"),5,_xlpm.opcion),"Salario","Estabilidad laboral","Horario","Acceso a prestaciones","Oportunidades de crecimiento","Trabajar en un área relacionada con mi formación")),"")</f>
        <v/>
      </c>
      <c r="O203" s="9" t="str">
        <f>IF(OR(I203="Trabajo actualmente como empleado",I203="Trabajo de manera independiente"),_xlfn.LET(_xlpm.turno,MOD(COUNTIF($I$2:I203,I203)-1,5),_xlpm.nivel,VALUE(LEFT(M203,1)),IF(_xlpm.turno=4,"No estoy seguro/a",IF(_xlpm.turno&lt;IF(_xlpm.nivel&lt;=2,1,3),"Sí","No"))),"")</f>
        <v/>
      </c>
      <c r="P203" s="9" t="str">
        <f>_xlfn.LET(_xlpm.perfil,I203,_xlpm.turno,COUNTIF($I$2:I203,_xlpm.perfil)-1,_xlpm.busca,OR(_xlpm.perfil="Actualmente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trabajar"),IF(AND(_xlpm.trabaja,O203="No"),"Todavía no he iniciado una búsqueda activa",CHOOSE(MOD(_xlpm.turno*3,5)+1,"Menos de 1 mes","Entre 1 y 3 meses","Entre 4 y 6 meses","Más de 6 meses","Todavía no he iniciado una búsqueda activa")),"")))</f>
        <v>Entre 1 y 3 meses</v>
      </c>
      <c r="Q203" t="str">
        <f>IF(I203="Tengo un emprendimiento o quiero iniciar uno","",CHOOSE(MOD(INT((COUNTIF($I$2:I203,I203)-1)/7),3)+1,"Sí","No","Tengo una pero necesito actualizarla"))</f>
        <v>Tengo una pero necesito actualizarla</v>
      </c>
      <c r="R203" s="9" t="str">
        <f>IF(I203="Tengo un emprendimiento o quiero iniciar uno","",IF(I203="Busco mi primer empleo","No",IF(MOD(COUNTIF($I$2:I203,I203)-1,2)=0,"Sí","No")))</f>
        <v>No</v>
      </c>
      <c r="S203" t="str">
        <f>IF(I203="Tengo un emprendimiento o quiero iniciar uno","",CHOOSE(MOD(INT((COUNTIF($I$2:I203,I203)-1)/3),10)+1,"Portales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03" t="str">
        <f>IF(I203="Tengo un emprendimiento o quiero iniciar uno","",_xlfn.LET(_xlpm.opcion,MOD(INT((COUNTIF($I$2:I203,I203)-1)/4),6)+1,CHOOSE(IF(AND(_xlpm.opcion=3,Q203="Sí"),1,_xlpm.opcion),"Falta de experiencia","Falta de formación","Dificultades con la hoja de vida","Horarios disponibles","Transporte","Internet")))</f>
        <v>Dificultades con la hoja de vida</v>
      </c>
      <c r="U203" s="9" t="str">
        <f>IF(I203="Tengo un emprendimiento o quiero iniciar uno","",IF(MOD(INT((COUNTIF($I$2:I203,I203)-1)/3),2)=0,"Sí","No"))</f>
        <v>No</v>
      </c>
      <c r="V203" s="9" t="str">
        <f>IF(I203="Tengo un emprendimiento o quiero iniciar uno",CHOOSE(MOD(COUNTIF($I$2:I203,I203)-1,3)+1,"Tengo un emprendimiento","Estoy iniciando un emprendimiento","Me interesa emprender"),"")</f>
        <v/>
      </c>
      <c r="W203" t="str">
        <f t="shared" si="59"/>
        <v/>
      </c>
      <c r="X203" s="9" t="str">
        <f>IF(I203="Tengo un emprendimiento o quiero iniciar uno",CHOOSE(MOD(COUNTIF($I$2:I203,I203)-1,5)+1,"Falta de financiación","Falta de conocimientos administrativos","Falta de conocimientos financieros","Falta de tiempo","Falta de herramientas"),"")</f>
        <v/>
      </c>
      <c r="Y203" s="9" t="str">
        <f t="shared" si="60"/>
        <v/>
      </c>
      <c r="Z203" t="str">
        <f>IF(I203="Tengo un emprendimiento o quiero iniciar uno",CHOOSE(INT(MOD((COUNTIF($I$2:I203,I203)-1)*7,39)/13)+1,"Sí","No","No conozco programas de ese tipo"),"")</f>
        <v/>
      </c>
      <c r="AA203" t="str">
        <f t="shared" si="61"/>
        <v>No puedo hacerlo</v>
      </c>
      <c r="AB203" t="str">
        <f t="shared" si="61"/>
        <v>No puedo hacerlo</v>
      </c>
      <c r="AC203" t="str">
        <f t="shared" si="62"/>
        <v>No puedo hacerlo</v>
      </c>
      <c r="AD203" s="9" t="str">
        <f t="shared" si="63"/>
        <v>Puedo hacerlo con dificultad</v>
      </c>
      <c r="AE203" t="str">
        <f t="shared" si="64"/>
        <v>No puedo hacerlo</v>
      </c>
      <c r="AF203" s="9" t="str">
        <f t="shared" si="65"/>
        <v>Emprendimiento</v>
      </c>
      <c r="AG203" s="9" t="str">
        <f t="shared" si="66"/>
        <v>Distancia</v>
      </c>
      <c r="AH203" t="str">
        <f t="shared" si="67"/>
        <v>Programas de emprendimiento</v>
      </c>
      <c r="AI203" s="9" t="str">
        <f t="shared" si="68"/>
        <v>Virtual</v>
      </c>
      <c r="AJ203" s="9" t="str">
        <f t="shared" si="69"/>
        <v>Mañana entre semana</v>
      </c>
      <c r="AK203" s="9" t="str">
        <f t="shared" si="70"/>
        <v>WhatsApp</v>
      </c>
    </row>
    <row r="204" spans="1:37">
      <c r="A204" t="str">
        <f t="shared" si="71"/>
        <v>SG203</v>
      </c>
      <c r="B204" t="s">
        <v>418</v>
      </c>
      <c r="C204" s="9" t="s">
        <v>427</v>
      </c>
      <c r="D204" t="str">
        <f t="shared" si="54"/>
        <v>Femenino</v>
      </c>
      <c r="E204" t="str">
        <f t="shared" si="55"/>
        <v>De 22 a 24 años</v>
      </c>
      <c r="F204">
        <f t="shared" si="56"/>
        <v>22</v>
      </c>
      <c r="G204" s="9" t="s">
        <v>428</v>
      </c>
      <c r="H204" s="9" t="str">
        <f t="shared" si="57"/>
        <v>Técnico</v>
      </c>
      <c r="I204" s="9" t="str">
        <f t="shared" si="58"/>
        <v>Tengo un emprendimiento o quiero iniciar uno</v>
      </c>
      <c r="J204" s="13" t="str">
        <f>IF(I204="Trabajo actualmente como empleado",IF(MOD((COUNTIF($I$2:I204,"Trabajo actualmente como empleado")-1)*37,150)&lt;100,"Empleado con contrato","Empleado sin contrato formal"),IF(I204="Trabajo de manera independiente","Trabajo independiente",""))</f>
        <v/>
      </c>
      <c r="K204" s="9" t="str">
        <f>IF(OR(I204="Trabajo actualmente como empleado",I204="Trabajo de manera independiente"),CHOOSE(MOD(COUNTIF($I$2:I204,I204)-1,4)+1,"Menos de 3 meses","De 3 a 6 meses","De 7 a 12 meses","Más de un año"),"")</f>
        <v/>
      </c>
      <c r="L204" t="str">
        <f>IF(OR(I204="Trabajo actualmente como empleado",I204="Trabajo de manera independiente"),CHOOSE(MOD(COUNTIF($I$2:I204,I204)-1,3)+1,"Sí, completamente","Parcialmente","No"),"")</f>
        <v/>
      </c>
      <c r="M204" t="str">
        <f>IF(OR(I204="Trabajo actualmente como empleado",I204="Trabajo de manera independiente"),CHOOSE(MOD(INT((COUNTIF($I$2:I204,I204)-1)/3),4)+1,"1- Muy satisfecho/a","2- Satisfecho/a","3- Insatisfecho/a","4- Muy insatisfecho/a"),"")</f>
        <v/>
      </c>
      <c r="N204" t="str">
        <f>IF(OR(I204="Trabajo actualmente como empleado",I204="Trabajo de manera independiente"),_xlfn.LET(_xlpm.opcion,MOD(INT((COUNTIF($I$2:I204,I204)-1)/5),6)+1,CHOOSE(IF(AND(_xlpm.opcion=6,L204="Sí, completamente"),5,_xlpm.opcion),"Salario","Estabilidad laboral","Horario","Acceso a prestaciones","Oportunidades de crecimiento","Trabajar en un área relacionada con mi formación")),"")</f>
        <v/>
      </c>
      <c r="O204" s="9" t="str">
        <f>IF(OR(I204="Trabajo actualmente como empleado",I204="Trabajo de manera independiente"),_xlfn.LET(_xlpm.turno,MOD(COUNTIF($I$2:I204,I204)-1,5),_xlpm.nivel,VALUE(LEFT(M204,1)),IF(_xlpm.turno=4,"No estoy seguro/a",IF(_xlpm.turno&lt;IF(_xlpm.nivel&lt;=2,1,3),"Sí","No"))),"")</f>
        <v/>
      </c>
      <c r="P204" s="9" t="str">
        <f>_xlfn.LET(_xlpm.perfil,I204,_xlpm.turno,COUNTIF($I$2:I204,_xlpm.perfil)-1,_xlpm.busca,OR(_xlpm.perfil="Actualmente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trabajar"),IF(AND(_xlpm.trabaja,O204="No"),"Todavía no he iniciado una búsqueda activa",CHOOSE(MOD(_xlpm.turno*3,5)+1,"Menos de 1 mes","Entre 1 y 3 meses","Entre 4 y 6 meses","Más de 6 meses","Todavía no he iniciado una búsqueda activa")),"")))</f>
        <v/>
      </c>
      <c r="Q204" t="str">
        <f>IF(I204="Tengo un emprendimiento o quiero iniciar uno","",CHOOSE(MOD(INT((COUNTIF($I$2:I204,I204)-1)/7),3)+1,"Sí","No","Tengo una pero necesito actualizarla"))</f>
        <v/>
      </c>
      <c r="R204" s="9" t="str">
        <f>IF(I204="Tengo un emprendimiento o quiero iniciar uno","",IF(I204="Busco mi primer empleo","No",IF(MOD(COUNTIF($I$2:I204,I204)-1,2)=0,"Sí","No")))</f>
        <v/>
      </c>
      <c r="S204" t="str">
        <f>IF(I204="Tengo un emprendimiento o quiero iniciar uno","",CHOOSE(MOD(INT((COUNTIF($I$2:I204,I204)-1)/3),10)+1,"Portales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04" t="str">
        <f>IF(I204="Tengo un emprendimiento o quiero iniciar uno","",_xlfn.LET(_xlpm.opcion,MOD(INT((COUNTIF($I$2:I204,I204)-1)/4),6)+1,CHOOSE(IF(AND(_xlpm.opcion=3,Q204="Sí"),1,_xlpm.opcion),"Falta de experiencia","Falta de formación","Dificultades con la hoja de vida","Horarios disponibles","Transporte","Internet")))</f>
        <v/>
      </c>
      <c r="U204" s="9" t="str">
        <f>IF(I204="Tengo un emprendimiento o quiero iniciar uno","",IF(MOD(INT((COUNTIF($I$2:I204,I204)-1)/3),2)=0,"Sí","No"))</f>
        <v/>
      </c>
      <c r="V204" s="9" t="str">
        <f>IF(I204="Tengo un emprendimiento o quiero iniciar uno",CHOOSE(MOD(COUNTIF($I$2:I204,I204)-1,3)+1,"Tengo un emprendimiento","Estoy iniciando un emprendimiento","Me interesa emprender"),"")</f>
        <v>Estoy iniciando un emprendimiento</v>
      </c>
      <c r="W204" t="str">
        <f t="shared" si="59"/>
        <v>Inicio</v>
      </c>
      <c r="X204" s="9" t="str">
        <f>IF(I204="Tengo un emprendimiento o quiero iniciar uno",CHOOSE(MOD(COUNTIF($I$2:I204,I204)-1,5)+1,"Falta de financiación","Falta de conocimientos administrativos","Falta de conocimientos financieros","Falta de tiempo","Falta de herramientas"),"")</f>
        <v>Falta de conocimientos administrativos</v>
      </c>
      <c r="Y204" s="9" t="str">
        <f t="shared" si="60"/>
        <v>Falta de conocimientos administrativos</v>
      </c>
      <c r="Z204" t="str">
        <f>IF(I204="Tengo un emprendimiento o quiero iniciar uno",CHOOSE(INT(MOD((COUNTIF($I$2:I204,I204)-1)*7,39)/13)+1,"Sí","No","No conozco programas de ese tipo"),"")</f>
        <v>No conozco programas de ese tipo</v>
      </c>
      <c r="AA204" t="str">
        <f t="shared" si="61"/>
        <v>Puedo hacerlo con dificultad</v>
      </c>
      <c r="AB204" t="str">
        <f t="shared" si="61"/>
        <v>Puedo hacerlo con dificultad</v>
      </c>
      <c r="AC204" t="str">
        <f t="shared" si="62"/>
        <v>Puedo hacerlo con ayuda</v>
      </c>
      <c r="AD204" s="9" t="str">
        <f t="shared" si="63"/>
        <v>Puedo hacerlo sin ayuda</v>
      </c>
      <c r="AE204" t="str">
        <f t="shared" si="64"/>
        <v>No puedo hacerlo</v>
      </c>
      <c r="AF204" s="9" t="str">
        <f t="shared" si="65"/>
        <v>Herramientas digitales</v>
      </c>
      <c r="AG204" s="9" t="str">
        <f t="shared" si="66"/>
        <v>Distancia</v>
      </c>
      <c r="AH204" t="str">
        <f t="shared" si="67"/>
        <v>Oficina de orientación laboral</v>
      </c>
      <c r="AI204" s="9" t="str">
        <f t="shared" si="68"/>
        <v>Presencial y virtual</v>
      </c>
      <c r="AJ204" s="9" t="str">
        <f t="shared" si="69"/>
        <v>Fines de semana</v>
      </c>
      <c r="AK204" s="9" t="str">
        <f t="shared" si="70"/>
        <v>Redes sociales</v>
      </c>
    </row>
    <row r="205" spans="1:37">
      <c r="A205" t="str">
        <f t="shared" si="71"/>
        <v>SG204</v>
      </c>
      <c r="B205" t="s">
        <v>418</v>
      </c>
      <c r="C205" s="9" t="s">
        <v>427</v>
      </c>
      <c r="D205" t="str">
        <f t="shared" si="54"/>
        <v>Masculino</v>
      </c>
      <c r="E205" t="str">
        <f t="shared" si="55"/>
        <v>De 24 a 26 años</v>
      </c>
      <c r="F205">
        <f t="shared" si="56"/>
        <v>24</v>
      </c>
      <c r="G205" s="9" t="s">
        <v>428</v>
      </c>
      <c r="H205" s="9" t="str">
        <f t="shared" si="57"/>
        <v>Tecnólogo</v>
      </c>
      <c r="I205" s="9" t="str">
        <f t="shared" si="58"/>
        <v>Trabajo de manera independiente</v>
      </c>
      <c r="J205" s="13" t="str">
        <f>IF(I205="Trabajo actualmente como empleado",IF(MOD((COUNTIF($I$2:I205,"Trabajo actualmente como empleado")-1)*37,150)&lt;100,"Empleado con contrato","Empleado sin contrato formal"),IF(I205="Trabajo de manera independiente","Trabajo independiente",""))</f>
        <v>Trabajo independiente</v>
      </c>
      <c r="K205" s="9" t="str">
        <f>IF(OR(I205="Trabajo actualmente como empleado",I205="Trabajo de manera independiente"),CHOOSE(MOD(COUNTIF($I$2:I205,I205)-1,4)+1,"Menos de 3 meses","De 3 a 6 meses","De 7 a 12 meses","Más de un año"),"")</f>
        <v>De 7 a 12 meses</v>
      </c>
      <c r="L205" t="str">
        <f>IF(OR(I205="Trabajo actualmente como empleado",I205="Trabajo de manera independiente"),CHOOSE(MOD(COUNTIF($I$2:I205,I205)-1,3)+1,"Sí, completamente","Parcialmente","No"),"")</f>
        <v>Parcialmente</v>
      </c>
      <c r="M205" t="str">
        <f>IF(OR(I205="Trabajo actualmente como empleado",I205="Trabajo de manera independiente"),CHOOSE(MOD(INT((COUNTIF($I$2:I205,I205)-1)/3),4)+1,"1- Muy satisfecho/a","2- Satisfecho/a","3- Insatisfecho/a","4- Muy insatisfecho/a"),"")</f>
        <v>4- Muy insatisfecho/a</v>
      </c>
      <c r="N205" t="str">
        <f>IF(OR(I205="Trabajo actualmente como empleado",I205="Trabajo de manera independiente"),_xlfn.LET(_xlpm.opcion,MOD(INT((COUNTIF($I$2:I205,I205)-1)/5),6)+1,CHOOSE(IF(AND(_xlpm.opcion=6,L205="Sí, completamente"),5,_xlpm.opcion),"Salario","Estabilidad laboral","Horario","Acceso a prestaciones","Oportunidades de crecimiento","Trabajar en un área relacionada con mi formación")),"")</f>
        <v>Salario</v>
      </c>
      <c r="O205" s="9" t="str">
        <f>IF(OR(I205="Trabajo actualmente como empleado",I205="Trabajo de manera independiente"),_xlfn.LET(_xlpm.turno,MOD(COUNTIF($I$2:I205,I205)-1,5),_xlpm.nivel,VALUE(LEFT(M205,1)),IF(_xlpm.turno=4,"No estoy seguro/a",IF(_xlpm.turno&lt;IF(_xlpm.nivel&lt;=2,1,3),"Sí","No"))),"")</f>
        <v>No estoy seguro/a</v>
      </c>
      <c r="P205" s="9" t="str">
        <f>_xlfn.LET(_xlpm.perfil,I205,_xlpm.turno,COUNTIF($I$2:I205,_xlpm.perfil)-1,_xlpm.busca,OR(_xlpm.perfil="Actualmente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trabajar"),IF(AND(_xlpm.trabaja,O205="No"),"Todavía no he iniciado una búsqueda activa",CHOOSE(MOD(_xlpm.turno*3,5)+1,"Menos de 1 mes","Entre 1 y 3 meses","Entre 4 y 6 meses","Más de 6 meses","Todavía no he iniciado una búsqueda activa")),"")))</f>
        <v>Entre 4 y 6 meses</v>
      </c>
      <c r="Q205" t="str">
        <f>IF(I205="Tengo un emprendimiento o quiero iniciar uno","",CHOOSE(MOD(INT((COUNTIF($I$2:I205,I205)-1)/7),3)+1,"Sí","No","Tengo una pero necesito actualizarla"))</f>
        <v>No</v>
      </c>
      <c r="R205" s="9" t="str">
        <f>IF(I205="Tengo un emprendimiento o quiero iniciar uno","",IF(I205="Busco mi primer empleo","No",IF(MOD(COUNTIF($I$2:I205,I205)-1,2)=0,"Sí","No")))</f>
        <v>Sí</v>
      </c>
      <c r="S205" t="str">
        <f>IF(I205="Tengo un emprendimiento o quiero iniciar uno","",CHOOSE(MOD(INT((COUNTIF($I$2:I205,I205)-1)/3),10)+1,"Portales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05" t="str">
        <f>IF(I205="Tengo un emprendimiento o quiero iniciar uno","",_xlfn.LET(_xlpm.opcion,MOD(INT((COUNTIF($I$2:I205,I205)-1)/4),6)+1,CHOOSE(IF(AND(_xlpm.opcion=3,Q205="Sí"),1,_xlpm.opcion),"Falta de experiencia","Falta de formación","Dificultades con la hoja de vida","Horarios disponibles","Transporte","Internet")))</f>
        <v>Dificultades con la hoja de vida</v>
      </c>
      <c r="U205" s="9" t="str">
        <f>IF(I205="Tengo un emprendimiento o quiero iniciar uno","",IF(MOD(INT((COUNTIF($I$2:I205,I205)-1)/3),2)=0,"Sí","No"))</f>
        <v>No</v>
      </c>
      <c r="V205" s="9" t="str">
        <f>IF(I205="Tengo un emprendimiento o quiero iniciar uno",CHOOSE(MOD(COUNTIF($I$2:I205,I205)-1,3)+1,"Tengo un emprendimiento","Estoy iniciando un emprendimiento","Me interesa emprender"),"")</f>
        <v/>
      </c>
      <c r="W205" t="str">
        <f t="shared" si="59"/>
        <v/>
      </c>
      <c r="X205" s="9" t="str">
        <f>IF(I205="Tengo un emprendimiento o quiero iniciar uno",CHOOSE(MOD(COUNTIF($I$2:I205,I205)-1,5)+1,"Falta de financiación","Falta de conocimientos administrativos","Falta de conocimientos financieros","Falta de tiempo","Falta de herramientas"),"")</f>
        <v/>
      </c>
      <c r="Y205" s="9" t="str">
        <f t="shared" si="60"/>
        <v/>
      </c>
      <c r="Z205" t="str">
        <f>IF(I205="Tengo un emprendimiento o quiero iniciar uno",CHOOSE(INT(MOD((COUNTIF($I$2:I205,I205)-1)*7,39)/13)+1,"Sí","No","No conozco programas de ese tipo"),"")</f>
        <v/>
      </c>
      <c r="AA205" t="str">
        <f t="shared" si="61"/>
        <v>Puedo hacerlo sin ayuda</v>
      </c>
      <c r="AB205" t="str">
        <f t="shared" si="61"/>
        <v>Puedo hacerlo sin ayuda</v>
      </c>
      <c r="AC205" t="str">
        <f t="shared" si="62"/>
        <v>Puedo hacerlo con dificultad</v>
      </c>
      <c r="AD205" s="9" t="str">
        <f t="shared" si="63"/>
        <v>Puedo hacerlo sin ayuda</v>
      </c>
      <c r="AE205" t="str">
        <f t="shared" si="64"/>
        <v>Puedo hacerlo con ayuda</v>
      </c>
      <c r="AF205" s="9" t="str">
        <f t="shared" si="65"/>
        <v>Educación financiera</v>
      </c>
      <c r="AG205" s="9" t="str">
        <f t="shared" si="66"/>
        <v>Distancia</v>
      </c>
      <c r="AH205" t="str">
        <f t="shared" si="67"/>
        <v>Ferias de empleo</v>
      </c>
      <c r="AI205" s="9" t="str">
        <f t="shared" si="68"/>
        <v>Me es indiferente</v>
      </c>
      <c r="AJ205" s="9" t="str">
        <f t="shared" si="69"/>
        <v>Nocturno</v>
      </c>
      <c r="AK205" s="9" t="str">
        <f t="shared" si="70"/>
        <v>Celular</v>
      </c>
    </row>
    <row r="206" spans="1:37">
      <c r="A206" t="str">
        <f t="shared" si="71"/>
        <v>SG205</v>
      </c>
      <c r="B206" t="s">
        <v>418</v>
      </c>
      <c r="C206" s="9" t="s">
        <v>427</v>
      </c>
      <c r="D206" t="str">
        <f t="shared" si="54"/>
        <v>Masculino</v>
      </c>
      <c r="E206" t="str">
        <f t="shared" si="55"/>
        <v>De 26 a 28 años</v>
      </c>
      <c r="F206">
        <f t="shared" si="56"/>
        <v>27</v>
      </c>
      <c r="G206" s="9" t="s">
        <v>428</v>
      </c>
      <c r="H206" s="9" t="str">
        <f t="shared" si="57"/>
        <v>Profesional</v>
      </c>
      <c r="I206" s="9" t="str">
        <f t="shared" si="58"/>
        <v>Busco mi primer empleo</v>
      </c>
      <c r="J206" s="13" t="str">
        <f>IF(I206="Trabajo actualmente como empleado",IF(MOD((COUNTIF($I$2:I206,"Trabajo actualmente como empleado")-1)*37,150)&lt;100,"Empleado con contrato","Empleado sin contrato formal"),IF(I206="Trabajo de manera independiente","Trabajo independiente",""))</f>
        <v/>
      </c>
      <c r="K206" s="9" t="str">
        <f>IF(OR(I206="Trabajo actualmente como empleado",I206="Trabajo de manera independiente"),CHOOSE(MOD(COUNTIF($I$2:I206,I206)-1,4)+1,"Menos de 3 meses","De 3 a 6 meses","De 7 a 12 meses","Más de un año"),"")</f>
        <v/>
      </c>
      <c r="L206" t="str">
        <f>IF(OR(I206="Trabajo actualmente como empleado",I206="Trabajo de manera independiente"),CHOOSE(MOD(COUNTIF($I$2:I206,I206)-1,3)+1,"Sí, completamente","Parcialmente","No"),"")</f>
        <v/>
      </c>
      <c r="M206" t="str">
        <f>IF(OR(I206="Trabajo actualmente como empleado",I206="Trabajo de manera independiente"),CHOOSE(MOD(INT((COUNTIF($I$2:I206,I206)-1)/3),4)+1,"1- Muy satisfecho/a","2- Satisfecho/a","3- Insatisfecho/a","4- Muy insatisfecho/a"),"")</f>
        <v/>
      </c>
      <c r="N206" t="str">
        <f>IF(OR(I206="Trabajo actualmente como empleado",I206="Trabajo de manera independiente"),_xlfn.LET(_xlpm.opcion,MOD(INT((COUNTIF($I$2:I206,I206)-1)/5),6)+1,CHOOSE(IF(AND(_xlpm.opcion=6,L206="Sí, completamente"),5,_xlpm.opcion),"Salario","Estabilidad laboral","Horario","Acceso a prestaciones","Oportunidades de crecimiento","Trabajar en un área relacionada con mi formación")),"")</f>
        <v/>
      </c>
      <c r="O206" s="9" t="str">
        <f>IF(OR(I206="Trabajo actualmente como empleado",I206="Trabajo de manera independiente"),_xlfn.LET(_xlpm.turno,MOD(COUNTIF($I$2:I206,I206)-1,5),_xlpm.nivel,VALUE(LEFT(M206,1)),IF(_xlpm.turno=4,"No estoy seguro/a",IF(_xlpm.turno&lt;IF(_xlpm.nivel&lt;=2,1,3),"Sí","No"))),"")</f>
        <v/>
      </c>
      <c r="P206" s="9" t="str">
        <f>_xlfn.LET(_xlpm.perfil,I206,_xlpm.turno,COUNTIF($I$2:I206,_xlpm.perfil)-1,_xlpm.busca,OR(_xlpm.perfil="Actualmente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trabajar"),IF(AND(_xlpm.trabaja,O206="No"),"Todavía no he iniciado una búsqueda activa",CHOOSE(MOD(_xlpm.turno*3,5)+1,"Menos de 1 mes","Entre 1 y 3 meses","Entre 4 y 6 meses","Más de 6 meses","Todavía no he iniciado una búsqueda activa")),"")))</f>
        <v>Menos de 1 mes</v>
      </c>
      <c r="Q206" t="str">
        <f>IF(I206="Tengo un emprendimiento o quiero iniciar uno","",CHOOSE(MOD(INT((COUNTIF($I$2:I206,I206)-1)/7),3)+1,"Sí","No","Tengo una pero necesito actualizarla"))</f>
        <v>No</v>
      </c>
      <c r="R206" s="9" t="str">
        <f>IF(I206="Tengo un emprendimiento o quiero iniciar uno","",IF(I206="Busco mi primer empleo","No",IF(MOD(COUNTIF($I$2:I206,I206)-1,2)=0,"Sí","No")))</f>
        <v>No</v>
      </c>
      <c r="S206" t="str">
        <f>IF(I206="Tengo un emprendimiento o quiero iniciar uno","",CHOOSE(MOD(INT((COUNTIF($I$2:I206,I206)-1)/3),10)+1,"Portales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06" t="str">
        <f>IF(I206="Tengo un emprendimiento o quiero iniciar uno","",_xlfn.LET(_xlpm.opcion,MOD(INT((COUNTIF($I$2:I206,I206)-1)/4),6)+1,CHOOSE(IF(AND(_xlpm.opcion=3,Q206="Sí"),1,_xlpm.opcion),"Falta de experiencia","Falta de formación","Dificultades con la hoja de vida","Horarios disponibles","Transporte","Internet")))</f>
        <v>Falta de formación</v>
      </c>
      <c r="U206" s="9" t="str">
        <f>IF(I206="Tengo un emprendimiento o quiero iniciar uno","",IF(MOD(INT((COUNTIF($I$2:I206,I206)-1)/3),2)=0,"Sí","No"))</f>
        <v>No</v>
      </c>
      <c r="V206" s="9" t="str">
        <f>IF(I206="Tengo un emprendimiento o quiero iniciar uno",CHOOSE(MOD(COUNTIF($I$2:I206,I206)-1,3)+1,"Tengo un emprendimiento","Estoy iniciando un emprendimiento","Me interesa emprender"),"")</f>
        <v/>
      </c>
      <c r="W206" t="str">
        <f t="shared" si="59"/>
        <v/>
      </c>
      <c r="X206" s="9" t="str">
        <f>IF(I206="Tengo un emprendimiento o quiero iniciar uno",CHOOSE(MOD(COUNTIF($I$2:I206,I206)-1,5)+1,"Falta de financiación","Falta de conocimientos administrativos","Falta de conocimientos financieros","Falta de tiempo","Falta de herramientas"),"")</f>
        <v/>
      </c>
      <c r="Y206" s="9" t="str">
        <f t="shared" si="60"/>
        <v/>
      </c>
      <c r="Z206" t="str">
        <f>IF(I206="Tengo un emprendimiento o quiero iniciar uno",CHOOSE(INT(MOD((COUNTIF($I$2:I206,I206)-1)*7,39)/13)+1,"Sí","No","No conozco programas de ese tipo"),"")</f>
        <v/>
      </c>
      <c r="AA206" t="str">
        <f t="shared" si="61"/>
        <v>Puedo hacerlo con ayuda</v>
      </c>
      <c r="AB206" t="str">
        <f t="shared" si="61"/>
        <v>Puedo hacerlo con ayuda</v>
      </c>
      <c r="AC206" t="str">
        <f t="shared" si="62"/>
        <v>No puedo hacerlo</v>
      </c>
      <c r="AD206" s="9" t="str">
        <f t="shared" si="63"/>
        <v>No puedo hacerlo</v>
      </c>
      <c r="AE206" t="str">
        <f t="shared" si="64"/>
        <v>Puedo hacerlo con ayuda</v>
      </c>
      <c r="AF206" s="9" t="str">
        <f t="shared" si="65"/>
        <v>Crear una hoja de vida;Preparación para entrevista</v>
      </c>
      <c r="AG206" s="9" t="str">
        <f t="shared" si="66"/>
        <v>Falta de experiencia;Falta de información</v>
      </c>
      <c r="AH206" t="str">
        <f t="shared" si="67"/>
        <v>No conozco ninguno</v>
      </c>
      <c r="AI206" s="9" t="str">
        <f t="shared" si="68"/>
        <v>Presencial</v>
      </c>
      <c r="AJ206" s="9" t="str">
        <f t="shared" si="69"/>
        <v>Mañana entre semana</v>
      </c>
      <c r="AK206" s="9" t="str">
        <f t="shared" si="70"/>
        <v>Correo electrónico</v>
      </c>
    </row>
    <row r="207" spans="1:37">
      <c r="A207" t="str">
        <f t="shared" si="71"/>
        <v>SG206</v>
      </c>
      <c r="B207" t="s">
        <v>418</v>
      </c>
      <c r="C207" s="9" t="s">
        <v>427</v>
      </c>
      <c r="D207" t="str">
        <f t="shared" si="54"/>
        <v>Femenino</v>
      </c>
      <c r="E207" t="str">
        <f t="shared" si="55"/>
        <v>De 18 a 20 años</v>
      </c>
      <c r="F207">
        <f t="shared" si="56"/>
        <v>19</v>
      </c>
      <c r="G207" s="9" t="s">
        <v>428</v>
      </c>
      <c r="H207" s="9" t="str">
        <f t="shared" si="57"/>
        <v>Técnico</v>
      </c>
      <c r="I207" s="9" t="str">
        <f t="shared" si="58"/>
        <v>Trabajo actualmente como empleado</v>
      </c>
      <c r="J207" s="13" t="str">
        <f>IF(I207="Trabajo actualmente como empleado",IF(MOD((COUNTIF($I$2:I207,"Trabajo actualmente como empleado")-1)*37,150)&lt;100,"Empleado con contrato","Empleado sin contrato formal"),IF(I207="Trabajo de manera independiente","Trabajo independiente",""))</f>
        <v>Empleado con contrato</v>
      </c>
      <c r="K207" s="9" t="str">
        <f>IF(OR(I207="Trabajo actualmente como empleado",I207="Trabajo de manera independiente"),CHOOSE(MOD(COUNTIF($I$2:I207,I207)-1,4)+1,"Menos de 3 meses","De 3 a 6 meses","De 7 a 12 meses","Más de un año"),"")</f>
        <v>De 3 a 6 meses</v>
      </c>
      <c r="L207" t="str">
        <f>IF(OR(I207="Trabajo actualmente como empleado",I207="Trabajo de manera independiente"),CHOOSE(MOD(COUNTIF($I$2:I207,I207)-1,3)+1,"Sí, completamente","Parcialmente","No"),"")</f>
        <v>No</v>
      </c>
      <c r="M207" t="str">
        <f>IF(OR(I207="Trabajo actualmente como empleado",I207="Trabajo de manera independiente"),CHOOSE(MOD(INT((COUNTIF($I$2:I207,I207)-1)/3),4)+1,"1- Muy satisfecho/a","2- Satisfecho/a","3- Insatisfecho/a","4- Muy insatisfecho/a"),"")</f>
        <v>2- Satisfecho/a</v>
      </c>
      <c r="N207" t="str">
        <f>IF(OR(I207="Trabajo actualmente como empleado",I207="Trabajo de manera independiente"),_xlfn.LET(_xlpm.opcion,MOD(INT((COUNTIF($I$2:I207,I207)-1)/5),6)+1,CHOOSE(IF(AND(_xlpm.opcion=6,L207="Sí, completamente"),5,_xlpm.opcion),"Salario","Estabilidad laboral","Horario","Acceso a prestaciones","Oportunidades de crecimiento","Trabajar en un área relacionada con mi formación")),"")</f>
        <v>Estabilidad laboral</v>
      </c>
      <c r="O207" s="9" t="str">
        <f>IF(OR(I207="Trabajo actualmente como empleado",I207="Trabajo de manera independiente"),_xlfn.LET(_xlpm.turno,MOD(COUNTIF($I$2:I207,I207)-1,5),_xlpm.nivel,VALUE(LEFT(M207,1)),IF(_xlpm.turno=4,"No estoy seguro/a",IF(_xlpm.turno&lt;IF(_xlpm.nivel&lt;=2,1,3),"Sí","No"))),"")</f>
        <v>Sí</v>
      </c>
      <c r="P207" s="9" t="str">
        <f>_xlfn.LET(_xlpm.perfil,I207,_xlpm.turno,COUNTIF($I$2:I207,_xlpm.perfil)-1,_xlpm.busca,OR(_xlpm.perfil="Actualmente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trabajar"),IF(AND(_xlpm.trabaja,O207="No"),"Todavía no he iniciado una búsqueda activa",CHOOSE(MOD(_xlpm.turno*3,5)+1,"Menos de 1 mes","Entre 1 y 3 meses","Entre 4 y 6 meses","Más de 6 meses","Todavía no he iniciado una búsqueda activa")),"")))</f>
        <v>Menos de 1 mes</v>
      </c>
      <c r="Q207" t="str">
        <f>IF(I207="Tengo un emprendimiento o quiero iniciar uno","",CHOOSE(MOD(INT((COUNTIF($I$2:I207,I207)-1)/7),3)+1,"Sí","No","Tengo una pero necesito actualizarla"))</f>
        <v>Sí</v>
      </c>
      <c r="R207" s="9" t="str">
        <f>IF(I207="Tengo un emprendimiento o quiero iniciar uno","",IF(I207="Busco mi primer empleo","No",IF(MOD(COUNTIF($I$2:I207,I207)-1,2)=0,"Sí","No")))</f>
        <v>No</v>
      </c>
      <c r="S207" t="str">
        <f>IF(I207="Tengo un emprendimiento o quiero iniciar uno","",CHOOSE(MOD(INT((COUNTIF($I$2:I207,I207)-1)/3),10)+1,"Portales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07" t="str">
        <f>IF(I207="Tengo un emprendimiento o quiero iniciar uno","",_xlfn.LET(_xlpm.opcion,MOD(INT((COUNTIF($I$2:I207,I207)-1)/4),6)+1,CHOOSE(IF(AND(_xlpm.opcion=3,Q207="Sí"),1,_xlpm.opcion),"Falta de experiencia","Falta de formación","Dificultades con la hoja de vida","Horarios disponibles","Transporte","Internet")))</f>
        <v>Transporte</v>
      </c>
      <c r="U207" s="9" t="str">
        <f>IF(I207="Tengo un emprendimiento o quiero iniciar uno","",IF(MOD(INT((COUNTIF($I$2:I207,I207)-1)/3),2)=0,"Sí","No"))</f>
        <v>No</v>
      </c>
      <c r="V207" s="9" t="str">
        <f>IF(I207="Tengo un emprendimiento o quiero iniciar uno",CHOOSE(MOD(COUNTIF($I$2:I207,I207)-1,3)+1,"Tengo un emprendimiento","Estoy iniciando un emprendimiento","Me interesa emprender"),"")</f>
        <v/>
      </c>
      <c r="W207" t="str">
        <f t="shared" si="59"/>
        <v/>
      </c>
      <c r="X207" s="9" t="str">
        <f>IF(I207="Tengo un emprendimiento o quiero iniciar uno",CHOOSE(MOD(COUNTIF($I$2:I207,I207)-1,5)+1,"Falta de financiación","Falta de conocimientos administrativos","Falta de conocimientos financieros","Falta de tiempo","Falta de herramientas"),"")</f>
        <v/>
      </c>
      <c r="Y207" s="9" t="str">
        <f t="shared" si="60"/>
        <v/>
      </c>
      <c r="Z207" t="str">
        <f>IF(I207="Tengo un emprendimiento o quiero iniciar uno",CHOOSE(INT(MOD((COUNTIF($I$2:I207,I207)-1)*7,39)/13)+1,"Sí","No","No conozco programas de ese tipo"),"")</f>
        <v/>
      </c>
      <c r="AA207" t="str">
        <f t="shared" si="61"/>
        <v>Puedo hacerlo con dificultad</v>
      </c>
      <c r="AB207" t="str">
        <f t="shared" si="61"/>
        <v>Puedo hacerlo con dificultad</v>
      </c>
      <c r="AC207" t="str">
        <f t="shared" si="62"/>
        <v>Puedo hacerlo con ayuda</v>
      </c>
      <c r="AD207" s="9" t="str">
        <f t="shared" si="63"/>
        <v>Puedo hacerlo con ayuda</v>
      </c>
      <c r="AE207" t="str">
        <f t="shared" si="64"/>
        <v>Puedo hacerlo con dificultad</v>
      </c>
      <c r="AF207" s="9" t="str">
        <f t="shared" si="65"/>
        <v>Comunicación;Liderazgo</v>
      </c>
      <c r="AG207" s="9" t="str">
        <f t="shared" si="66"/>
        <v>Falta de experiencia;Falta de información</v>
      </c>
      <c r="AH207" t="str">
        <f t="shared" si="67"/>
        <v>Ferias de empleo</v>
      </c>
      <c r="AI207" s="9" t="str">
        <f t="shared" si="68"/>
        <v>Presencial y virtual</v>
      </c>
      <c r="AJ207" s="9" t="str">
        <f t="shared" si="69"/>
        <v>Fines de semana</v>
      </c>
      <c r="AK207" s="9" t="str">
        <f t="shared" si="70"/>
        <v>Redes sociales</v>
      </c>
    </row>
    <row r="208" spans="1:37">
      <c r="A208" t="str">
        <f t="shared" si="71"/>
        <v>SG207</v>
      </c>
      <c r="B208" t="s">
        <v>418</v>
      </c>
      <c r="C208" s="9" t="s">
        <v>427</v>
      </c>
      <c r="D208" t="str">
        <f t="shared" si="54"/>
        <v>Femenino</v>
      </c>
      <c r="E208" t="str">
        <f t="shared" si="55"/>
        <v>De 20 a 22 años</v>
      </c>
      <c r="F208">
        <f t="shared" si="56"/>
        <v>21</v>
      </c>
      <c r="G208" s="9" t="s">
        <v>428</v>
      </c>
      <c r="H208" s="9" t="str">
        <f t="shared" si="57"/>
        <v>Tecnólogo</v>
      </c>
      <c r="I208" s="9" t="str">
        <f t="shared" si="58"/>
        <v>Trabajo de manera independiente</v>
      </c>
      <c r="J208" s="13" t="str">
        <f>IF(I208="Trabajo actualmente como empleado",IF(MOD((COUNTIF($I$2:I208,"Trabajo actualmente como empleado")-1)*37,150)&lt;100,"Empleado con contrato","Empleado sin contrato formal"),IF(I208="Trabajo de manera independiente","Trabajo independiente",""))</f>
        <v>Trabajo independiente</v>
      </c>
      <c r="K208" s="9" t="str">
        <f>IF(OR(I208="Trabajo actualmente como empleado",I208="Trabajo de manera independiente"),CHOOSE(MOD(COUNTIF($I$2:I208,I208)-1,4)+1,"Menos de 3 meses","De 3 a 6 meses","De 7 a 12 meses","Más de un año"),"")</f>
        <v>Más de un año</v>
      </c>
      <c r="L208" t="str">
        <f>IF(OR(I208="Trabajo actualmente como empleado",I208="Trabajo de manera independiente"),CHOOSE(MOD(COUNTIF($I$2:I208,I208)-1,3)+1,"Sí, completamente","Parcialmente","No"),"")</f>
        <v>No</v>
      </c>
      <c r="M208" t="str">
        <f>IF(OR(I208="Trabajo actualmente como empleado",I208="Trabajo de manera independiente"),CHOOSE(MOD(INT((COUNTIF($I$2:I208,I208)-1)/3),4)+1,"1- Muy satisfecho/a","2- Satisfecho/a","3- Insatisfecho/a","4- Muy insatisfecho/a"),"")</f>
        <v>4- Muy insatisfecho/a</v>
      </c>
      <c r="N208" t="str">
        <f>IF(OR(I208="Trabajo actualmente como empleado",I208="Trabajo de manera independiente"),_xlfn.LET(_xlpm.opcion,MOD(INT((COUNTIF($I$2:I208,I208)-1)/5),6)+1,CHOOSE(IF(AND(_xlpm.opcion=6,L208="Sí, completamente"),5,_xlpm.opcion),"Salario","Estabilidad laboral","Horario","Acceso a prestaciones","Oportunidades de crecimiento","Trabajar en un área relacionada con mi formación")),"")</f>
        <v>Estabilidad laboral</v>
      </c>
      <c r="O208" s="9" t="str">
        <f>IF(OR(I208="Trabajo actualmente como empleado",I208="Trabajo de manera independiente"),_xlfn.LET(_xlpm.turno,MOD(COUNTIF($I$2:I208,I208)-1,5),_xlpm.nivel,VALUE(LEFT(M208,1)),IF(_xlpm.turno=4,"No estoy seguro/a",IF(_xlpm.turno&lt;IF(_xlpm.nivel&lt;=2,1,3),"Sí","No"))),"")</f>
        <v>Sí</v>
      </c>
      <c r="P208" s="9" t="str">
        <f>_xlfn.LET(_xlpm.perfil,I208,_xlpm.turno,COUNTIF($I$2:I208,_xlpm.perfil)-1,_xlpm.busca,OR(_xlpm.perfil="Actualmente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trabajar"),IF(AND(_xlpm.trabaja,O208="No"),"Todavía no he iniciado una búsqueda activa",CHOOSE(MOD(_xlpm.turno*3,5)+1,"Menos de 1 mes","Entre 1 y 3 meses","Entre 4 y 6 meses","Más de 6 meses","Todavía no he iniciado una búsqueda activa")),"")))</f>
        <v>Menos de 1 mes</v>
      </c>
      <c r="Q208" t="str">
        <f>IF(I208="Tengo un emprendimiento o quiero iniciar uno","",CHOOSE(MOD(INT((COUNTIF($I$2:I208,I208)-1)/7),3)+1,"Sí","No","Tengo una pero necesito actualizarla"))</f>
        <v>Tengo una pero necesito actualizarla</v>
      </c>
      <c r="R208" s="9" t="str">
        <f>IF(I208="Tengo un emprendimiento o quiero iniciar uno","",IF(I208="Busco mi primer empleo","No",IF(MOD(COUNTIF($I$2:I208,I208)-1,2)=0,"Sí","No")))</f>
        <v>No</v>
      </c>
      <c r="S208" t="str">
        <f>IF(I208="Tengo un emprendimiento o quiero iniciar uno","",CHOOSE(MOD(INT((COUNTIF($I$2:I208,I208)-1)/3),10)+1,"Portales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08" t="str">
        <f>IF(I208="Tengo un emprendimiento o quiero iniciar uno","",_xlfn.LET(_xlpm.opcion,MOD(INT((COUNTIF($I$2:I208,I208)-1)/4),6)+1,CHOOSE(IF(AND(_xlpm.opcion=3,Q208="Sí"),1,_xlpm.opcion),"Falta de experiencia","Falta de formación","Dificultades con la hoja de vida","Horarios disponibles","Transporte","Internet")))</f>
        <v>Dificultades con la hoja de vida</v>
      </c>
      <c r="U208" s="9" t="str">
        <f>IF(I208="Tengo un emprendimiento o quiero iniciar uno","",IF(MOD(INT((COUNTIF($I$2:I208,I208)-1)/3),2)=0,"Sí","No"))</f>
        <v>No</v>
      </c>
      <c r="V208" s="9" t="str">
        <f>IF(I208="Tengo un emprendimiento o quiero iniciar uno",CHOOSE(MOD(COUNTIF($I$2:I208,I208)-1,3)+1,"Tengo un emprendimiento","Estoy iniciando un emprendimiento","Me interesa emprender"),"")</f>
        <v/>
      </c>
      <c r="W208" t="str">
        <f t="shared" si="59"/>
        <v/>
      </c>
      <c r="X208" s="9" t="str">
        <f>IF(I208="Tengo un emprendimiento o quiero iniciar uno",CHOOSE(MOD(COUNTIF($I$2:I208,I208)-1,5)+1,"Falta de financiación","Falta de conocimientos administrativos","Falta de conocimientos financieros","Falta de tiempo","Falta de herramientas"),"")</f>
        <v/>
      </c>
      <c r="Y208" s="9" t="str">
        <f t="shared" si="60"/>
        <v/>
      </c>
      <c r="Z208" t="str">
        <f>IF(I208="Tengo un emprendimiento o quiero iniciar uno",CHOOSE(INT(MOD((COUNTIF($I$2:I208,I208)-1)*7,39)/13)+1,"Sí","No","No conozco programas de ese tipo"),"")</f>
        <v/>
      </c>
      <c r="AA208" t="str">
        <f t="shared" si="61"/>
        <v>No puedo hacerlo</v>
      </c>
      <c r="AB208" t="str">
        <f t="shared" si="61"/>
        <v>No puedo hacerlo</v>
      </c>
      <c r="AC208" t="str">
        <f t="shared" si="62"/>
        <v>Puedo hacerlo con dificultad</v>
      </c>
      <c r="AD208" s="9" t="str">
        <f t="shared" si="63"/>
        <v>Puedo hacerlo con dificultad</v>
      </c>
      <c r="AE208" t="str">
        <f t="shared" si="64"/>
        <v>Puedo hacerlo sin ayuda</v>
      </c>
      <c r="AF208" s="9" t="str">
        <f t="shared" si="65"/>
        <v>Herramientas digitales;Educación financiera</v>
      </c>
      <c r="AG208" s="9" t="str">
        <f t="shared" si="66"/>
        <v>Falta de experiencia;Falta de información</v>
      </c>
      <c r="AH208" t="str">
        <f t="shared" si="67"/>
        <v>Programas de emprendimiento</v>
      </c>
      <c r="AI208" s="9" t="str">
        <f t="shared" si="68"/>
        <v>Me es indiferente</v>
      </c>
      <c r="AJ208" s="9" t="str">
        <f t="shared" si="69"/>
        <v>Nocturno</v>
      </c>
      <c r="AK208" s="9" t="str">
        <f t="shared" si="70"/>
        <v>WhatsApp</v>
      </c>
    </row>
    <row r="209" spans="1:37">
      <c r="A209" t="str">
        <f t="shared" si="71"/>
        <v>SG208</v>
      </c>
      <c r="B209" t="s">
        <v>418</v>
      </c>
      <c r="C209" s="9" t="s">
        <v>427</v>
      </c>
      <c r="D209" t="str">
        <f t="shared" si="54"/>
        <v>Masculino</v>
      </c>
      <c r="E209" t="str">
        <f t="shared" si="55"/>
        <v>De 22 a 24 años</v>
      </c>
      <c r="F209">
        <f t="shared" si="56"/>
        <v>23</v>
      </c>
      <c r="G209" s="9" t="s">
        <v>428</v>
      </c>
      <c r="H209" s="9" t="str">
        <f t="shared" si="57"/>
        <v>Profesional</v>
      </c>
      <c r="I209" s="9" t="str">
        <f t="shared" si="58"/>
        <v>Busco mi primer empleo</v>
      </c>
      <c r="J209" s="13" t="str">
        <f>IF(I209="Trabajo actualmente como empleado",IF(MOD((COUNTIF($I$2:I209,"Trabajo actualmente como empleado")-1)*37,150)&lt;100,"Empleado con contrato","Empleado sin contrato formal"),IF(I209="Trabajo de manera independiente","Trabajo independiente",""))</f>
        <v/>
      </c>
      <c r="K209" s="9" t="str">
        <f>IF(OR(I209="Trabajo actualmente como empleado",I209="Trabajo de manera independiente"),CHOOSE(MOD(COUNTIF($I$2:I209,I209)-1,4)+1,"Menos de 3 meses","De 3 a 6 meses","De 7 a 12 meses","Más de un año"),"")</f>
        <v/>
      </c>
      <c r="L209" t="str">
        <f>IF(OR(I209="Trabajo actualmente como empleado",I209="Trabajo de manera independiente"),CHOOSE(MOD(COUNTIF($I$2:I209,I209)-1,3)+1,"Sí, completamente","Parcialmente","No"),"")</f>
        <v/>
      </c>
      <c r="M209" t="str">
        <f>IF(OR(I209="Trabajo actualmente como empleado",I209="Trabajo de manera independiente"),CHOOSE(MOD(INT((COUNTIF($I$2:I209,I209)-1)/3),4)+1,"1- Muy satisfecho/a","2- Satisfecho/a","3- Insatisfecho/a","4- Muy insatisfecho/a"),"")</f>
        <v/>
      </c>
      <c r="N209" t="str">
        <f>IF(OR(I209="Trabajo actualmente como empleado",I209="Trabajo de manera independiente"),_xlfn.LET(_xlpm.opcion,MOD(INT((COUNTIF($I$2:I209,I209)-1)/5),6)+1,CHOOSE(IF(AND(_xlpm.opcion=6,L209="Sí, completamente"),5,_xlpm.opcion),"Salario","Estabilidad laboral","Horario","Acceso a prestaciones","Oportunidades de crecimiento","Trabajar en un área relacionada con mi formación")),"")</f>
        <v/>
      </c>
      <c r="O209" s="9" t="str">
        <f>IF(OR(I209="Trabajo actualmente como empleado",I209="Trabajo de manera independiente"),_xlfn.LET(_xlpm.turno,MOD(COUNTIF($I$2:I209,I209)-1,5),_xlpm.nivel,VALUE(LEFT(M209,1)),IF(_xlpm.turno=4,"No estoy seguro/a",IF(_xlpm.turno&lt;IF(_xlpm.nivel&lt;=2,1,3),"Sí","No"))),"")</f>
        <v/>
      </c>
      <c r="P209" s="9" t="str">
        <f>_xlfn.LET(_xlpm.perfil,I209,_xlpm.turno,COUNTIF($I$2:I209,_xlpm.perfil)-1,_xlpm.busca,OR(_xlpm.perfil="Actualmente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trabajar"),IF(AND(_xlpm.trabaja,O209="No"),"Todavía no he iniciado una búsqueda activa",CHOOSE(MOD(_xlpm.turno*3,5)+1,"Menos de 1 mes","Entre 1 y 3 meses","Entre 4 y 6 meses","Más de 6 meses","Todavía no he iniciado una búsqueda activa")),"")))</f>
        <v>Más de 6 meses</v>
      </c>
      <c r="Q209" t="str">
        <f>IF(I209="Tengo un emprendimiento o quiero iniciar uno","",CHOOSE(MOD(INT((COUNTIF($I$2:I209,I209)-1)/7),3)+1,"Sí","No","Tengo una pero necesito actualizarla"))</f>
        <v>No</v>
      </c>
      <c r="R209" s="9" t="str">
        <f>IF(I209="Tengo un emprendimiento o quiero iniciar uno","",IF(I209="Busco mi primer empleo","No",IF(MOD(COUNTIF($I$2:I209,I209)-1,2)=0,"Sí","No")))</f>
        <v>No</v>
      </c>
      <c r="S209" t="str">
        <f>IF(I209="Tengo un emprendimiento o quiero iniciar uno","",CHOOSE(MOD(INT((COUNTIF($I$2:I209,I209)-1)/3),10)+1,"Portales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09" t="str">
        <f>IF(I209="Tengo un emprendimiento o quiero iniciar uno","",_xlfn.LET(_xlpm.opcion,MOD(INT((COUNTIF($I$2:I209,I209)-1)/4),6)+1,CHOOSE(IF(AND(_xlpm.opcion=3,Q209="Sí"),1,_xlpm.opcion),"Falta de experiencia","Falta de formación","Dificultades con la hoja de vida","Horarios disponibles","Transporte","Internet")))</f>
        <v>Falta de formación</v>
      </c>
      <c r="U209" s="9" t="str">
        <f>IF(I209="Tengo un emprendimiento o quiero iniciar uno","",IF(MOD(INT((COUNTIF($I$2:I209,I209)-1)/3),2)=0,"Sí","No"))</f>
        <v>No</v>
      </c>
      <c r="V209" s="9" t="str">
        <f>IF(I209="Tengo un emprendimiento o quiero iniciar uno",CHOOSE(MOD(COUNTIF($I$2:I209,I209)-1,3)+1,"Tengo un emprendimiento","Estoy iniciando un emprendimiento","Me interesa emprender"),"")</f>
        <v/>
      </c>
      <c r="W209" t="str">
        <f t="shared" si="59"/>
        <v/>
      </c>
      <c r="X209" s="9" t="str">
        <f>IF(I209="Tengo un emprendimiento o quiero iniciar uno",CHOOSE(MOD(COUNTIF($I$2:I209,I209)-1,5)+1,"Falta de financiación","Falta de conocimientos administrativos","Falta de conocimientos financieros","Falta de tiempo","Falta de herramientas"),"")</f>
        <v/>
      </c>
      <c r="Y209" s="9" t="str">
        <f t="shared" si="60"/>
        <v/>
      </c>
      <c r="Z209" t="str">
        <f>IF(I209="Tengo un emprendimiento o quiero iniciar uno",CHOOSE(INT(MOD((COUNTIF($I$2:I209,I209)-1)*7,39)/13)+1,"Sí","No","No conozco programas de ese tipo"),"")</f>
        <v/>
      </c>
      <c r="AA209" t="str">
        <f t="shared" si="61"/>
        <v>Puedo hacerlo con dificultad</v>
      </c>
      <c r="AB209" t="str">
        <f t="shared" si="61"/>
        <v>Puedo hacerlo con dificultad</v>
      </c>
      <c r="AC209" t="str">
        <f t="shared" si="62"/>
        <v>No puedo hacerlo</v>
      </c>
      <c r="AD209" s="9" t="str">
        <f t="shared" si="63"/>
        <v>Puedo hacerlo con dificultad</v>
      </c>
      <c r="AE209" t="str">
        <f t="shared" si="64"/>
        <v>Puedo hacerlo sin ayuda</v>
      </c>
      <c r="AF209" s="9" t="str">
        <f t="shared" si="65"/>
        <v>Crear una hoja de vida</v>
      </c>
      <c r="AG209" s="9" t="str">
        <f t="shared" si="66"/>
        <v>Costos de transporte;Distancia</v>
      </c>
      <c r="AH209" t="str">
        <f t="shared" si="67"/>
        <v>Oficina de orientación laboral</v>
      </c>
      <c r="AI209" s="9" t="str">
        <f t="shared" si="68"/>
        <v>Presencial</v>
      </c>
      <c r="AJ209" s="9" t="str">
        <f t="shared" si="69"/>
        <v>Mañana entre semana</v>
      </c>
      <c r="AK209" s="9" t="str">
        <f t="shared" si="70"/>
        <v>Correo electrónico</v>
      </c>
    </row>
    <row r="210" spans="1:37">
      <c r="A210" t="str">
        <f t="shared" si="71"/>
        <v>SG209</v>
      </c>
      <c r="B210" t="s">
        <v>418</v>
      </c>
      <c r="C210" s="9" t="s">
        <v>427</v>
      </c>
      <c r="D210" t="str">
        <f t="shared" si="54"/>
        <v>Femenino</v>
      </c>
      <c r="E210" t="str">
        <f t="shared" si="55"/>
        <v>De 24 a 26 años</v>
      </c>
      <c r="F210">
        <f t="shared" si="56"/>
        <v>25</v>
      </c>
      <c r="G210" s="9" t="s">
        <v>428</v>
      </c>
      <c r="H210" s="9" t="str">
        <f t="shared" si="57"/>
        <v>Profesional</v>
      </c>
      <c r="I210" s="9" t="str">
        <f t="shared" si="58"/>
        <v>Trabajo actualmente como empleado</v>
      </c>
      <c r="J210" s="13" t="str">
        <f>IF(I210="Trabajo actualmente como empleado",IF(MOD((COUNTIF($I$2:I210,"Trabajo actualmente como empleado")-1)*37,150)&lt;100,"Empleado con contrato","Empleado sin contrato formal"),IF(I210="Trabajo de manera independiente","Trabajo independiente",""))</f>
        <v>Empleado con contrato</v>
      </c>
      <c r="K210" s="9" t="str">
        <f>IF(OR(I210="Trabajo actualmente como empleado",I210="Trabajo de manera independiente"),CHOOSE(MOD(COUNTIF($I$2:I210,I210)-1,4)+1,"Menos de 3 meses","De 3 a 6 meses","De 7 a 12 meses","Más de un año"),"")</f>
        <v>De 7 a 12 meses</v>
      </c>
      <c r="L210" t="str">
        <f>IF(OR(I210="Trabajo actualmente como empleado",I210="Trabajo de manera independiente"),CHOOSE(MOD(COUNTIF($I$2:I210,I210)-1,3)+1,"Sí, completamente","Parcialmente","No"),"")</f>
        <v>Sí, completamente</v>
      </c>
      <c r="M210" t="str">
        <f>IF(OR(I210="Trabajo actualmente como empleado",I210="Trabajo de manera independiente"),CHOOSE(MOD(INT((COUNTIF($I$2:I210,I210)-1)/3),4)+1,"1- Muy satisfecho/a","2- Satisfecho/a","3- Insatisfecho/a","4- Muy insatisfecho/a"),"")</f>
        <v>3- Insatisfecho/a</v>
      </c>
      <c r="N210" t="str">
        <f>IF(OR(I210="Trabajo actualmente como empleado",I210="Trabajo de manera independiente"),_xlfn.LET(_xlpm.opcion,MOD(INT((COUNTIF($I$2:I210,I210)-1)/5),6)+1,CHOOSE(IF(AND(_xlpm.opcion=6,L210="Sí, completamente"),5,_xlpm.opcion),"Salario","Estabilidad laboral","Horario","Acceso a prestaciones","Oportunidades de crecimiento","Trabajar en un área relacionada con mi formación")),"")</f>
        <v>Estabilidad laboral</v>
      </c>
      <c r="O210" s="9" t="str">
        <f>IF(OR(I210="Trabajo actualmente como empleado",I210="Trabajo de manera independiente"),_xlfn.LET(_xlpm.turno,MOD(COUNTIF($I$2:I210,I210)-1,5),_xlpm.nivel,VALUE(LEFT(M210,1)),IF(_xlpm.turno=4,"No estoy seguro/a",IF(_xlpm.turno&lt;IF(_xlpm.nivel&lt;=2,1,3),"Sí","No"))),"")</f>
        <v>Sí</v>
      </c>
      <c r="P210" s="9" t="str">
        <f>_xlfn.LET(_xlpm.perfil,I210,_xlpm.turno,COUNTIF($I$2:I210,_xlpm.perfil)-1,_xlpm.busca,OR(_xlpm.perfil="Actualmente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trabajar"),IF(AND(_xlpm.trabaja,O210="No"),"Todavía no he iniciado una búsqueda activa",CHOOSE(MOD(_xlpm.turno*3,5)+1,"Menos de 1 mes","Entre 1 y 3 meses","Entre 4 y 6 meses","Más de 6 meses","Todavía no he iniciado una búsqueda activa")),"")))</f>
        <v>Más de 6 meses</v>
      </c>
      <c r="Q210" t="str">
        <f>IF(I210="Tengo un emprendimiento o quiero iniciar uno","",CHOOSE(MOD(INT((COUNTIF($I$2:I210,I210)-1)/7),3)+1,"Sí","No","Tengo una pero necesito actualizarla"))</f>
        <v>Sí</v>
      </c>
      <c r="R210" s="9" t="str">
        <f>IF(I210="Tengo un emprendimiento o quiero iniciar uno","",IF(I210="Busco mi primer empleo","No",IF(MOD(COUNTIF($I$2:I210,I210)-1,2)=0,"Sí","No")))</f>
        <v>Sí</v>
      </c>
      <c r="S210" t="str">
        <f>IF(I210="Tengo un emprendimiento o quiero iniciar uno","",CHOOSE(MOD(INT((COUNTIF($I$2:I210,I210)-1)/3),10)+1,"Portales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10" t="str">
        <f>IF(I210="Tengo un emprendimiento o quiero iniciar uno","",_xlfn.LET(_xlpm.opcion,MOD(INT((COUNTIF($I$2:I210,I210)-1)/4),6)+1,CHOOSE(IF(AND(_xlpm.opcion=3,Q210="Sí"),1,_xlpm.opcion),"Falta de experiencia","Falta de formación","Dificultades con la hoja de vida","Horarios disponibles","Transporte","Internet")))</f>
        <v>Transporte</v>
      </c>
      <c r="U210" s="9" t="str">
        <f>IF(I210="Tengo un emprendimiento o quiero iniciar uno","",IF(MOD(INT((COUNTIF($I$2:I210,I210)-1)/3),2)=0,"Sí","No"))</f>
        <v>Sí</v>
      </c>
      <c r="V210" s="9" t="str">
        <f>IF(I210="Tengo un emprendimiento o quiero iniciar uno",CHOOSE(MOD(COUNTIF($I$2:I210,I210)-1,3)+1,"Tengo un emprendimiento","Estoy iniciando un emprendimiento","Me interesa emprender"),"")</f>
        <v/>
      </c>
      <c r="W210" t="str">
        <f t="shared" si="59"/>
        <v/>
      </c>
      <c r="X210" s="9" t="str">
        <f>IF(I210="Tengo un emprendimiento o quiero iniciar uno",CHOOSE(MOD(COUNTIF($I$2:I210,I210)-1,5)+1,"Falta de financiación","Falta de conocimientos administrativos","Falta de conocimientos financieros","Falta de tiempo","Falta de herramientas"),"")</f>
        <v/>
      </c>
      <c r="Y210" s="9" t="str">
        <f t="shared" si="60"/>
        <v/>
      </c>
      <c r="Z210" t="str">
        <f>IF(I210="Tengo un emprendimiento o quiero iniciar uno",CHOOSE(INT(MOD((COUNTIF($I$2:I210,I210)-1)*7,39)/13)+1,"Sí","No","No conozco programas de ese tipo"),"")</f>
        <v/>
      </c>
      <c r="AA210" t="str">
        <f t="shared" si="61"/>
        <v>Puedo hacerlo sin ayuda</v>
      </c>
      <c r="AB210" t="str">
        <f t="shared" si="61"/>
        <v>Puedo hacerlo sin ayuda</v>
      </c>
      <c r="AC210" t="str">
        <f t="shared" si="62"/>
        <v>Puedo hacerlo con ayuda</v>
      </c>
      <c r="AD210" s="9" t="str">
        <f t="shared" si="63"/>
        <v>Puedo hacerlo sin ayuda</v>
      </c>
      <c r="AE210" t="str">
        <f t="shared" si="64"/>
        <v>No puedo hacerlo</v>
      </c>
      <c r="AF210" s="9" t="str">
        <f t="shared" si="65"/>
        <v>Preparación para entrevista</v>
      </c>
      <c r="AG210" s="9" t="str">
        <f t="shared" si="66"/>
        <v>Costos de transporte;Distancia</v>
      </c>
      <c r="AH210" t="str">
        <f t="shared" si="67"/>
        <v>Programas de emprendimiento</v>
      </c>
      <c r="AI210" s="9" t="str">
        <f t="shared" si="68"/>
        <v>Virtual</v>
      </c>
      <c r="AJ210" s="9" t="str">
        <f t="shared" si="69"/>
        <v>Fines de semana</v>
      </c>
      <c r="AK210" s="9" t="str">
        <f t="shared" si="70"/>
        <v>Celular</v>
      </c>
    </row>
    <row r="211" spans="1:37">
      <c r="A211" t="str">
        <f t="shared" si="71"/>
        <v>SG210</v>
      </c>
      <c r="B211" t="s">
        <v>418</v>
      </c>
      <c r="C211" s="9" t="s">
        <v>427</v>
      </c>
      <c r="D211" t="str">
        <f t="shared" si="54"/>
        <v>Femenino</v>
      </c>
      <c r="E211" t="str">
        <f t="shared" si="55"/>
        <v>De 26 a 28 años</v>
      </c>
      <c r="F211">
        <f t="shared" si="56"/>
        <v>28</v>
      </c>
      <c r="G211" s="9" t="s">
        <v>428</v>
      </c>
      <c r="H211" s="9" t="str">
        <f t="shared" si="57"/>
        <v>Posgrado</v>
      </c>
      <c r="I211" s="9" t="str">
        <f t="shared" si="58"/>
        <v>Actualmente no trabajo y estoy buscando empleo</v>
      </c>
      <c r="J211" s="13" t="str">
        <f>IF(I211="Trabajo actualmente como empleado",IF(MOD((COUNTIF($I$2:I211,"Trabajo actualmente como empleado")-1)*37,150)&lt;100,"Empleado con contrato","Empleado sin contrato formal"),IF(I211="Trabajo de manera independiente","Trabajo independiente",""))</f>
        <v/>
      </c>
      <c r="K211" s="9" t="str">
        <f>IF(OR(I211="Trabajo actualmente como empleado",I211="Trabajo de manera independiente"),CHOOSE(MOD(COUNTIF($I$2:I211,I211)-1,4)+1,"Menos de 3 meses","De 3 a 6 meses","De 7 a 12 meses","Más de un año"),"")</f>
        <v/>
      </c>
      <c r="L211" t="str">
        <f>IF(OR(I211="Trabajo actualmente como empleado",I211="Trabajo de manera independiente"),CHOOSE(MOD(COUNTIF($I$2:I211,I211)-1,3)+1,"Sí, completamente","Parcialmente","No"),"")</f>
        <v/>
      </c>
      <c r="M211" t="str">
        <f>IF(OR(I211="Trabajo actualmente como empleado",I211="Trabajo de manera independiente"),CHOOSE(MOD(INT((COUNTIF($I$2:I211,I211)-1)/3),4)+1,"1- Muy satisfecho/a","2- Satisfecho/a","3- Insatisfecho/a","4- Muy insatisfecho/a"),"")</f>
        <v/>
      </c>
      <c r="N211" t="str">
        <f>IF(OR(I211="Trabajo actualmente como empleado",I211="Trabajo de manera independiente"),_xlfn.LET(_xlpm.opcion,MOD(INT((COUNTIF($I$2:I211,I211)-1)/5),6)+1,CHOOSE(IF(AND(_xlpm.opcion=6,L211="Sí, completamente"),5,_xlpm.opcion),"Salario","Estabilidad laboral","Horario","Acceso a prestaciones","Oportunidades de crecimiento","Trabajar en un área relacionada con mi formación")),"")</f>
        <v/>
      </c>
      <c r="O211" s="9" t="str">
        <f>IF(OR(I211="Trabajo actualmente como empleado",I211="Trabajo de manera independiente"),_xlfn.LET(_xlpm.turno,MOD(COUNTIF($I$2:I211,I211)-1,5),_xlpm.nivel,VALUE(LEFT(M211,1)),IF(_xlpm.turno=4,"No estoy seguro/a",IF(_xlpm.turno&lt;IF(_xlpm.nivel&lt;=2,1,3),"Sí","No"))),"")</f>
        <v/>
      </c>
      <c r="P211" s="9" t="str">
        <f>_xlfn.LET(_xlpm.perfil,I211,_xlpm.turno,COUNTIF($I$2:I211,_xlpm.perfil)-1,_xlpm.busca,OR(_xlpm.perfil="Actualmente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trabajar"),IF(AND(_xlpm.trabaja,O211="No"),"Todavía no he iniciado una búsqueda activa",CHOOSE(MOD(_xlpm.turno*3,5)+1,"Menos de 1 mes","Entre 1 y 3 meses","Entre 4 y 6 meses","Más de 6 meses","Todavía no he iniciado una búsqueda activa")),"")))</f>
        <v>Menos de 1 mes</v>
      </c>
      <c r="Q211" t="str">
        <f>IF(I211="Tengo un emprendimiento o quiero iniciar uno","",CHOOSE(MOD(INT((COUNTIF($I$2:I211,I211)-1)/7),3)+1,"Sí","No","Tengo una pero necesito actualizarla"))</f>
        <v>Tengo una pero necesito actualizarla</v>
      </c>
      <c r="R211" s="9" t="str">
        <f>IF(I211="Tengo un emprendimiento o quiero iniciar uno","",IF(I211="Busco mi primer empleo","No",IF(MOD(COUNTIF($I$2:I211,I211)-1,2)=0,"Sí","No")))</f>
        <v>Sí</v>
      </c>
      <c r="S211" t="str">
        <f>IF(I211="Tengo un emprendimiento o quiero iniciar uno","",CHOOSE(MOD(INT((COUNTIF($I$2:I211,I211)-1)/3),10)+1,"Portales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11" t="str">
        <f>IF(I211="Tengo un emprendimiento o quiero iniciar uno","",_xlfn.LET(_xlpm.opcion,MOD(INT((COUNTIF($I$2:I211,I211)-1)/4),6)+1,CHOOSE(IF(AND(_xlpm.opcion=3,Q211="Sí"),1,_xlpm.opcion),"Falta de experiencia","Falta de formación","Dificultades con la hoja de vida","Horarios disponibles","Transporte","Internet")))</f>
        <v>Horarios disponibles</v>
      </c>
      <c r="U211" s="9" t="str">
        <f>IF(I211="Tengo un emprendimiento o quiero iniciar uno","",IF(MOD(INT((COUNTIF($I$2:I211,I211)-1)/3),2)=0,"Sí","No"))</f>
        <v>Sí</v>
      </c>
      <c r="V211" s="9" t="str">
        <f>IF(I211="Tengo un emprendimiento o quiero iniciar uno",CHOOSE(MOD(COUNTIF($I$2:I211,I211)-1,3)+1,"Tengo un emprendimiento","Estoy iniciando un emprendimiento","Me interesa emprender"),"")</f>
        <v/>
      </c>
      <c r="W211" t="str">
        <f t="shared" si="59"/>
        <v/>
      </c>
      <c r="X211" s="9" t="str">
        <f>IF(I211="Tengo un emprendimiento o quiero iniciar uno",CHOOSE(MOD(COUNTIF($I$2:I211,I211)-1,5)+1,"Falta de financiación","Falta de conocimientos administrativos","Falta de conocimientos financieros","Falta de tiempo","Falta de herramientas"),"")</f>
        <v/>
      </c>
      <c r="Y211" s="9" t="str">
        <f t="shared" si="60"/>
        <v/>
      </c>
      <c r="Z211" t="str">
        <f>IF(I211="Tengo un emprendimiento o quiero iniciar uno",CHOOSE(INT(MOD((COUNTIF($I$2:I211,I211)-1)*7,39)/13)+1,"Sí","No","No conozco programas de ese tipo"),"")</f>
        <v/>
      </c>
      <c r="AA211" t="str">
        <f t="shared" si="61"/>
        <v>Puedo hacerlo con ayuda</v>
      </c>
      <c r="AB211" t="str">
        <f t="shared" si="61"/>
        <v>Puedo hacerlo con ayuda</v>
      </c>
      <c r="AC211" t="str">
        <f t="shared" si="62"/>
        <v>Puedo hacerlo con dificultad</v>
      </c>
      <c r="AD211" s="9" t="str">
        <f t="shared" si="63"/>
        <v>No puedo hacerlo</v>
      </c>
      <c r="AE211" t="str">
        <f t="shared" si="64"/>
        <v>No puedo hacerlo</v>
      </c>
      <c r="AF211" s="9" t="str">
        <f t="shared" si="65"/>
        <v>Comunicación</v>
      </c>
      <c r="AG211" s="9" t="str">
        <f t="shared" si="66"/>
        <v>Costos de transporte;Distancia</v>
      </c>
      <c r="AH211" t="str">
        <f t="shared" si="67"/>
        <v>No conozco ninguno</v>
      </c>
      <c r="AI211" s="9" t="str">
        <f t="shared" si="68"/>
        <v>Presencial y virtual</v>
      </c>
      <c r="AJ211" s="9" t="str">
        <f t="shared" si="69"/>
        <v>Nocturno</v>
      </c>
      <c r="AK211" s="9" t="str">
        <f t="shared" si="70"/>
        <v>WhatsApp</v>
      </c>
    </row>
    <row r="212" spans="1:37">
      <c r="A212" t="str">
        <f t="shared" si="71"/>
        <v>SG211</v>
      </c>
      <c r="B212" t="s">
        <v>418</v>
      </c>
      <c r="C212" s="9" t="s">
        <v>427</v>
      </c>
      <c r="D212" t="str">
        <f t="shared" si="54"/>
        <v>Masculino</v>
      </c>
      <c r="E212" t="str">
        <f t="shared" si="55"/>
        <v>De 18 a 20 años</v>
      </c>
      <c r="F212">
        <f t="shared" si="56"/>
        <v>18</v>
      </c>
      <c r="G212" s="9" t="s">
        <v>428</v>
      </c>
      <c r="H212" s="9" t="str">
        <f t="shared" si="57"/>
        <v>Bachiller</v>
      </c>
      <c r="I212" s="9" t="str">
        <f t="shared" si="58"/>
        <v>Estudio y quiero comenzar a trabajar</v>
      </c>
      <c r="J212" s="13" t="str">
        <f>IF(I212="Trabajo actualmente como empleado",IF(MOD((COUNTIF($I$2:I212,"Trabajo actualmente como empleado")-1)*37,150)&lt;100,"Empleado con contrato","Empleado sin contrato formal"),IF(I212="Trabajo de manera independiente","Trabajo independiente",""))</f>
        <v/>
      </c>
      <c r="K212" s="9" t="str">
        <f>IF(OR(I212="Trabajo actualmente como empleado",I212="Trabajo de manera independiente"),CHOOSE(MOD(COUNTIF($I$2:I212,I212)-1,4)+1,"Menos de 3 meses","De 3 a 6 meses","De 7 a 12 meses","Más de un año"),"")</f>
        <v/>
      </c>
      <c r="L212" t="str">
        <f>IF(OR(I212="Trabajo actualmente como empleado",I212="Trabajo de manera independiente"),CHOOSE(MOD(COUNTIF($I$2:I212,I212)-1,3)+1,"Sí, completamente","Parcialmente","No"),"")</f>
        <v/>
      </c>
      <c r="M212" t="str">
        <f>IF(OR(I212="Trabajo actualmente como empleado",I212="Trabajo de manera independiente"),CHOOSE(MOD(INT((COUNTIF($I$2:I212,I212)-1)/3),4)+1,"1- Muy satisfecho/a","2- Satisfecho/a","3- Insatisfecho/a","4- Muy insatisfecho/a"),"")</f>
        <v/>
      </c>
      <c r="N212" t="str">
        <f>IF(OR(I212="Trabajo actualmente como empleado",I212="Trabajo de manera independiente"),_xlfn.LET(_xlpm.opcion,MOD(INT((COUNTIF($I$2:I212,I212)-1)/5),6)+1,CHOOSE(IF(AND(_xlpm.opcion=6,L212="Sí, completamente"),5,_xlpm.opcion),"Salario","Estabilidad laboral","Horario","Acceso a prestaciones","Oportunidades de crecimiento","Trabajar en un área relacionada con mi formación")),"")</f>
        <v/>
      </c>
      <c r="O212" s="9" t="str">
        <f>IF(OR(I212="Trabajo actualmente como empleado",I212="Trabajo de manera independiente"),_xlfn.LET(_xlpm.turno,MOD(COUNTIF($I$2:I212,I212)-1,5),_xlpm.nivel,VALUE(LEFT(M212,1)),IF(_xlpm.turno=4,"No estoy seguro/a",IF(_xlpm.turno&lt;IF(_xlpm.nivel&lt;=2,1,3),"Sí","No"))),"")</f>
        <v/>
      </c>
      <c r="P212" s="9" t="str">
        <f>_xlfn.LET(_xlpm.perfil,I212,_xlpm.turno,COUNTIF($I$2:I212,_xlpm.perfil)-1,_xlpm.busca,OR(_xlpm.perfil="Actualmente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12" t="str">
        <f>IF(I212="Tengo un emprendimiento o quiero iniciar uno","",CHOOSE(MOD(INT((COUNTIF($I$2:I212,I212)-1)/7),3)+1,"Sí","No","Tengo una pero necesito actualizarla"))</f>
        <v>Sí</v>
      </c>
      <c r="R212" s="9" t="str">
        <f>IF(I212="Tengo un emprendimiento o quiero iniciar uno","",IF(I212="Busco mi primer empleo","No",IF(MOD(COUNTIF($I$2:I212,I212)-1,2)=0,"Sí","No")))</f>
        <v>No</v>
      </c>
      <c r="S212" t="str">
        <f>IF(I212="Tengo un emprendimiento o quiero iniciar uno","",CHOOSE(MOD(INT((COUNTIF($I$2:I212,I212)-1)/3),10)+1,"Portales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12" t="str">
        <f>IF(I212="Tengo un emprendimiento o quiero iniciar uno","",_xlfn.LET(_xlpm.opcion,MOD(INT((COUNTIF($I$2:I212,I212)-1)/4),6)+1,CHOOSE(IF(AND(_xlpm.opcion=3,Q212="Sí"),1,_xlpm.opcion),"Falta de experiencia","Falta de formación","Dificultades con la hoja de vida","Horarios disponibles","Transporte","Internet")))</f>
        <v>Internet</v>
      </c>
      <c r="U212" s="9" t="str">
        <f>IF(I212="Tengo un emprendimiento o quiero iniciar uno","",IF(MOD(INT((COUNTIF($I$2:I212,I212)-1)/3),2)=0,"Sí","No"))</f>
        <v>No</v>
      </c>
      <c r="V212" s="9" t="str">
        <f>IF(I212="Tengo un emprendimiento o quiero iniciar uno",CHOOSE(MOD(COUNTIF($I$2:I212,I212)-1,3)+1,"Tengo un emprendimiento","Estoy iniciando un emprendimiento","Me interesa emprender"),"")</f>
        <v/>
      </c>
      <c r="W212" t="str">
        <f t="shared" si="59"/>
        <v/>
      </c>
      <c r="X212" s="9" t="str">
        <f>IF(I212="Tengo un emprendimiento o quiero iniciar uno",CHOOSE(MOD(COUNTIF($I$2:I212,I212)-1,5)+1,"Falta de financiación","Falta de conocimientos administrativos","Falta de conocimientos financieros","Falta de tiempo","Falta de herramientas"),"")</f>
        <v/>
      </c>
      <c r="Y212" s="9" t="str">
        <f t="shared" si="60"/>
        <v/>
      </c>
      <c r="Z212" t="str">
        <f>IF(I212="Tengo un emprendimiento o quiero iniciar uno",CHOOSE(INT(MOD((COUNTIF($I$2:I212,I212)-1)*7,39)/13)+1,"Sí","No","No conozco programas de ese tipo"),"")</f>
        <v/>
      </c>
      <c r="AA212" t="str">
        <f t="shared" si="61"/>
        <v>Puedo hacerlo con dificultad</v>
      </c>
      <c r="AB212" t="str">
        <f t="shared" si="61"/>
        <v>Puedo hacerlo con dificultad</v>
      </c>
      <c r="AC212" t="str">
        <f t="shared" si="62"/>
        <v>No puedo hacerlo</v>
      </c>
      <c r="AD212" s="9" t="str">
        <f t="shared" si="63"/>
        <v>Puedo hacerlo con ayuda</v>
      </c>
      <c r="AE212" t="str">
        <f t="shared" si="64"/>
        <v>Puedo hacerlo con ayuda</v>
      </c>
      <c r="AF212" s="9" t="str">
        <f t="shared" si="65"/>
        <v>Liderazgo</v>
      </c>
      <c r="AG212" s="9" t="str">
        <f t="shared" si="66"/>
        <v>Falta de información</v>
      </c>
      <c r="AH212" t="str">
        <f t="shared" si="67"/>
        <v>Ferias de empleo</v>
      </c>
      <c r="AI212" s="9" t="str">
        <f t="shared" si="68"/>
        <v>Me es indiferente</v>
      </c>
      <c r="AJ212" s="9" t="str">
        <f t="shared" si="69"/>
        <v>Mañana entre semana</v>
      </c>
      <c r="AK212" s="9" t="str">
        <f t="shared" si="70"/>
        <v>Redes sociales</v>
      </c>
    </row>
    <row r="213" spans="1:37">
      <c r="A213" t="str">
        <f t="shared" si="71"/>
        <v>SG212</v>
      </c>
      <c r="B213" t="s">
        <v>418</v>
      </c>
      <c r="C213" s="9" t="s">
        <v>427</v>
      </c>
      <c r="D213" t="str">
        <f t="shared" si="54"/>
        <v>Masculino</v>
      </c>
      <c r="E213" t="str">
        <f t="shared" si="55"/>
        <v>De 20 a 22 años</v>
      </c>
      <c r="F213">
        <f t="shared" si="56"/>
        <v>20</v>
      </c>
      <c r="G213" s="9" t="s">
        <v>428</v>
      </c>
      <c r="H213" s="9" t="str">
        <f t="shared" si="57"/>
        <v>Bachiller</v>
      </c>
      <c r="I213" s="9" t="str">
        <f t="shared" si="58"/>
        <v>Trabajo actualmente como empleado</v>
      </c>
      <c r="J213" s="13" t="str">
        <f>IF(I213="Trabajo actualmente como empleado",IF(MOD((COUNTIF($I$2:I213,"Trabajo actualmente como empleado")-1)*37,150)&lt;100,"Empleado con contrato","Empleado sin contrato formal"),IF(I213="Trabajo de manera independiente","Trabajo independiente",""))</f>
        <v>Empleado con contrato</v>
      </c>
      <c r="K213" s="9" t="str">
        <f>IF(OR(I213="Trabajo actualmente como empleado",I213="Trabajo de manera independiente"),CHOOSE(MOD(COUNTIF($I$2:I213,I213)-1,4)+1,"Menos de 3 meses","De 3 a 6 meses","De 7 a 12 meses","Más de un año"),"")</f>
        <v>Más de un año</v>
      </c>
      <c r="L213" t="str">
        <f>IF(OR(I213="Trabajo actualmente como empleado",I213="Trabajo de manera independiente"),CHOOSE(MOD(COUNTIF($I$2:I213,I213)-1,3)+1,"Sí, completamente","Parcialmente","No"),"")</f>
        <v>Parcialmente</v>
      </c>
      <c r="M213" t="str">
        <f>IF(OR(I213="Trabajo actualmente como empleado",I213="Trabajo de manera independiente"),CHOOSE(MOD(INT((COUNTIF($I$2:I213,I213)-1)/3),4)+1,"1- Muy satisfecho/a","2- Satisfecho/a","3- Insatisfecho/a","4- Muy insatisfecho/a"),"")</f>
        <v>3- Insatisfecho/a</v>
      </c>
      <c r="N213" t="str">
        <f>IF(OR(I213="Trabajo actualmente como empleado",I213="Trabajo de manera independiente"),_xlfn.LET(_xlpm.opcion,MOD(INT((COUNTIF($I$2:I213,I213)-1)/5),6)+1,CHOOSE(IF(AND(_xlpm.opcion=6,L213="Sí, completamente"),5,_xlpm.opcion),"Salario","Estabilidad laboral","Horario","Acceso a prestaciones","Oportunidades de crecimiento","Trabajar en un área relacionada con mi formación")),"")</f>
        <v>Estabilidad laboral</v>
      </c>
      <c r="O213" s="9" t="str">
        <f>IF(OR(I213="Trabajo actualmente como empleado",I213="Trabajo de manera independiente"),_xlfn.LET(_xlpm.turno,MOD(COUNTIF($I$2:I213,I213)-1,5),_xlpm.nivel,VALUE(LEFT(M213,1)),IF(_xlpm.turno=4,"No estoy seguro/a",IF(_xlpm.turno&lt;IF(_xlpm.nivel&lt;=2,1,3),"Sí","No"))),"")</f>
        <v>Sí</v>
      </c>
      <c r="P213" s="9" t="str">
        <f>_xlfn.LET(_xlpm.perfil,I213,_xlpm.turno,COUNTIF($I$2:I213,_xlpm.perfil)-1,_xlpm.busca,OR(_xlpm.perfil="Actualmente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trabajar"),IF(AND(_xlpm.trabaja,O213="No"),"Todavía no he iniciado una búsqueda activa",CHOOSE(MOD(_xlpm.turno*3,5)+1,"Menos de 1 mes","Entre 1 y 3 meses","Entre 4 y 6 meses","Más de 6 meses","Todavía no he iniciado una búsqueda activa")),"")))</f>
        <v>Entre 1 y 3 meses</v>
      </c>
      <c r="Q213" t="str">
        <f>IF(I213="Tengo un emprendimiento o quiero iniciar uno","",CHOOSE(MOD(INT((COUNTIF($I$2:I213,I213)-1)/7),3)+1,"Sí","No","Tengo una pero necesito actualizarla"))</f>
        <v>Sí</v>
      </c>
      <c r="R213" s="9" t="str">
        <f>IF(I213="Tengo un emprendimiento o quiero iniciar uno","",IF(I213="Busco mi primer empleo","No",IF(MOD(COUNTIF($I$2:I213,I213)-1,2)=0,"Sí","No")))</f>
        <v>No</v>
      </c>
      <c r="S213" t="str">
        <f>IF(I213="Tengo un emprendimiento o quiero iniciar uno","",CHOOSE(MOD(INT((COUNTIF($I$2:I213,I213)-1)/3),10)+1,"Portales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13" t="str">
        <f>IF(I213="Tengo un emprendimiento o quiero iniciar uno","",_xlfn.LET(_xlpm.opcion,MOD(INT((COUNTIF($I$2:I213,I213)-1)/4),6)+1,CHOOSE(IF(AND(_xlpm.opcion=3,Q213="Sí"),1,_xlpm.opcion),"Falta de experiencia","Falta de formación","Dificultades con la hoja de vida","Horarios disponibles","Transporte","Internet")))</f>
        <v>Transporte</v>
      </c>
      <c r="U213" s="9" t="str">
        <f>IF(I213="Tengo un emprendimiento o quiero iniciar uno","",IF(MOD(INT((COUNTIF($I$2:I213,I213)-1)/3),2)=0,"Sí","No"))</f>
        <v>Sí</v>
      </c>
      <c r="V213" s="9" t="str">
        <f>IF(I213="Tengo un emprendimiento o quiero iniciar uno",CHOOSE(MOD(COUNTIF($I$2:I213,I213)-1,3)+1,"Tengo un emprendimiento","Estoy iniciando un emprendimiento","Me interesa emprender"),"")</f>
        <v/>
      </c>
      <c r="W213" t="str">
        <f t="shared" si="59"/>
        <v/>
      </c>
      <c r="X213" s="9" t="str">
        <f>IF(I213="Tengo un emprendimiento o quiero iniciar uno",CHOOSE(MOD(COUNTIF($I$2:I213,I213)-1,5)+1,"Falta de financiación","Falta de conocimientos administrativos","Falta de conocimientos financieros","Falta de tiempo","Falta de herramientas"),"")</f>
        <v/>
      </c>
      <c r="Y213" s="9" t="str">
        <f t="shared" si="60"/>
        <v/>
      </c>
      <c r="Z213" t="str">
        <f>IF(I213="Tengo un emprendimiento o quiero iniciar uno",CHOOSE(INT(MOD((COUNTIF($I$2:I213,I213)-1)*7,39)/13)+1,"Sí","No","No conozco programas de ese tipo"),"")</f>
        <v/>
      </c>
      <c r="AA213" t="str">
        <f t="shared" si="61"/>
        <v>No puedo hacerlo</v>
      </c>
      <c r="AB213" t="str">
        <f t="shared" si="61"/>
        <v>No puedo hacerlo</v>
      </c>
      <c r="AC213" t="str">
        <f t="shared" si="62"/>
        <v>Puedo hacerlo con ayuda</v>
      </c>
      <c r="AD213" s="9" t="str">
        <f t="shared" si="63"/>
        <v>Puedo hacerlo con ayuda</v>
      </c>
      <c r="AE213" t="str">
        <f t="shared" si="64"/>
        <v>Puedo hacerlo con dificultad</v>
      </c>
      <c r="AF213" s="9" t="str">
        <f t="shared" si="65"/>
        <v>Emprendimiento</v>
      </c>
      <c r="AG213" s="9" t="str">
        <f t="shared" si="66"/>
        <v>Falta de información</v>
      </c>
      <c r="AH213" t="str">
        <f t="shared" si="67"/>
        <v>No conozco ninguno</v>
      </c>
      <c r="AI213" s="9" t="str">
        <f t="shared" si="68"/>
        <v>Presencial</v>
      </c>
      <c r="AJ213" s="9" t="str">
        <f t="shared" si="69"/>
        <v>Diurno</v>
      </c>
      <c r="AK213" s="9" t="str">
        <f t="shared" si="70"/>
        <v>Celular</v>
      </c>
    </row>
    <row r="214" spans="1:37">
      <c r="A214" t="str">
        <f t="shared" si="71"/>
        <v>SG213</v>
      </c>
      <c r="B214" t="s">
        <v>418</v>
      </c>
      <c r="C214" s="9" t="s">
        <v>427</v>
      </c>
      <c r="D214" t="str">
        <f t="shared" si="54"/>
        <v>Femenino</v>
      </c>
      <c r="E214" t="str">
        <f t="shared" si="55"/>
        <v>De 22 a 24 años</v>
      </c>
      <c r="F214">
        <f t="shared" si="56"/>
        <v>22</v>
      </c>
      <c r="G214" s="9" t="s">
        <v>428</v>
      </c>
      <c r="H214" s="9" t="str">
        <f t="shared" si="57"/>
        <v>Bachiller</v>
      </c>
      <c r="I214" s="9" t="str">
        <f t="shared" si="58"/>
        <v>Actualmente no trabajo y estoy buscando empleo</v>
      </c>
      <c r="J214" s="13" t="str">
        <f>IF(I214="Trabajo actualmente como empleado",IF(MOD((COUNTIF($I$2:I214,"Trabajo actualmente como empleado")-1)*37,150)&lt;100,"Empleado con contrato","Empleado sin contrato formal"),IF(I214="Trabajo de manera independiente","Trabajo independiente",""))</f>
        <v/>
      </c>
      <c r="K214" s="9" t="str">
        <f>IF(OR(I214="Trabajo actualmente como empleado",I214="Trabajo de manera independiente"),CHOOSE(MOD(COUNTIF($I$2:I214,I214)-1,4)+1,"Menos de 3 meses","De 3 a 6 meses","De 7 a 12 meses","Más de un año"),"")</f>
        <v/>
      </c>
      <c r="L214" t="str">
        <f>IF(OR(I214="Trabajo actualmente como empleado",I214="Trabajo de manera independiente"),CHOOSE(MOD(COUNTIF($I$2:I214,I214)-1,3)+1,"Sí, completamente","Parcialmente","No"),"")</f>
        <v/>
      </c>
      <c r="M214" t="str">
        <f>IF(OR(I214="Trabajo actualmente como empleado",I214="Trabajo de manera independiente"),CHOOSE(MOD(INT((COUNTIF($I$2:I214,I214)-1)/3),4)+1,"1- Muy satisfecho/a","2- Satisfecho/a","3- Insatisfecho/a","4- Muy insatisfecho/a"),"")</f>
        <v/>
      </c>
      <c r="N214" t="str">
        <f>IF(OR(I214="Trabajo actualmente como empleado",I214="Trabajo de manera independiente"),_xlfn.LET(_xlpm.opcion,MOD(INT((COUNTIF($I$2:I214,I214)-1)/5),6)+1,CHOOSE(IF(AND(_xlpm.opcion=6,L214="Sí, completamente"),5,_xlpm.opcion),"Salario","Estabilidad laboral","Horario","Acceso a prestaciones","Oportunidades de crecimiento","Trabajar en un área relacionada con mi formación")),"")</f>
        <v/>
      </c>
      <c r="O214" s="9" t="str">
        <f>IF(OR(I214="Trabajo actualmente como empleado",I214="Trabajo de manera independiente"),_xlfn.LET(_xlpm.turno,MOD(COUNTIF($I$2:I214,I214)-1,5),_xlpm.nivel,VALUE(LEFT(M214,1)),IF(_xlpm.turno=4,"No estoy seguro/a",IF(_xlpm.turno&lt;IF(_xlpm.nivel&lt;=2,1,3),"Sí","No"))),"")</f>
        <v/>
      </c>
      <c r="P214" s="9" t="str">
        <f>_xlfn.LET(_xlpm.perfil,I214,_xlpm.turno,COUNTIF($I$2:I214,_xlpm.perfil)-1,_xlpm.busca,OR(_xlpm.perfil="Actualmente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trabajar"),IF(AND(_xlpm.trabaja,O214="No"),"Todavía no he iniciado una búsqueda activa",CHOOSE(MOD(_xlpm.turno*3,5)+1,"Menos de 1 mes","Entre 1 y 3 meses","Entre 4 y 6 meses","Más de 6 meses","Todavía no he iniciado una búsqueda activa")),"")))</f>
        <v>Más de 6 meses</v>
      </c>
      <c r="Q214" t="str">
        <f>IF(I214="Tengo un emprendimiento o quiero iniciar uno","",CHOOSE(MOD(INT((COUNTIF($I$2:I214,I214)-1)/7),3)+1,"Sí","No","Tengo una pero necesito actualizarla"))</f>
        <v>Tengo una pero necesito actualizarla</v>
      </c>
      <c r="R214" s="9" t="str">
        <f>IF(I214="Tengo un emprendimiento o quiero iniciar uno","",IF(I214="Busco mi primer empleo","No",IF(MOD(COUNTIF($I$2:I214,I214)-1,2)=0,"Sí","No")))</f>
        <v>No</v>
      </c>
      <c r="S214" t="str">
        <f>IF(I214="Tengo un emprendimiento o quiero iniciar uno","",CHOOSE(MOD(INT((COUNTIF($I$2:I214,I214)-1)/3),10)+1,"Portales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14" t="str">
        <f>IF(I214="Tengo un emprendimiento o quiero iniciar uno","",_xlfn.LET(_xlpm.opcion,MOD(INT((COUNTIF($I$2:I214,I214)-1)/4),6)+1,CHOOSE(IF(AND(_xlpm.opcion=3,Q214="Sí"),1,_xlpm.opcion),"Falta de experiencia","Falta de formación","Dificultades con la hoja de vida","Horarios disponibles","Transporte","Internet")))</f>
        <v>Horarios disponibles</v>
      </c>
      <c r="U214" s="9" t="str">
        <f>IF(I214="Tengo un emprendimiento o quiero iniciar uno","",IF(MOD(INT((COUNTIF($I$2:I214,I214)-1)/3),2)=0,"Sí","No"))</f>
        <v>Sí</v>
      </c>
      <c r="V214" s="9" t="str">
        <f>IF(I214="Tengo un emprendimiento o quiero iniciar uno",CHOOSE(MOD(COUNTIF($I$2:I214,I214)-1,3)+1,"Tengo un emprendimiento","Estoy iniciando un emprendimiento","Me interesa emprender"),"")</f>
        <v/>
      </c>
      <c r="W214" t="str">
        <f t="shared" si="59"/>
        <v/>
      </c>
      <c r="X214" s="9" t="str">
        <f>IF(I214="Tengo un emprendimiento o quiero iniciar uno",CHOOSE(MOD(COUNTIF($I$2:I214,I214)-1,5)+1,"Falta de financiación","Falta de conocimientos administrativos","Falta de conocimientos financieros","Falta de tiempo","Falta de herramientas"),"")</f>
        <v/>
      </c>
      <c r="Y214" s="9" t="str">
        <f t="shared" si="60"/>
        <v/>
      </c>
      <c r="Z214" t="str">
        <f>IF(I214="Tengo un emprendimiento o quiero iniciar uno",CHOOSE(INT(MOD((COUNTIF($I$2:I214,I214)-1)*7,39)/13)+1,"Sí","No","No conozco programas de ese tipo"),"")</f>
        <v/>
      </c>
      <c r="AA214" t="str">
        <f t="shared" si="61"/>
        <v>Puedo hacerlo con dificultad</v>
      </c>
      <c r="AB214" t="str">
        <f t="shared" si="61"/>
        <v>Puedo hacerlo con dificultad</v>
      </c>
      <c r="AC214" t="str">
        <f t="shared" si="62"/>
        <v>Puedo hacerlo con dificultad</v>
      </c>
      <c r="AD214" s="9" t="str">
        <f t="shared" si="63"/>
        <v>Puedo hacerlo con dificultad</v>
      </c>
      <c r="AE214" t="str">
        <f t="shared" si="64"/>
        <v>Puedo hacerlo con dificultad</v>
      </c>
      <c r="AF214" s="9" t="str">
        <f t="shared" si="65"/>
        <v>Herramientas digitales</v>
      </c>
      <c r="AG214" s="9" t="str">
        <f t="shared" si="66"/>
        <v>Falta de información</v>
      </c>
      <c r="AH214" t="str">
        <f t="shared" si="67"/>
        <v>Oficina de orientación laboral</v>
      </c>
      <c r="AI214" s="9" t="str">
        <f t="shared" si="68"/>
        <v>Virtual</v>
      </c>
      <c r="AJ214" s="9" t="str">
        <f t="shared" si="69"/>
        <v>Nocturno</v>
      </c>
      <c r="AK214" s="9" t="str">
        <f t="shared" si="70"/>
        <v>Correo electrónico</v>
      </c>
    </row>
    <row r="215" spans="1:37">
      <c r="A215" t="str">
        <f t="shared" si="71"/>
        <v>SG214</v>
      </c>
      <c r="B215" t="s">
        <v>418</v>
      </c>
      <c r="C215" s="9" t="s">
        <v>427</v>
      </c>
      <c r="D215" t="str">
        <f t="shared" si="54"/>
        <v>Femenino</v>
      </c>
      <c r="E215" t="str">
        <f t="shared" si="55"/>
        <v>De 24 a 26 años</v>
      </c>
      <c r="F215">
        <f t="shared" si="56"/>
        <v>24</v>
      </c>
      <c r="G215" s="9" t="s">
        <v>428</v>
      </c>
      <c r="H215" s="9" t="str">
        <f t="shared" si="57"/>
        <v>Técnico</v>
      </c>
      <c r="I215" s="9" t="str">
        <f t="shared" si="58"/>
        <v>Tengo un emprendimiento o quiero iniciar uno</v>
      </c>
      <c r="J215" s="13" t="str">
        <f>IF(I215="Trabajo actualmente como empleado",IF(MOD((COUNTIF($I$2:I215,"Trabajo actualmente como empleado")-1)*37,150)&lt;100,"Empleado con contrato","Empleado sin contrato formal"),IF(I215="Trabajo de manera independiente","Trabajo independiente",""))</f>
        <v/>
      </c>
      <c r="K215" s="9" t="str">
        <f>IF(OR(I215="Trabajo actualmente como empleado",I215="Trabajo de manera independiente"),CHOOSE(MOD(COUNTIF($I$2:I215,I215)-1,4)+1,"Menos de 3 meses","De 3 a 6 meses","De 7 a 12 meses","Más de un año"),"")</f>
        <v/>
      </c>
      <c r="L215" t="str">
        <f>IF(OR(I215="Trabajo actualmente como empleado",I215="Trabajo de manera independiente"),CHOOSE(MOD(COUNTIF($I$2:I215,I215)-1,3)+1,"Sí, completamente","Parcialmente","No"),"")</f>
        <v/>
      </c>
      <c r="M215" t="str">
        <f>IF(OR(I215="Trabajo actualmente como empleado",I215="Trabajo de manera independiente"),CHOOSE(MOD(INT((COUNTIF($I$2:I215,I215)-1)/3),4)+1,"1- Muy satisfecho/a","2- Satisfecho/a","3- Insatisfecho/a","4- Muy insatisfecho/a"),"")</f>
        <v/>
      </c>
      <c r="N215" t="str">
        <f>IF(OR(I215="Trabajo actualmente como empleado",I215="Trabajo de manera independiente"),_xlfn.LET(_xlpm.opcion,MOD(INT((COUNTIF($I$2:I215,I215)-1)/5),6)+1,CHOOSE(IF(AND(_xlpm.opcion=6,L215="Sí, completamente"),5,_xlpm.opcion),"Salario","Estabilidad laboral","Horario","Acceso a prestaciones","Oportunidades de crecimiento","Trabajar en un área relacionada con mi formación")),"")</f>
        <v/>
      </c>
      <c r="O215" s="9" t="str">
        <f>IF(OR(I215="Trabajo actualmente como empleado",I215="Trabajo de manera independiente"),_xlfn.LET(_xlpm.turno,MOD(COUNTIF($I$2:I215,I215)-1,5),_xlpm.nivel,VALUE(LEFT(M215,1)),IF(_xlpm.turno=4,"No estoy seguro/a",IF(_xlpm.turno&lt;IF(_xlpm.nivel&lt;=2,1,3),"Sí","No"))),"")</f>
        <v/>
      </c>
      <c r="P215" s="9" t="str">
        <f>_xlfn.LET(_xlpm.perfil,I215,_xlpm.turno,COUNTIF($I$2:I215,_xlpm.perfil)-1,_xlpm.busca,OR(_xlpm.perfil="Actualmente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trabajar"),IF(AND(_xlpm.trabaja,O215="No"),"Todavía no he iniciado una búsqueda activa",CHOOSE(MOD(_xlpm.turno*3,5)+1,"Menos de 1 mes","Entre 1 y 3 meses","Entre 4 y 6 meses","Más de 6 meses","Todavía no he iniciado una búsqueda activa")),"")))</f>
        <v/>
      </c>
      <c r="Q215" t="str">
        <f>IF(I215="Tengo un emprendimiento o quiero iniciar uno","",CHOOSE(MOD(INT((COUNTIF($I$2:I215,I215)-1)/7),3)+1,"Sí","No","Tengo una pero necesito actualizarla"))</f>
        <v/>
      </c>
      <c r="R215" s="9" t="str">
        <f>IF(I215="Tengo un emprendimiento o quiero iniciar uno","",IF(I215="Busco mi primer empleo","No",IF(MOD(COUNTIF($I$2:I215,I215)-1,2)=0,"Sí","No")))</f>
        <v/>
      </c>
      <c r="S215" t="str">
        <f>IF(I215="Tengo un emprendimiento o quiero iniciar uno","",CHOOSE(MOD(INT((COUNTIF($I$2:I215,I215)-1)/3),10)+1,"Portales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15" t="str">
        <f>IF(I215="Tengo un emprendimiento o quiero iniciar uno","",_xlfn.LET(_xlpm.opcion,MOD(INT((COUNTIF($I$2:I215,I215)-1)/4),6)+1,CHOOSE(IF(AND(_xlpm.opcion=3,Q215="Sí"),1,_xlpm.opcion),"Falta de experiencia","Falta de formación","Dificultades con la hoja de vida","Horarios disponibles","Transporte","Internet")))</f>
        <v/>
      </c>
      <c r="U215" s="9" t="str">
        <f>IF(I215="Tengo un emprendimiento o quiero iniciar uno","",IF(MOD(INT((COUNTIF($I$2:I215,I215)-1)/3),2)=0,"Sí","No"))</f>
        <v/>
      </c>
      <c r="V215" s="9" t="str">
        <f>IF(I215="Tengo un emprendimiento o quiero iniciar uno",CHOOSE(MOD(COUNTIF($I$2:I215,I215)-1,3)+1,"Tengo un emprendimiento","Estoy iniciando un emprendimiento","Me interesa emprender"),"")</f>
        <v>Me interesa emprender</v>
      </c>
      <c r="W215" t="str">
        <f t="shared" si="59"/>
        <v/>
      </c>
      <c r="X215" s="9" t="str">
        <f>IF(I215="Tengo un emprendimiento o quiero iniciar uno",CHOOSE(MOD(COUNTIF($I$2:I215,I215)-1,5)+1,"Falta de financiación","Falta de conocimientos administrativos","Falta de conocimientos financieros","Falta de tiempo","Falta de herramientas"),"")</f>
        <v>Falta de conocimientos financieros</v>
      </c>
      <c r="Y215" s="9" t="str">
        <f t="shared" si="60"/>
        <v>Falta de conocimientos financieros</v>
      </c>
      <c r="Z215" t="str">
        <f>IF(I215="Tengo un emprendimiento o quiero iniciar uno",CHOOSE(INT(MOD((COUNTIF($I$2:I215,I215)-1)*7,39)/13)+1,"Sí","No","No conozco programas de ese tipo"),"")</f>
        <v>Sí</v>
      </c>
      <c r="AA215" t="str">
        <f t="shared" si="61"/>
        <v>Puedo hacerlo sin ayuda</v>
      </c>
      <c r="AB215" t="str">
        <f t="shared" si="61"/>
        <v>Puedo hacerlo sin ayuda</v>
      </c>
      <c r="AC215" t="str">
        <f t="shared" si="62"/>
        <v>Puedo hacerlo sin ayuda</v>
      </c>
      <c r="AD215" s="9" t="str">
        <f t="shared" si="63"/>
        <v>Puedo hacerlo sin ayuda</v>
      </c>
      <c r="AE215" t="str">
        <f t="shared" si="64"/>
        <v>Puedo hacerlo sin ayuda</v>
      </c>
      <c r="AF215" s="9" t="str">
        <f t="shared" si="65"/>
        <v>Educación financiera</v>
      </c>
      <c r="AG215" s="9" t="str">
        <f t="shared" si="66"/>
        <v>Horarios</v>
      </c>
      <c r="AH215" t="str">
        <f t="shared" si="67"/>
        <v>Programas de emprendimiento</v>
      </c>
      <c r="AI215" s="9" t="str">
        <f t="shared" si="68"/>
        <v>Presencial y virtual</v>
      </c>
      <c r="AJ215" s="9" t="str">
        <f t="shared" si="69"/>
        <v>Mañana entre semana</v>
      </c>
      <c r="AK215" s="9" t="str">
        <f t="shared" si="70"/>
        <v>Redes sociales</v>
      </c>
    </row>
    <row r="216" spans="1:37">
      <c r="A216" t="str">
        <f t="shared" si="71"/>
        <v>SG215</v>
      </c>
      <c r="B216" t="s">
        <v>418</v>
      </c>
      <c r="C216" s="9" t="s">
        <v>427</v>
      </c>
      <c r="D216" t="str">
        <f t="shared" si="54"/>
        <v>Masculino</v>
      </c>
      <c r="E216" t="str">
        <f t="shared" si="55"/>
        <v>De 26 a 28 años</v>
      </c>
      <c r="F216">
        <f t="shared" si="56"/>
        <v>26</v>
      </c>
      <c r="G216" s="9" t="s">
        <v>428</v>
      </c>
      <c r="H216" s="9" t="str">
        <f t="shared" si="57"/>
        <v>Tecnólogo</v>
      </c>
      <c r="I216" s="9" t="str">
        <f t="shared" si="58"/>
        <v>Trabajo actualmente como empleado</v>
      </c>
      <c r="J216" s="13" t="str">
        <f>IF(I216="Trabajo actualmente como empleado",IF(MOD((COUNTIF($I$2:I216,"Trabajo actualmente como empleado")-1)*37,150)&lt;100,"Empleado con contrato","Empleado sin contrato formal"),IF(I216="Trabajo de manera independiente","Trabajo independiente",""))</f>
        <v>Empleado sin contrato formal</v>
      </c>
      <c r="K216" s="9" t="str">
        <f>IF(OR(I216="Trabajo actualmente como empleado",I216="Trabajo de manera independiente"),CHOOSE(MOD(COUNTIF($I$2:I216,I216)-1,4)+1,"Menos de 3 meses","De 3 a 6 meses","De 7 a 12 meses","Más de un año"),"")</f>
        <v>Menos de 3 meses</v>
      </c>
      <c r="L216" t="str">
        <f>IF(OR(I216="Trabajo actualmente como empleado",I216="Trabajo de manera independiente"),CHOOSE(MOD(COUNTIF($I$2:I216,I216)-1,3)+1,"Sí, completamente","Parcialmente","No"),"")</f>
        <v>No</v>
      </c>
      <c r="M216" t="str">
        <f>IF(OR(I216="Trabajo actualmente como empleado",I216="Trabajo de manera independiente"),CHOOSE(MOD(INT((COUNTIF($I$2:I216,I216)-1)/3),4)+1,"1- Muy satisfecho/a","2- Satisfecho/a","3- Insatisfecho/a","4- Muy insatisfecho/a"),"")</f>
        <v>3- Insatisfecho/a</v>
      </c>
      <c r="N216" t="str">
        <f>IF(OR(I216="Trabajo actualmente como empleado",I216="Trabajo de manera independiente"),_xlfn.LET(_xlpm.opcion,MOD(INT((COUNTIF($I$2:I216,I216)-1)/5),6)+1,CHOOSE(IF(AND(_xlpm.opcion=6,L216="Sí, completamente"),5,_xlpm.opcion),"Salario","Estabilidad laboral","Horario","Acceso a prestaciones","Oportunidades de crecimiento","Trabajar en un área relacionada con mi formación")),"")</f>
        <v>Estabilidad laboral</v>
      </c>
      <c r="O216" s="9" t="str">
        <f>IF(OR(I216="Trabajo actualmente como empleado",I216="Trabajo de manera independiente"),_xlfn.LET(_xlpm.turno,MOD(COUNTIF($I$2:I216,I216)-1,5),_xlpm.nivel,VALUE(LEFT(M216,1)),IF(_xlpm.turno=4,"No estoy seguro/a",IF(_xlpm.turno&lt;IF(_xlpm.nivel&lt;=2,1,3),"Sí","No"))),"")</f>
        <v>No</v>
      </c>
      <c r="P216" s="9" t="str">
        <f>_xlfn.LET(_xlpm.perfil,I216,_xlpm.turno,COUNTIF($I$2:I216,_xlpm.perfil)-1,_xlpm.busca,OR(_xlpm.perfil="Actualmente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16" t="str">
        <f>IF(I216="Tengo un emprendimiento o quiero iniciar uno","",CHOOSE(MOD(INT((COUNTIF($I$2:I216,I216)-1)/7),3)+1,"Sí","No","Tengo una pero necesito actualizarla"))</f>
        <v>Sí</v>
      </c>
      <c r="R216" s="9" t="str">
        <f>IF(I216="Tengo un emprendimiento o quiero iniciar uno","",IF(I216="Busco mi primer empleo","No",IF(MOD(COUNTIF($I$2:I216,I216)-1,2)=0,"Sí","No")))</f>
        <v>Sí</v>
      </c>
      <c r="S216" t="str">
        <f>IF(I216="Tengo un emprendimiento o quiero iniciar uno","",CHOOSE(MOD(INT((COUNTIF($I$2:I216,I216)-1)/3),10)+1,"Portales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16" t="str">
        <f>IF(I216="Tengo un emprendimiento o quiero iniciar uno","",_xlfn.LET(_xlpm.opcion,MOD(INT((COUNTIF($I$2:I216,I216)-1)/4),6)+1,CHOOSE(IF(AND(_xlpm.opcion=3,Q216="Sí"),1,_xlpm.opcion),"Falta de experiencia","Falta de formación","Dificultades con la hoja de vida","Horarios disponibles","Transporte","Internet")))</f>
        <v>Internet</v>
      </c>
      <c r="U216" s="9" t="str">
        <f>IF(I216="Tengo un emprendimiento o quiero iniciar uno","",IF(MOD(INT((COUNTIF($I$2:I216,I216)-1)/3),2)=0,"Sí","No"))</f>
        <v>Sí</v>
      </c>
      <c r="V216" s="9" t="str">
        <f>IF(I216="Tengo un emprendimiento o quiero iniciar uno",CHOOSE(MOD(COUNTIF($I$2:I216,I216)-1,3)+1,"Tengo un emprendimiento","Estoy iniciando un emprendimiento","Me interesa emprender"),"")</f>
        <v/>
      </c>
      <c r="W216" t="str">
        <f t="shared" si="59"/>
        <v/>
      </c>
      <c r="X216" s="9" t="str">
        <f>IF(I216="Tengo un emprendimiento o quiero iniciar uno",CHOOSE(MOD(COUNTIF($I$2:I216,I216)-1,5)+1,"Falta de financiación","Falta de conocimientos administrativos","Falta de conocimientos financieros","Falta de tiempo","Falta de herramientas"),"")</f>
        <v/>
      </c>
      <c r="Y216" s="9" t="str">
        <f t="shared" si="60"/>
        <v/>
      </c>
      <c r="Z216" t="str">
        <f>IF(I216="Tengo un emprendimiento o quiero iniciar uno",CHOOSE(INT(MOD((COUNTIF($I$2:I216,I216)-1)*7,39)/13)+1,"Sí","No","No conozco programas de ese tipo"),"")</f>
        <v/>
      </c>
      <c r="AA216" t="str">
        <f t="shared" si="61"/>
        <v>Puedo hacerlo con ayuda</v>
      </c>
      <c r="AB216" t="str">
        <f t="shared" si="61"/>
        <v>Puedo hacerlo con ayuda</v>
      </c>
      <c r="AC216" t="str">
        <f t="shared" si="62"/>
        <v>Puedo hacerlo con ayuda</v>
      </c>
      <c r="AD216" s="9" t="str">
        <f t="shared" si="63"/>
        <v>No puedo hacerlo</v>
      </c>
      <c r="AE216" t="str">
        <f t="shared" si="64"/>
        <v>Puedo hacerlo sin ayuda</v>
      </c>
      <c r="AF216" s="9" t="str">
        <f t="shared" si="65"/>
        <v>Crear una hoja de vida;Preparación para entrevista</v>
      </c>
      <c r="AG216" s="9" t="str">
        <f t="shared" si="66"/>
        <v>Horarios</v>
      </c>
      <c r="AH216" t="str">
        <f t="shared" si="67"/>
        <v>Oficina de orientación laboral</v>
      </c>
      <c r="AI216" s="9" t="str">
        <f t="shared" si="68"/>
        <v>Me es indiferente</v>
      </c>
      <c r="AJ216" s="9" t="str">
        <f t="shared" si="69"/>
        <v>Diurno</v>
      </c>
      <c r="AK216" s="9" t="str">
        <f t="shared" si="70"/>
        <v>WhatsApp</v>
      </c>
    </row>
    <row r="217" spans="1:37">
      <c r="A217" t="str">
        <f t="shared" si="71"/>
        <v>SG216</v>
      </c>
      <c r="B217" t="s">
        <v>418</v>
      </c>
      <c r="C217" s="9" t="s">
        <v>427</v>
      </c>
      <c r="D217" t="str">
        <f t="shared" si="54"/>
        <v>Femenino</v>
      </c>
      <c r="E217" t="str">
        <f t="shared" si="55"/>
        <v>De 18 a 20 años</v>
      </c>
      <c r="F217">
        <f t="shared" si="56"/>
        <v>19</v>
      </c>
      <c r="G217" s="9" t="s">
        <v>428</v>
      </c>
      <c r="H217" s="9" t="str">
        <f t="shared" si="57"/>
        <v>Bachiller</v>
      </c>
      <c r="I217" s="9" t="str">
        <f t="shared" si="58"/>
        <v>Actualmente no trabajo y estoy buscando empleo</v>
      </c>
      <c r="J217" s="13" t="str">
        <f>IF(I217="Trabajo actualmente como empleado",IF(MOD((COUNTIF($I$2:I217,"Trabajo actualmente como empleado")-1)*37,150)&lt;100,"Empleado con contrato","Empleado sin contrato formal"),IF(I217="Trabajo de manera independiente","Trabajo independiente",""))</f>
        <v/>
      </c>
      <c r="K217" s="9" t="str">
        <f>IF(OR(I217="Trabajo actualmente como empleado",I217="Trabajo de manera independiente"),CHOOSE(MOD(COUNTIF($I$2:I217,I217)-1,4)+1,"Menos de 3 meses","De 3 a 6 meses","De 7 a 12 meses","Más de un año"),"")</f>
        <v/>
      </c>
      <c r="L217" t="str">
        <f>IF(OR(I217="Trabajo actualmente como empleado",I217="Trabajo de manera independiente"),CHOOSE(MOD(COUNTIF($I$2:I217,I217)-1,3)+1,"Sí, completamente","Parcialmente","No"),"")</f>
        <v/>
      </c>
      <c r="M217" t="str">
        <f>IF(OR(I217="Trabajo actualmente como empleado",I217="Trabajo de manera independiente"),CHOOSE(MOD(INT((COUNTIF($I$2:I217,I217)-1)/3),4)+1,"1- Muy satisfecho/a","2- Satisfecho/a","3- Insatisfecho/a","4- Muy insatisfecho/a"),"")</f>
        <v/>
      </c>
      <c r="N217" t="str">
        <f>IF(OR(I217="Trabajo actualmente como empleado",I217="Trabajo de manera independiente"),_xlfn.LET(_xlpm.opcion,MOD(INT((COUNTIF($I$2:I217,I217)-1)/5),6)+1,CHOOSE(IF(AND(_xlpm.opcion=6,L217="Sí, completamente"),5,_xlpm.opcion),"Salario","Estabilidad laboral","Horario","Acceso a prestaciones","Oportunidades de crecimiento","Trabajar en un área relacionada con mi formación")),"")</f>
        <v/>
      </c>
      <c r="O217" s="9" t="str">
        <f>IF(OR(I217="Trabajo actualmente como empleado",I217="Trabajo de manera independiente"),_xlfn.LET(_xlpm.turno,MOD(COUNTIF($I$2:I217,I217)-1,5),_xlpm.nivel,VALUE(LEFT(M217,1)),IF(_xlpm.turno=4,"No estoy seguro/a",IF(_xlpm.turno&lt;IF(_xlpm.nivel&lt;=2,1,3),"Sí","No"))),"")</f>
        <v/>
      </c>
      <c r="P217" s="9" t="str">
        <f>_xlfn.LET(_xlpm.perfil,I217,_xlpm.turno,COUNTIF($I$2:I217,_xlpm.perfil)-1,_xlpm.busca,OR(_xlpm.perfil="Actualmente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trabajar"),IF(AND(_xlpm.trabaja,O217="No"),"Todavía no he iniciado una búsqueda activa",CHOOSE(MOD(_xlpm.turno*3,5)+1,"Menos de 1 mes","Entre 1 y 3 meses","Entre 4 y 6 meses","Más de 6 meses","Todavía no he iniciado una búsqueda activa")),"")))</f>
        <v>Entre 4 y 6 meses</v>
      </c>
      <c r="Q217" t="str">
        <f>IF(I217="Tengo un emprendimiento o quiero iniciar uno","",CHOOSE(MOD(INT((COUNTIF($I$2:I217,I217)-1)/7),3)+1,"Sí","No","Tengo una pero necesito actualizarla"))</f>
        <v>Tengo una pero necesito actualizarla</v>
      </c>
      <c r="R217" s="9" t="str">
        <f>IF(I217="Tengo un emprendimiento o quiero iniciar uno","",IF(I217="Busco mi primer empleo","No",IF(MOD(COUNTIF($I$2:I217,I217)-1,2)=0,"Sí","No")))</f>
        <v>Sí</v>
      </c>
      <c r="S217" t="str">
        <f>IF(I217="Tengo un emprendimiento o quiero iniciar uno","",CHOOSE(MOD(INT((COUNTIF($I$2:I217,I217)-1)/3),10)+1,"Portales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17" t="str">
        <f>IF(I217="Tengo un emprendimiento o quiero iniciar uno","",_xlfn.LET(_xlpm.opcion,MOD(INT((COUNTIF($I$2:I217,I217)-1)/4),6)+1,CHOOSE(IF(AND(_xlpm.opcion=3,Q217="Sí"),1,_xlpm.opcion),"Falta de experiencia","Falta de formación","Dificultades con la hoja de vida","Horarios disponibles","Transporte","Internet")))</f>
        <v>Horarios disponibles</v>
      </c>
      <c r="U217" s="9" t="str">
        <f>IF(I217="Tengo un emprendimiento o quiero iniciar uno","",IF(MOD(INT((COUNTIF($I$2:I217,I217)-1)/3),2)=0,"Sí","No"))</f>
        <v>Sí</v>
      </c>
      <c r="V217" s="9" t="str">
        <f>IF(I217="Tengo un emprendimiento o quiero iniciar uno",CHOOSE(MOD(COUNTIF($I$2:I217,I217)-1,3)+1,"Tengo un emprendimiento","Estoy iniciando un emprendimiento","Me interesa emprender"),"")</f>
        <v/>
      </c>
      <c r="W217" t="str">
        <f t="shared" si="59"/>
        <v/>
      </c>
      <c r="X217" s="9" t="str">
        <f>IF(I217="Tengo un emprendimiento o quiero iniciar uno",CHOOSE(MOD(COUNTIF($I$2:I217,I217)-1,5)+1,"Falta de financiación","Falta de conocimientos administrativos","Falta de conocimientos financieros","Falta de tiempo","Falta de herramientas"),"")</f>
        <v/>
      </c>
      <c r="Y217" s="9" t="str">
        <f t="shared" si="60"/>
        <v/>
      </c>
      <c r="Z217" t="str">
        <f>IF(I217="Tengo un emprendimiento o quiero iniciar uno",CHOOSE(INT(MOD((COUNTIF($I$2:I217,I217)-1)*7,39)/13)+1,"Sí","No","No conozco programas de ese tipo"),"")</f>
        <v/>
      </c>
      <c r="AA217" t="str">
        <f t="shared" si="61"/>
        <v>Puedo hacerlo con dificultad</v>
      </c>
      <c r="AB217" t="str">
        <f t="shared" si="61"/>
        <v>Puedo hacerlo con dificultad</v>
      </c>
      <c r="AC217" t="str">
        <f t="shared" si="62"/>
        <v>Puedo hacerlo con dificultad</v>
      </c>
      <c r="AD217" s="9" t="str">
        <f t="shared" si="63"/>
        <v>No puedo hacerlo</v>
      </c>
      <c r="AE217" t="str">
        <f t="shared" si="64"/>
        <v>No puedo hacerlo</v>
      </c>
      <c r="AF217" s="9" t="str">
        <f t="shared" si="65"/>
        <v>Comunicación;Liderazgo</v>
      </c>
      <c r="AG217" s="9" t="str">
        <f t="shared" si="66"/>
        <v>Horarios</v>
      </c>
      <c r="AH217" t="str">
        <f t="shared" si="67"/>
        <v>Ferias de empleo</v>
      </c>
      <c r="AI217" s="9" t="str">
        <f t="shared" si="68"/>
        <v>Presencial</v>
      </c>
      <c r="AJ217" s="9" t="str">
        <f t="shared" si="69"/>
        <v>Nocturno</v>
      </c>
      <c r="AK217" s="9" t="str">
        <f t="shared" si="70"/>
        <v>Correo electrónico</v>
      </c>
    </row>
    <row r="218" spans="1:37">
      <c r="A218" t="str">
        <f t="shared" si="71"/>
        <v>SG217</v>
      </c>
      <c r="B218" t="s">
        <v>418</v>
      </c>
      <c r="C218" s="9" t="s">
        <v>427</v>
      </c>
      <c r="D218" t="str">
        <f t="shared" si="54"/>
        <v>Femenino</v>
      </c>
      <c r="E218" t="str">
        <f t="shared" si="55"/>
        <v>De 20 a 22 años</v>
      </c>
      <c r="F218">
        <f t="shared" si="56"/>
        <v>21</v>
      </c>
      <c r="G218" s="9" t="s">
        <v>428</v>
      </c>
      <c r="H218" s="9" t="str">
        <f t="shared" si="57"/>
        <v>Técnico</v>
      </c>
      <c r="I218" s="9" t="str">
        <f t="shared" si="58"/>
        <v>Trabajo actualmente como empleado</v>
      </c>
      <c r="J218" s="13" t="str">
        <f>IF(I218="Trabajo actualmente como empleado",IF(MOD((COUNTIF($I$2:I218,"Trabajo actualmente como empleado")-1)*37,150)&lt;100,"Empleado con contrato","Empleado sin contrato formal"),IF(I218="Trabajo de manera independiente","Trabajo independiente",""))</f>
        <v>Empleado con contrato</v>
      </c>
      <c r="K218" s="9" t="str">
        <f>IF(OR(I218="Trabajo actualmente como empleado",I218="Trabajo de manera independiente"),CHOOSE(MOD(COUNTIF($I$2:I218,I218)-1,4)+1,"Menos de 3 meses","De 3 a 6 meses","De 7 a 12 meses","Más de un año"),"")</f>
        <v>De 3 a 6 meses</v>
      </c>
      <c r="L218" t="str">
        <f>IF(OR(I218="Trabajo actualmente como empleado",I218="Trabajo de manera independiente"),CHOOSE(MOD(COUNTIF($I$2:I218,I218)-1,3)+1,"Sí, completamente","Parcialmente","No"),"")</f>
        <v>Sí, completamente</v>
      </c>
      <c r="M218" t="str">
        <f>IF(OR(I218="Trabajo actualmente como empleado",I218="Trabajo de manera independiente"),CHOOSE(MOD(INT((COUNTIF($I$2:I218,I218)-1)/3),4)+1,"1- Muy satisfecho/a","2- Satisfecho/a","3- Insatisfecho/a","4- Muy insatisfecho/a"),"")</f>
        <v>4- Muy insatisfecho/a</v>
      </c>
      <c r="N218" t="str">
        <f>IF(OR(I218="Trabajo actualmente como empleado",I218="Trabajo de manera independiente"),_xlfn.LET(_xlpm.opcion,MOD(INT((COUNTIF($I$2:I218,I218)-1)/5),6)+1,CHOOSE(IF(AND(_xlpm.opcion=6,L218="Sí, completamente"),5,_xlpm.opcion),"Salario","Estabilidad laboral","Horario","Acceso a prestaciones","Oportunidades de crecimiento","Trabajar en un área relacionada con mi formación")),"")</f>
        <v>Estabilidad laboral</v>
      </c>
      <c r="O218" s="9" t="str">
        <f>IF(OR(I218="Trabajo actualmente como empleado",I218="Trabajo de manera independiente"),_xlfn.LET(_xlpm.turno,MOD(COUNTIF($I$2:I218,I218)-1,5),_xlpm.nivel,VALUE(LEFT(M218,1)),IF(_xlpm.turno=4,"No estoy seguro/a",IF(_xlpm.turno&lt;IF(_xlpm.nivel&lt;=2,1,3),"Sí","No"))),"")</f>
        <v>No estoy seguro/a</v>
      </c>
      <c r="P218" s="9" t="str">
        <f>_xlfn.LET(_xlpm.perfil,I218,_xlpm.turno,COUNTIF($I$2:I218,_xlpm.perfil)-1,_xlpm.busca,OR(_xlpm.perfil="Actualmente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trabajar"),IF(AND(_xlpm.trabaja,O218="No"),"Todavía no he iniciado una búsqueda activa",CHOOSE(MOD(_xlpm.turno*3,5)+1,"Menos de 1 mes","Entre 1 y 3 meses","Entre 4 y 6 meses","Más de 6 meses","Todavía no he iniciado una búsqueda activa")),"")))</f>
        <v>Entre 4 y 6 meses</v>
      </c>
      <c r="Q218" t="str">
        <f>IF(I218="Tengo un emprendimiento o quiero iniciar uno","",CHOOSE(MOD(INT((COUNTIF($I$2:I218,I218)-1)/7),3)+1,"Sí","No","Tengo una pero necesito actualizarla"))</f>
        <v>Sí</v>
      </c>
      <c r="R218" s="9" t="str">
        <f>IF(I218="Tengo un emprendimiento o quiero iniciar uno","",IF(I218="Busco mi primer empleo","No",IF(MOD(COUNTIF($I$2:I218,I218)-1,2)=0,"Sí","No")))</f>
        <v>No</v>
      </c>
      <c r="S218" t="str">
        <f>IF(I218="Tengo un emprendimiento o quiero iniciar uno","",CHOOSE(MOD(INT((COUNTIF($I$2:I218,I218)-1)/3),10)+1,"Portales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18" t="str">
        <f>IF(I218="Tengo un emprendimiento o quiero iniciar uno","",_xlfn.LET(_xlpm.opcion,MOD(INT((COUNTIF($I$2:I218,I218)-1)/4),6)+1,CHOOSE(IF(AND(_xlpm.opcion=3,Q218="Sí"),1,_xlpm.opcion),"Falta de experiencia","Falta de formación","Dificultades con la hoja de vida","Horarios disponibles","Transporte","Internet")))</f>
        <v>Internet</v>
      </c>
      <c r="U218" s="9" t="str">
        <f>IF(I218="Tengo un emprendimiento o quiero iniciar uno","",IF(MOD(INT((COUNTIF($I$2:I218,I218)-1)/3),2)=0,"Sí","No"))</f>
        <v>No</v>
      </c>
      <c r="V218" s="9" t="str">
        <f>IF(I218="Tengo un emprendimiento o quiero iniciar uno",CHOOSE(MOD(COUNTIF($I$2:I218,I218)-1,3)+1,"Tengo un emprendimiento","Estoy iniciando un emprendimiento","Me interesa emprender"),"")</f>
        <v/>
      </c>
      <c r="W218" t="str">
        <f t="shared" si="59"/>
        <v/>
      </c>
      <c r="X218" s="9" t="str">
        <f>IF(I218="Tengo un emprendimiento o quiero iniciar uno",CHOOSE(MOD(COUNTIF($I$2:I218,I218)-1,5)+1,"Falta de financiación","Falta de conocimientos administrativos","Falta de conocimientos financieros","Falta de tiempo","Falta de herramientas"),"")</f>
        <v/>
      </c>
      <c r="Y218" s="9" t="str">
        <f t="shared" si="60"/>
        <v/>
      </c>
      <c r="Z218" t="str">
        <f>IF(I218="Tengo un emprendimiento o quiero iniciar uno",CHOOSE(INT(MOD((COUNTIF($I$2:I218,I218)-1)*7,39)/13)+1,"Sí","No","No conozco programas de ese tipo"),"")</f>
        <v/>
      </c>
      <c r="AA218" t="str">
        <f t="shared" si="61"/>
        <v>No puedo hacerlo</v>
      </c>
      <c r="AB218" t="str">
        <f t="shared" si="61"/>
        <v>No puedo hacerlo</v>
      </c>
      <c r="AC218" t="str">
        <f t="shared" si="62"/>
        <v>Puedo hacerlo sin ayuda</v>
      </c>
      <c r="AD218" s="9" t="str">
        <f t="shared" si="63"/>
        <v>Puedo hacerlo con ayuda</v>
      </c>
      <c r="AE218" t="str">
        <f t="shared" si="64"/>
        <v>Puedo hacerlo con ayuda</v>
      </c>
      <c r="AF218" s="9" t="str">
        <f t="shared" si="65"/>
        <v>Herramientas digitales;Educación financiera</v>
      </c>
      <c r="AG218" s="9" t="str">
        <f t="shared" si="66"/>
        <v>Costos de transporte</v>
      </c>
      <c r="AH218" t="str">
        <f t="shared" si="67"/>
        <v>No conozco ninguno</v>
      </c>
      <c r="AI218" s="9" t="str">
        <f t="shared" si="68"/>
        <v>Virtual</v>
      </c>
      <c r="AJ218" s="9" t="str">
        <f t="shared" si="69"/>
        <v>Mañana entre semana</v>
      </c>
      <c r="AK218" s="9" t="str">
        <f t="shared" si="70"/>
        <v>Celular</v>
      </c>
    </row>
    <row r="219" spans="1:37">
      <c r="A219" t="str">
        <f t="shared" si="71"/>
        <v>SG218</v>
      </c>
      <c r="B219" t="s">
        <v>418</v>
      </c>
      <c r="C219" s="9" t="s">
        <v>427</v>
      </c>
      <c r="D219" t="str">
        <f t="shared" si="54"/>
        <v>Masculino</v>
      </c>
      <c r="E219" t="str">
        <f t="shared" si="55"/>
        <v>De 22 a 24 años</v>
      </c>
      <c r="F219">
        <f t="shared" si="56"/>
        <v>23</v>
      </c>
      <c r="G219" s="9" t="s">
        <v>428</v>
      </c>
      <c r="H219" s="9" t="str">
        <f t="shared" si="57"/>
        <v>Tecnólogo</v>
      </c>
      <c r="I219" s="9" t="str">
        <f t="shared" si="58"/>
        <v>Trabajo de manera independiente</v>
      </c>
      <c r="J219" s="13" t="str">
        <f>IF(I219="Trabajo actualmente como empleado",IF(MOD((COUNTIF($I$2:I219,"Trabajo actualmente como empleado")-1)*37,150)&lt;100,"Empleado con contrato","Empleado sin contrato formal"),IF(I219="Trabajo de manera independiente","Trabajo independiente",""))</f>
        <v>Trabajo independiente</v>
      </c>
      <c r="K219" s="9" t="str">
        <f>IF(OR(I219="Trabajo actualmente como empleado",I219="Trabajo de manera independiente"),CHOOSE(MOD(COUNTIF($I$2:I219,I219)-1,4)+1,"Menos de 3 meses","De 3 a 6 meses","De 7 a 12 meses","Más de un año"),"")</f>
        <v>Menos de 3 meses</v>
      </c>
      <c r="L219" t="str">
        <f>IF(OR(I219="Trabajo actualmente como empleado",I219="Trabajo de manera independiente"),CHOOSE(MOD(COUNTIF($I$2:I219,I219)-1,3)+1,"Sí, completamente","Parcialmente","No"),"")</f>
        <v>Sí, completamente</v>
      </c>
      <c r="M219" t="str">
        <f>IF(OR(I219="Trabajo actualmente como empleado",I219="Trabajo de manera independiente"),CHOOSE(MOD(INT((COUNTIF($I$2:I219,I219)-1)/3),4)+1,"1- Muy satisfecho/a","2- Satisfecho/a","3- Insatisfecho/a","4- Muy insatisfecho/a"),"")</f>
        <v>1- Muy satisfecho/a</v>
      </c>
      <c r="N219" t="str">
        <f>IF(OR(I219="Trabajo actualmente como empleado",I219="Trabajo de manera independiente"),_xlfn.LET(_xlpm.opcion,MOD(INT((COUNTIF($I$2:I219,I219)-1)/5),6)+1,CHOOSE(IF(AND(_xlpm.opcion=6,L219="Sí, completamente"),5,_xlpm.opcion),"Salario","Estabilidad laboral","Horario","Acceso a prestaciones","Oportunidades de crecimiento","Trabajar en un área relacionada con mi formación")),"")</f>
        <v>Estabilidad laboral</v>
      </c>
      <c r="O219" s="9" t="str">
        <f>IF(OR(I219="Trabajo actualmente como empleado",I219="Trabajo de manera independiente"),_xlfn.LET(_xlpm.turno,MOD(COUNTIF($I$2:I219,I219)-1,5),_xlpm.nivel,VALUE(LEFT(M219,1)),IF(_xlpm.turno=4,"No estoy seguro/a",IF(_xlpm.turno&lt;IF(_xlpm.nivel&lt;=2,1,3),"Sí","No"))),"")</f>
        <v>No</v>
      </c>
      <c r="P219" s="9" t="str">
        <f>_xlfn.LET(_xlpm.perfil,I219,_xlpm.turno,COUNTIF($I$2:I219,_xlpm.perfil)-1,_xlpm.busca,OR(_xlpm.perfil="Actualmente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trabajar"),IF(AND(_xlpm.trabaja,O219="No"),"Todavía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19" t="str">
        <f>IF(I219="Tengo un emprendimiento o quiero iniciar uno","",CHOOSE(MOD(INT((COUNTIF($I$2:I219,I219)-1)/7),3)+1,"Sí","No","Tengo una pero necesito actualizarla"))</f>
        <v>Tengo una pero necesito actualizarla</v>
      </c>
      <c r="R219" s="9" t="str">
        <f>IF(I219="Tengo un emprendimiento o quiero iniciar uno","",IF(I219="Busco mi primer empleo","No",IF(MOD(COUNTIF($I$2:I219,I219)-1,2)=0,"Sí","No")))</f>
        <v>Sí</v>
      </c>
      <c r="S219" t="str">
        <f>IF(I219="Tengo un emprendimiento o quiero iniciar uno","",CHOOSE(MOD(INT((COUNTIF($I$2:I219,I219)-1)/3),10)+1,"Portales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19" t="str">
        <f>IF(I219="Tengo un emprendimiento o quiero iniciar uno","",_xlfn.LET(_xlpm.opcion,MOD(INT((COUNTIF($I$2:I219,I219)-1)/4),6)+1,CHOOSE(IF(AND(_xlpm.opcion=3,Q219="Sí"),1,_xlpm.opcion),"Falta de experiencia","Falta de formación","Dificultades con la hoja de vida","Horarios disponibles","Transporte","Internet")))</f>
        <v>Horarios disponibles</v>
      </c>
      <c r="U219" s="9" t="str">
        <f>IF(I219="Tengo un emprendimiento o quiero iniciar uno","",IF(MOD(INT((COUNTIF($I$2:I219,I219)-1)/3),2)=0,"Sí","No"))</f>
        <v>Sí</v>
      </c>
      <c r="V219" s="9" t="str">
        <f>IF(I219="Tengo un emprendimiento o quiero iniciar uno",CHOOSE(MOD(COUNTIF($I$2:I219,I219)-1,3)+1,"Tengo un emprendimiento","Estoy iniciando un emprendimiento","Me interesa emprender"),"")</f>
        <v/>
      </c>
      <c r="W219" t="str">
        <f t="shared" si="59"/>
        <v/>
      </c>
      <c r="X219" s="9" t="str">
        <f>IF(I219="Tengo un emprendimiento o quiero iniciar uno",CHOOSE(MOD(COUNTIF($I$2:I219,I219)-1,5)+1,"Falta de financiación","Falta de conocimientos administrativos","Falta de conocimientos financieros","Falta de tiempo","Falta de herramientas"),"")</f>
        <v/>
      </c>
      <c r="Y219" s="9" t="str">
        <f t="shared" si="60"/>
        <v/>
      </c>
      <c r="Z219" t="str">
        <f>IF(I219="Tengo un emprendimiento o quiero iniciar uno",CHOOSE(INT(MOD((COUNTIF($I$2:I219,I219)-1)*7,39)/13)+1,"Sí","No","No conozco programas de ese tipo"),"")</f>
        <v/>
      </c>
      <c r="AA219" t="str">
        <f t="shared" si="61"/>
        <v>Puedo hacerlo con dificultad</v>
      </c>
      <c r="AB219" t="str">
        <f t="shared" si="61"/>
        <v>Puedo hacerlo con dificultad</v>
      </c>
      <c r="AC219" t="str">
        <f t="shared" si="62"/>
        <v>Puedo hacerlo con ayuda</v>
      </c>
      <c r="AD219" s="9" t="str">
        <f t="shared" si="63"/>
        <v>Puedo hacerlo con dificultad</v>
      </c>
      <c r="AE219" t="str">
        <f t="shared" si="64"/>
        <v>Puedo hacerlo con ayuda</v>
      </c>
      <c r="AF219" s="9" t="str">
        <f t="shared" si="65"/>
        <v>Crear una hoja de vida</v>
      </c>
      <c r="AG219" s="9" t="str">
        <f t="shared" si="66"/>
        <v>Costos de transporte</v>
      </c>
      <c r="AH219" t="str">
        <f t="shared" si="67"/>
        <v>Ferias de empleo</v>
      </c>
      <c r="AI219" s="9" t="str">
        <f t="shared" si="68"/>
        <v>Presencial y virtual</v>
      </c>
      <c r="AJ219" s="9" t="str">
        <f t="shared" si="69"/>
        <v>Diurno</v>
      </c>
      <c r="AK219" s="9" t="str">
        <f t="shared" si="70"/>
        <v>WhatsApp</v>
      </c>
    </row>
    <row r="220" spans="1:37">
      <c r="A220" t="str">
        <f t="shared" si="71"/>
        <v>SG219</v>
      </c>
      <c r="B220" t="s">
        <v>418</v>
      </c>
      <c r="C220" s="9" t="s">
        <v>427</v>
      </c>
      <c r="D220" t="str">
        <f t="shared" si="54"/>
        <v>Masculino</v>
      </c>
      <c r="E220" t="str">
        <f t="shared" si="55"/>
        <v>De 24 a 26 años</v>
      </c>
      <c r="F220">
        <f t="shared" si="56"/>
        <v>25</v>
      </c>
      <c r="G220" s="9" t="s">
        <v>428</v>
      </c>
      <c r="H220" s="9" t="str">
        <f t="shared" si="57"/>
        <v>Profesional</v>
      </c>
      <c r="I220" s="9" t="str">
        <f t="shared" si="58"/>
        <v>Busco mi primer empleo</v>
      </c>
      <c r="J220" s="13" t="str">
        <f>IF(I220="Trabajo actualmente como empleado",IF(MOD((COUNTIF($I$2:I220,"Trabajo actualmente como empleado")-1)*37,150)&lt;100,"Empleado con contrato","Empleado sin contrato formal"),IF(I220="Trabajo de manera independiente","Trabajo independiente",""))</f>
        <v/>
      </c>
      <c r="K220" s="9" t="str">
        <f>IF(OR(I220="Trabajo actualmente como empleado",I220="Trabajo de manera independiente"),CHOOSE(MOD(COUNTIF($I$2:I220,I220)-1,4)+1,"Menos de 3 meses","De 3 a 6 meses","De 7 a 12 meses","Más de un año"),"")</f>
        <v/>
      </c>
      <c r="L220" t="str">
        <f>IF(OR(I220="Trabajo actualmente como empleado",I220="Trabajo de manera independiente"),CHOOSE(MOD(COUNTIF($I$2:I220,I220)-1,3)+1,"Sí, completamente","Parcialmente","No"),"")</f>
        <v/>
      </c>
      <c r="M220" t="str">
        <f>IF(OR(I220="Trabajo actualmente como empleado",I220="Trabajo de manera independiente"),CHOOSE(MOD(INT((COUNTIF($I$2:I220,I220)-1)/3),4)+1,"1- Muy satisfecho/a","2- Satisfecho/a","3- Insatisfecho/a","4- Muy insatisfecho/a"),"")</f>
        <v/>
      </c>
      <c r="N220" t="str">
        <f>IF(OR(I220="Trabajo actualmente como empleado",I220="Trabajo de manera independiente"),_xlfn.LET(_xlpm.opcion,MOD(INT((COUNTIF($I$2:I220,I220)-1)/5),6)+1,CHOOSE(IF(AND(_xlpm.opcion=6,L220="Sí, completamente"),5,_xlpm.opcion),"Salario","Estabilidad laboral","Horario","Acceso a prestaciones","Oportunidades de crecimiento","Trabajar en un área relacionada con mi formación")),"")</f>
        <v/>
      </c>
      <c r="O220" s="9" t="str">
        <f>IF(OR(I220="Trabajo actualmente como empleado",I220="Trabajo de manera independiente"),_xlfn.LET(_xlpm.turno,MOD(COUNTIF($I$2:I220,I220)-1,5),_xlpm.nivel,VALUE(LEFT(M220,1)),IF(_xlpm.turno=4,"No estoy seguro/a",IF(_xlpm.turno&lt;IF(_xlpm.nivel&lt;=2,1,3),"Sí","No"))),"")</f>
        <v/>
      </c>
      <c r="P220" s="9" t="str">
        <f>_xlfn.LET(_xlpm.perfil,I220,_xlpm.turno,COUNTIF($I$2:I220,_xlpm.perfil)-1,_xlpm.busca,OR(_xlpm.perfil="Actualmente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trabajar"),IF(AND(_xlpm.trabaja,O220="No"),"Todavía no he iniciado una búsqueda activa",CHOOSE(MOD(_xlpm.turno*3,5)+1,"Menos de 1 mes","Entre 1 y 3 meses","Entre 4 y 6 meses","Más de 6 meses","Todavía no he iniciado una búsqueda activa")),"")))</f>
        <v>Entre 4 y 6 meses</v>
      </c>
      <c r="Q220" t="str">
        <f>IF(I220="Tengo un emprendimiento o quiero iniciar uno","",CHOOSE(MOD(INT((COUNTIF($I$2:I220,I220)-1)/7),3)+1,"Sí","No","Tengo una pero necesito actualizarla"))</f>
        <v>No</v>
      </c>
      <c r="R220" s="9" t="str">
        <f>IF(I220="Tengo un emprendimiento o quiero iniciar uno","",IF(I220="Busco mi primer empleo","No",IF(MOD(COUNTIF($I$2:I220,I220)-1,2)=0,"Sí","No")))</f>
        <v>No</v>
      </c>
      <c r="S220" t="str">
        <f>IF(I220="Tengo un emprendimiento o quiero iniciar uno","",CHOOSE(MOD(INT((COUNTIF($I$2:I220,I220)-1)/3),10)+1,"Portales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20" t="str">
        <f>IF(I220="Tengo un emprendimiento o quiero iniciar uno","",_xlfn.LET(_xlpm.opcion,MOD(INT((COUNTIF($I$2:I220,I220)-1)/4),6)+1,CHOOSE(IF(AND(_xlpm.opcion=3,Q220="Sí"),1,_xlpm.opcion),"Falta de experiencia","Falta de formación","Dificultades con la hoja de vida","Horarios disponibles","Transporte","Internet")))</f>
        <v>Falta de formación</v>
      </c>
      <c r="U220" s="9" t="str">
        <f>IF(I220="Tengo un emprendimiento o quiero iniciar uno","",IF(MOD(INT((COUNTIF($I$2:I220,I220)-1)/3),2)=0,"Sí","No"))</f>
        <v>Sí</v>
      </c>
      <c r="V220" s="9" t="str">
        <f>IF(I220="Tengo un emprendimiento o quiero iniciar uno",CHOOSE(MOD(COUNTIF($I$2:I220,I220)-1,3)+1,"Tengo un emprendimiento","Estoy iniciando un emprendimiento","Me interesa emprender"),"")</f>
        <v/>
      </c>
      <c r="W220" t="str">
        <f t="shared" si="59"/>
        <v/>
      </c>
      <c r="X220" s="9" t="str">
        <f>IF(I220="Tengo un emprendimiento o quiero iniciar uno",CHOOSE(MOD(COUNTIF($I$2:I220,I220)-1,5)+1,"Falta de financiación","Falta de conocimientos administrativos","Falta de conocimientos financieros","Falta de tiempo","Falta de herramientas"),"")</f>
        <v/>
      </c>
      <c r="Y220" s="9" t="str">
        <f t="shared" si="60"/>
        <v/>
      </c>
      <c r="Z220" t="str">
        <f>IF(I220="Tengo un emprendimiento o quiero iniciar uno",CHOOSE(INT(MOD((COUNTIF($I$2:I220,I220)-1)*7,39)/13)+1,"Sí","No","No conozco programas de ese tipo"),"")</f>
        <v/>
      </c>
      <c r="AA220" t="str">
        <f t="shared" si="61"/>
        <v>Puedo hacerlo sin ayuda</v>
      </c>
      <c r="AB220" t="str">
        <f t="shared" si="61"/>
        <v>Puedo hacerlo sin ayuda</v>
      </c>
      <c r="AC220" t="str">
        <f t="shared" si="62"/>
        <v>Puedo hacerlo con dificultad</v>
      </c>
      <c r="AD220" s="9" t="str">
        <f t="shared" si="63"/>
        <v>Puedo hacerlo sin ayuda</v>
      </c>
      <c r="AE220" t="str">
        <f t="shared" si="64"/>
        <v>Puedo hacerlo con dificultad</v>
      </c>
      <c r="AF220" s="9" t="str">
        <f t="shared" si="65"/>
        <v>Preparación para entrevista</v>
      </c>
      <c r="AG220" s="9" t="str">
        <f t="shared" si="66"/>
        <v>Costos de transporte</v>
      </c>
      <c r="AH220" t="str">
        <f t="shared" si="67"/>
        <v>Programas de emprendimiento</v>
      </c>
      <c r="AI220" s="9" t="str">
        <f t="shared" si="68"/>
        <v>Me es indiferente</v>
      </c>
      <c r="AJ220" s="9" t="str">
        <f t="shared" si="69"/>
        <v>Nocturno</v>
      </c>
      <c r="AK220" s="9" t="str">
        <f t="shared" si="70"/>
        <v>Redes sociales</v>
      </c>
    </row>
    <row r="221" spans="1:37">
      <c r="A221" t="str">
        <f t="shared" si="71"/>
        <v>SG220</v>
      </c>
      <c r="B221" t="s">
        <v>418</v>
      </c>
      <c r="C221" s="9" t="s">
        <v>427</v>
      </c>
      <c r="D221" t="str">
        <f t="shared" si="54"/>
        <v>Femenino</v>
      </c>
      <c r="E221" t="str">
        <f t="shared" si="55"/>
        <v>De 26 a 28 años</v>
      </c>
      <c r="F221">
        <f t="shared" si="56"/>
        <v>27</v>
      </c>
      <c r="G221" s="9" t="s">
        <v>428</v>
      </c>
      <c r="H221" s="9" t="str">
        <f t="shared" si="57"/>
        <v>Profesional</v>
      </c>
      <c r="I221" s="9" t="str">
        <f t="shared" si="58"/>
        <v>Trabajo actualmente como empleado</v>
      </c>
      <c r="J221" s="13" t="str">
        <f>IF(I221="Trabajo actualmente como empleado",IF(MOD((COUNTIF($I$2:I221,"Trabajo actualmente como empleado")-1)*37,150)&lt;100,"Empleado con contrato","Empleado sin contrato formal"),IF(I221="Trabajo de manera independiente","Trabajo independiente",""))</f>
        <v>Empleado con contrato</v>
      </c>
      <c r="K221" s="9" t="str">
        <f>IF(OR(I221="Trabajo actualmente como empleado",I221="Trabajo de manera independiente"),CHOOSE(MOD(COUNTIF($I$2:I221,I221)-1,4)+1,"Menos de 3 meses","De 3 a 6 meses","De 7 a 12 meses","Más de un año"),"")</f>
        <v>De 7 a 12 meses</v>
      </c>
      <c r="L221" t="str">
        <f>IF(OR(I221="Trabajo actualmente como empleado",I221="Trabajo de manera independiente"),CHOOSE(MOD(COUNTIF($I$2:I221,I221)-1,3)+1,"Sí, completamente","Parcialmente","No"),"")</f>
        <v>Parcialmente</v>
      </c>
      <c r="M221" t="str">
        <f>IF(OR(I221="Trabajo actualmente como empleado",I221="Trabajo de manera independiente"),CHOOSE(MOD(INT((COUNTIF($I$2:I221,I221)-1)/3),4)+1,"1- Muy satisfecho/a","2- Satisfecho/a","3- Insatisfecho/a","4- Muy insatisfecho/a"),"")</f>
        <v>4- Muy insatisfecho/a</v>
      </c>
      <c r="N221" t="str">
        <f>IF(OR(I221="Trabajo actualmente como empleado",I221="Trabajo de manera independiente"),_xlfn.LET(_xlpm.opcion,MOD(INT((COUNTIF($I$2:I221,I221)-1)/5),6)+1,CHOOSE(IF(AND(_xlpm.opcion=6,L221="Sí, completamente"),5,_xlpm.opcion),"Salario","Estabilidad laboral","Horario","Acceso a prestaciones","Oportunidades de crecimiento","Trabajar en un área relacionada con mi formación")),"")</f>
        <v>Horario</v>
      </c>
      <c r="O221" s="9" t="str">
        <f>IF(OR(I221="Trabajo actualmente como empleado",I221="Trabajo de manera independiente"),_xlfn.LET(_xlpm.turno,MOD(COUNTIF($I$2:I221,I221)-1,5),_xlpm.nivel,VALUE(LEFT(M221,1)),IF(_xlpm.turno=4,"No estoy seguro/a",IF(_xlpm.turno&lt;IF(_xlpm.nivel&lt;=2,1,3),"Sí","No"))),"")</f>
        <v>Sí</v>
      </c>
      <c r="P221" s="9" t="str">
        <f>_xlfn.LET(_xlpm.perfil,I221,_xlpm.turno,COUNTIF($I$2:I221,_xlpm.perfil)-1,_xlpm.busca,OR(_xlpm.perfil="Actualmente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trabajar"),IF(AND(_xlpm.trabaja,O221="No"),"Todavía no he iniciado una búsqueda activa",CHOOSE(MOD(_xlpm.turno*3,5)+1,"Menos de 1 mes","Entre 1 y 3 meses","Entre 4 y 6 meses","Más de 6 meses","Todavía no he iniciado una búsqueda activa")),"")))</f>
        <v>Menos de 1 mes</v>
      </c>
      <c r="Q221" t="str">
        <f>IF(I221="Tengo un emprendimiento o quiero iniciar uno","",CHOOSE(MOD(INT((COUNTIF($I$2:I221,I221)-1)/7),3)+1,"Sí","No","Tengo una pero necesito actualizarla"))</f>
        <v>No</v>
      </c>
      <c r="R221" s="9" t="str">
        <f>IF(I221="Tengo un emprendimiento o quiero iniciar uno","",IF(I221="Busco mi primer empleo","No",IF(MOD(COUNTIF($I$2:I221,I221)-1,2)=0,"Sí","No")))</f>
        <v>Sí</v>
      </c>
      <c r="S221" t="str">
        <f>IF(I221="Tengo un emprendimiento o quiero iniciar uno","",CHOOSE(MOD(INT((COUNTIF($I$2:I221,I221)-1)/3),10)+1,"Portales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21" t="str">
        <f>IF(I221="Tengo un emprendimiento o quiero iniciar uno","",_xlfn.LET(_xlpm.opcion,MOD(INT((COUNTIF($I$2:I221,I221)-1)/4),6)+1,CHOOSE(IF(AND(_xlpm.opcion=3,Q221="Sí"),1,_xlpm.opcion),"Falta de experiencia","Falta de formación","Dificultades con la hoja de vida","Horarios disponibles","Transporte","Internet")))</f>
        <v>Internet</v>
      </c>
      <c r="U221" s="9" t="str">
        <f>IF(I221="Tengo un emprendimiento o quiero iniciar uno","",IF(MOD(INT((COUNTIF($I$2:I221,I221)-1)/3),2)=0,"Sí","No"))</f>
        <v>No</v>
      </c>
      <c r="V221" s="9" t="str">
        <f>IF(I221="Tengo un emprendimiento o quiero iniciar uno",CHOOSE(MOD(COUNTIF($I$2:I221,I221)-1,3)+1,"Tengo un emprendimiento","Estoy iniciando un emprendimiento","Me interesa emprender"),"")</f>
        <v/>
      </c>
      <c r="W221" t="str">
        <f t="shared" si="59"/>
        <v/>
      </c>
      <c r="X221" s="9" t="str">
        <f>IF(I221="Tengo un emprendimiento o quiero iniciar uno",CHOOSE(MOD(COUNTIF($I$2:I221,I221)-1,5)+1,"Falta de financiación","Falta de conocimientos administrativos","Falta de conocimientos financieros","Falta de tiempo","Falta de herramientas"),"")</f>
        <v/>
      </c>
      <c r="Y221" s="9" t="str">
        <f t="shared" si="60"/>
        <v/>
      </c>
      <c r="Z221" t="str">
        <f>IF(I221="Tengo un emprendimiento o quiero iniciar uno",CHOOSE(INT(MOD((COUNTIF($I$2:I221,I221)-1)*7,39)/13)+1,"Sí","No","No conozco programas de ese tipo"),"")</f>
        <v/>
      </c>
      <c r="AA221" t="str">
        <f t="shared" si="61"/>
        <v>Puedo hacerlo con ayuda</v>
      </c>
      <c r="AB221" t="str">
        <f t="shared" si="61"/>
        <v>Puedo hacerlo con ayuda</v>
      </c>
      <c r="AC221" t="str">
        <f t="shared" si="62"/>
        <v>Puedo hacerlo sin ayuda</v>
      </c>
      <c r="AD221" s="9" t="str">
        <f t="shared" si="63"/>
        <v>Puedo hacerlo sin ayuda</v>
      </c>
      <c r="AE221" t="str">
        <f t="shared" si="64"/>
        <v>Puedo hacerlo con dificultad</v>
      </c>
      <c r="AF221" s="9" t="str">
        <f t="shared" si="65"/>
        <v>Comunicación</v>
      </c>
      <c r="AG221" s="9" t="str">
        <f t="shared" si="66"/>
        <v>Horarios;Falta de información</v>
      </c>
      <c r="AH221" t="str">
        <f t="shared" si="67"/>
        <v>Oficina de orientación laboral</v>
      </c>
      <c r="AI221" s="9" t="str">
        <f t="shared" si="68"/>
        <v>Presencial</v>
      </c>
      <c r="AJ221" s="9" t="str">
        <f t="shared" si="69"/>
        <v>Mañana entre semana</v>
      </c>
      <c r="AK221" s="9" t="str">
        <f t="shared" si="70"/>
        <v>Celular</v>
      </c>
    </row>
    <row r="222" spans="1:37">
      <c r="A222" t="str">
        <f t="shared" si="71"/>
        <v>SG221</v>
      </c>
      <c r="B222" t="s">
        <v>418</v>
      </c>
      <c r="C222" s="9" t="s">
        <v>427</v>
      </c>
      <c r="D222" t="str">
        <f t="shared" si="54"/>
        <v>Femenino</v>
      </c>
      <c r="E222" t="str">
        <f t="shared" si="55"/>
        <v>De 18 a 20 años</v>
      </c>
      <c r="F222">
        <f t="shared" si="56"/>
        <v>18</v>
      </c>
      <c r="G222" s="9" t="s">
        <v>428</v>
      </c>
      <c r="H222" s="9" t="str">
        <f t="shared" si="57"/>
        <v>Tecnólogo</v>
      </c>
      <c r="I222" s="9" t="str">
        <f t="shared" si="58"/>
        <v>Trabajo de manera independiente</v>
      </c>
      <c r="J222" s="13" t="str">
        <f>IF(I222="Trabajo actualmente como empleado",IF(MOD((COUNTIF($I$2:I222,"Trabajo actualmente como empleado")-1)*37,150)&lt;100,"Empleado con contrato","Empleado sin contrato formal"),IF(I222="Trabajo de manera independiente","Trabajo independiente",""))</f>
        <v>Trabajo independiente</v>
      </c>
      <c r="K222" s="9" t="str">
        <f>IF(OR(I222="Trabajo actualmente como empleado",I222="Trabajo de manera independiente"),CHOOSE(MOD(COUNTIF($I$2:I222,I222)-1,4)+1,"Menos de 3 meses","De 3 a 6 meses","De 7 a 12 meses","Más de un año"),"")</f>
        <v>De 3 a 6 meses</v>
      </c>
      <c r="L222" t="str">
        <f>IF(OR(I222="Trabajo actualmente como empleado",I222="Trabajo de manera independiente"),CHOOSE(MOD(COUNTIF($I$2:I222,I222)-1,3)+1,"Sí, completamente","Parcialmente","No"),"")</f>
        <v>Parcialmente</v>
      </c>
      <c r="M222" t="str">
        <f>IF(OR(I222="Trabajo actualmente como empleado",I222="Trabajo de manera independiente"),CHOOSE(MOD(INT((COUNTIF($I$2:I222,I222)-1)/3),4)+1,"1- Muy satisfecho/a","2- Satisfecho/a","3- Insatisfecho/a","4- Muy insatisfecho/a"),"")</f>
        <v>1- Muy satisfecho/a</v>
      </c>
      <c r="N222" t="str">
        <f>IF(OR(I222="Trabajo actualmente como empleado",I222="Trabajo de manera independiente"),_xlfn.LET(_xlpm.opcion,MOD(INT((COUNTIF($I$2:I222,I222)-1)/5),6)+1,CHOOSE(IF(AND(_xlpm.opcion=6,L222="Sí, completamente"),5,_xlpm.opcion),"Salario","Estabilidad laboral","Horario","Acceso a prestaciones","Oportunidades de crecimiento","Trabajar en un área relacionada con mi formación")),"")</f>
        <v>Estabilidad laboral</v>
      </c>
      <c r="O222" s="9" t="str">
        <f>IF(OR(I222="Trabajo actualmente como empleado",I222="Trabajo de manera independiente"),_xlfn.LET(_xlpm.turno,MOD(COUNTIF($I$2:I222,I222)-1,5),_xlpm.nivel,VALUE(LEFT(M222,1)),IF(_xlpm.turno=4,"No estoy seguro/a",IF(_xlpm.turno&lt;IF(_xlpm.nivel&lt;=2,1,3),"Sí","No"))),"")</f>
        <v>No</v>
      </c>
      <c r="P222" s="9" t="str">
        <f>_xlfn.LET(_xlpm.perfil,I222,_xlpm.turno,COUNTIF($I$2:I222,_xlpm.perfil)-1,_xlpm.busca,OR(_xlpm.perfil="Actualmente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22" t="str">
        <f>IF(I222="Tengo un emprendimiento o quiero iniciar uno","",CHOOSE(MOD(INT((COUNTIF($I$2:I222,I222)-1)/7),3)+1,"Sí","No","Tengo una pero necesito actualizarla"))</f>
        <v>Tengo una pero necesito actualizarla</v>
      </c>
      <c r="R222" s="9" t="str">
        <f>IF(I222="Tengo un emprendimiento o quiero iniciar uno","",IF(I222="Busco mi primer empleo","No",IF(MOD(COUNTIF($I$2:I222,I222)-1,2)=0,"Sí","No")))</f>
        <v>No</v>
      </c>
      <c r="S222" t="str">
        <f>IF(I222="Tengo un emprendimiento o quiero iniciar uno","",CHOOSE(MOD(INT((COUNTIF($I$2:I222,I222)-1)/3),10)+1,"Portales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22" t="str">
        <f>IF(I222="Tengo un emprendimiento o quiero iniciar uno","",_xlfn.LET(_xlpm.opcion,MOD(INT((COUNTIF($I$2:I222,I222)-1)/4),6)+1,CHOOSE(IF(AND(_xlpm.opcion=3,Q222="Sí"),1,_xlpm.opcion),"Falta de experiencia","Falta de formación","Dificultades con la hoja de vida","Horarios disponibles","Transporte","Internet")))</f>
        <v>Horarios disponibles</v>
      </c>
      <c r="U222" s="9" t="str">
        <f>IF(I222="Tengo un emprendimiento o quiero iniciar uno","",IF(MOD(INT((COUNTIF($I$2:I222,I222)-1)/3),2)=0,"Sí","No"))</f>
        <v>Sí</v>
      </c>
      <c r="V222" s="9" t="str">
        <f>IF(I222="Tengo un emprendimiento o quiero iniciar uno",CHOOSE(MOD(COUNTIF($I$2:I222,I222)-1,3)+1,"Tengo un emprendimiento","Estoy iniciando un emprendimiento","Me interesa emprender"),"")</f>
        <v/>
      </c>
      <c r="W222" t="str">
        <f t="shared" si="59"/>
        <v/>
      </c>
      <c r="X222" s="9" t="str">
        <f>IF(I222="Tengo un emprendimiento o quiero iniciar uno",CHOOSE(MOD(COUNTIF($I$2:I222,I222)-1,5)+1,"Falta de financiación","Falta de conocimientos administrativos","Falta de conocimientos financieros","Falta de tiempo","Falta de herramientas"),"")</f>
        <v/>
      </c>
      <c r="Y222" s="9" t="str">
        <f t="shared" si="60"/>
        <v/>
      </c>
      <c r="Z222" t="str">
        <f>IF(I222="Tengo un emprendimiento o quiero iniciar uno",CHOOSE(INT(MOD((COUNTIF($I$2:I222,I222)-1)*7,39)/13)+1,"Sí","No","No conozco programas de ese tipo"),"")</f>
        <v/>
      </c>
      <c r="AA222" t="str">
        <f t="shared" si="61"/>
        <v>Puedo hacerlo con dificultad</v>
      </c>
      <c r="AB222" t="str">
        <f t="shared" si="61"/>
        <v>Puedo hacerlo con dificultad</v>
      </c>
      <c r="AC222" t="str">
        <f t="shared" si="62"/>
        <v>Puedo hacerlo con ayuda</v>
      </c>
      <c r="AD222" s="9" t="str">
        <f t="shared" si="63"/>
        <v>No puedo hacerlo</v>
      </c>
      <c r="AE222" t="str">
        <f t="shared" si="64"/>
        <v>Puedo hacerlo sin ayuda</v>
      </c>
      <c r="AF222" s="9" t="str">
        <f t="shared" si="65"/>
        <v>Liderazgo</v>
      </c>
      <c r="AG222" s="9" t="str">
        <f t="shared" si="66"/>
        <v>Horarios;Falta de información</v>
      </c>
      <c r="AH222" t="str">
        <f t="shared" si="67"/>
        <v>Programas de emprendimiento</v>
      </c>
      <c r="AI222" s="9" t="str">
        <f t="shared" si="68"/>
        <v>Virtual</v>
      </c>
      <c r="AJ222" s="9" t="str">
        <f t="shared" si="69"/>
        <v>Diurno</v>
      </c>
      <c r="AK222" s="9" t="str">
        <f t="shared" si="70"/>
        <v>Correo electrónico</v>
      </c>
    </row>
    <row r="223" spans="1:37">
      <c r="A223" t="str">
        <f t="shared" si="71"/>
        <v>SG222</v>
      </c>
      <c r="B223" t="s">
        <v>418</v>
      </c>
      <c r="C223" s="9" t="s">
        <v>427</v>
      </c>
      <c r="D223" t="str">
        <f t="shared" si="54"/>
        <v>Masculino</v>
      </c>
      <c r="E223" t="str">
        <f t="shared" si="55"/>
        <v>De 20 a 22 años</v>
      </c>
      <c r="F223">
        <f t="shared" si="56"/>
        <v>20</v>
      </c>
      <c r="G223" s="9" t="s">
        <v>428</v>
      </c>
      <c r="H223" s="9" t="str">
        <f t="shared" si="57"/>
        <v>Tecnólogo</v>
      </c>
      <c r="I223" s="9" t="str">
        <f t="shared" si="58"/>
        <v>Estudio y quiero comenzar a trabajar</v>
      </c>
      <c r="J223" s="13" t="str">
        <f>IF(I223="Trabajo actualmente como empleado",IF(MOD((COUNTIF($I$2:I223,"Trabajo actualmente como empleado")-1)*37,150)&lt;100,"Empleado con contrato","Empleado sin contrato formal"),IF(I223="Trabajo de manera independiente","Trabajo independiente",""))</f>
        <v/>
      </c>
      <c r="K223" s="9" t="str">
        <f>IF(OR(I223="Trabajo actualmente como empleado",I223="Trabajo de manera independiente"),CHOOSE(MOD(COUNTIF($I$2:I223,I223)-1,4)+1,"Menos de 3 meses","De 3 a 6 meses","De 7 a 12 meses","Más de un año"),"")</f>
        <v/>
      </c>
      <c r="L223" t="str">
        <f>IF(OR(I223="Trabajo actualmente como empleado",I223="Trabajo de manera independiente"),CHOOSE(MOD(COUNTIF($I$2:I223,I223)-1,3)+1,"Sí, completamente","Parcialmente","No"),"")</f>
        <v/>
      </c>
      <c r="M223" t="str">
        <f>IF(OR(I223="Trabajo actualmente como empleado",I223="Trabajo de manera independiente"),CHOOSE(MOD(INT((COUNTIF($I$2:I223,I223)-1)/3),4)+1,"1- Muy satisfecho/a","2- Satisfecho/a","3- Insatisfecho/a","4- Muy insatisfecho/a"),"")</f>
        <v/>
      </c>
      <c r="N223" t="str">
        <f>IF(OR(I223="Trabajo actualmente como empleado",I223="Trabajo de manera independiente"),_xlfn.LET(_xlpm.opcion,MOD(INT((COUNTIF($I$2:I223,I223)-1)/5),6)+1,CHOOSE(IF(AND(_xlpm.opcion=6,L223="Sí, completamente"),5,_xlpm.opcion),"Salario","Estabilidad laboral","Horario","Acceso a prestaciones","Oportunidades de crecimiento","Trabajar en un área relacionada con mi formación")),"")</f>
        <v/>
      </c>
      <c r="O223" s="9" t="str">
        <f>IF(OR(I223="Trabajo actualmente como empleado",I223="Trabajo de manera independiente"),_xlfn.LET(_xlpm.turno,MOD(COUNTIF($I$2:I223,I223)-1,5),_xlpm.nivel,VALUE(LEFT(M223,1)),IF(_xlpm.turno=4,"No estoy seguro/a",IF(_xlpm.turno&lt;IF(_xlpm.nivel&lt;=2,1,3),"Sí","No"))),"")</f>
        <v/>
      </c>
      <c r="P223" s="9" t="str">
        <f>_xlfn.LET(_xlpm.perfil,I223,_xlpm.turno,COUNTIF($I$2:I223,_xlpm.perfil)-1,_xlpm.busca,OR(_xlpm.perfil="Actualmente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trabajar"),IF(AND(_xlpm.trabaja,O223="No"),"Todavía no he iniciado una búsqueda activa",CHOOSE(MOD(_xlpm.turno*3,5)+1,"Menos de 1 mes","Entre 1 y 3 meses","Entre 4 y 6 meses","Más de 6 meses","Todavía no he iniciado una búsqueda activa")),"")))</f>
        <v>Entre 4 y 6 meses</v>
      </c>
      <c r="Q223" t="str">
        <f>IF(I223="Tengo un emprendimiento o quiero iniciar uno","",CHOOSE(MOD(INT((COUNTIF($I$2:I223,I223)-1)/7),3)+1,"Sí","No","Tengo una pero necesito actualizarla"))</f>
        <v>Sí</v>
      </c>
      <c r="R223" s="9" t="str">
        <f>IF(I223="Tengo un emprendimiento o quiero iniciar uno","",IF(I223="Busco mi primer empleo","No",IF(MOD(COUNTIF($I$2:I223,I223)-1,2)=0,"Sí","No")))</f>
        <v>Sí</v>
      </c>
      <c r="S223" t="str">
        <f>IF(I223="Tengo un emprendimiento o quiero iniciar uno","",CHOOSE(MOD(INT((COUNTIF($I$2:I223,I223)-1)/3),10)+1,"Portales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223" t="str">
        <f>IF(I223="Tengo un emprendimiento o quiero iniciar uno","",_xlfn.LET(_xlpm.opcion,MOD(INT((COUNTIF($I$2:I223,I223)-1)/4),6)+1,CHOOSE(IF(AND(_xlpm.opcion=3,Q223="Sí"),1,_xlpm.opcion),"Falta de experiencia","Falta de formación","Dificultades con la hoja de vida","Horarios disponibles","Transporte","Internet")))</f>
        <v>Falta de experiencia</v>
      </c>
      <c r="U223" s="9" t="str">
        <f>IF(I223="Tengo un emprendimiento o quiero iniciar uno","",IF(MOD(INT((COUNTIF($I$2:I223,I223)-1)/3),2)=0,"Sí","No"))</f>
        <v>Sí</v>
      </c>
      <c r="V223" s="9" t="str">
        <f>IF(I223="Tengo un emprendimiento o quiero iniciar uno",CHOOSE(MOD(COUNTIF($I$2:I223,I223)-1,3)+1,"Tengo un emprendimiento","Estoy iniciando un emprendimiento","Me interesa emprender"),"")</f>
        <v/>
      </c>
      <c r="W223" t="str">
        <f t="shared" si="59"/>
        <v/>
      </c>
      <c r="X223" s="9" t="str">
        <f>IF(I223="Tengo un emprendimiento o quiero iniciar uno",CHOOSE(MOD(COUNTIF($I$2:I223,I223)-1,5)+1,"Falta de financiación","Falta de conocimientos administrativos","Falta de conocimientos financieros","Falta de tiempo","Falta de herramientas"),"")</f>
        <v/>
      </c>
      <c r="Y223" s="9" t="str">
        <f t="shared" si="60"/>
        <v/>
      </c>
      <c r="Z223" t="str">
        <f>IF(I223="Tengo un emprendimiento o quiero iniciar uno",CHOOSE(INT(MOD((COUNTIF($I$2:I223,I223)-1)*7,39)/13)+1,"Sí","No","No conozco programas de ese tipo"),"")</f>
        <v/>
      </c>
      <c r="AA223" t="str">
        <f t="shared" si="61"/>
        <v>No puedo hacerlo</v>
      </c>
      <c r="AB223" t="str">
        <f t="shared" si="61"/>
        <v>No puedo hacerlo</v>
      </c>
      <c r="AC223" t="str">
        <f t="shared" si="62"/>
        <v>Puedo hacerlo con dificultad</v>
      </c>
      <c r="AD223" s="9" t="str">
        <f t="shared" si="63"/>
        <v>Puedo hacerlo con ayuda</v>
      </c>
      <c r="AE223" t="str">
        <f t="shared" si="64"/>
        <v>No puedo hacerlo</v>
      </c>
      <c r="AF223" s="9" t="str">
        <f t="shared" si="65"/>
        <v>Emprendimiento</v>
      </c>
      <c r="AG223" s="9" t="str">
        <f t="shared" si="66"/>
        <v>Horarios;Falta de información</v>
      </c>
      <c r="AH223" t="str">
        <f t="shared" si="67"/>
        <v>No conozco ninguno</v>
      </c>
      <c r="AI223" s="9" t="str">
        <f t="shared" si="68"/>
        <v>Presencial y virtual</v>
      </c>
      <c r="AJ223" s="9" t="str">
        <f t="shared" si="69"/>
        <v>Nocturno</v>
      </c>
      <c r="AK223" s="9" t="str">
        <f t="shared" si="70"/>
        <v>Redes sociales</v>
      </c>
    </row>
    <row r="224" spans="1:37">
      <c r="A224" t="str">
        <f t="shared" si="71"/>
        <v>SG223</v>
      </c>
      <c r="B224" t="s">
        <v>418</v>
      </c>
      <c r="C224" s="9" t="s">
        <v>427</v>
      </c>
      <c r="D224" t="str">
        <f t="shared" si="54"/>
        <v>Femenino</v>
      </c>
      <c r="E224" t="str">
        <f t="shared" si="55"/>
        <v>De 22 a 24 años</v>
      </c>
      <c r="F224">
        <f t="shared" si="56"/>
        <v>22</v>
      </c>
      <c r="G224" s="9" t="s">
        <v>428</v>
      </c>
      <c r="H224" s="9" t="str">
        <f t="shared" si="57"/>
        <v>Profesional</v>
      </c>
      <c r="I224" s="9" t="str">
        <f t="shared" si="58"/>
        <v>Trabajo actualmente como empleado</v>
      </c>
      <c r="J224" s="13" t="str">
        <f>IF(I224="Trabajo actualmente como empleado",IF(MOD((COUNTIF($I$2:I224,"Trabajo actualmente como empleado")-1)*37,150)&lt;100,"Empleado con contrato","Empleado sin contrato formal"),IF(I224="Trabajo de manera independiente","Trabajo independiente",""))</f>
        <v>Empleado con contrato</v>
      </c>
      <c r="K224" s="9" t="str">
        <f>IF(OR(I224="Trabajo actualmente como empleado",I224="Trabajo de manera independiente"),CHOOSE(MOD(COUNTIF($I$2:I224,I224)-1,4)+1,"Menos de 3 meses","De 3 a 6 meses","De 7 a 12 meses","Más de un año"),"")</f>
        <v>Más de un año</v>
      </c>
      <c r="L224" t="str">
        <f>IF(OR(I224="Trabajo actualmente como empleado",I224="Trabajo de manera independiente"),CHOOSE(MOD(COUNTIF($I$2:I224,I224)-1,3)+1,"Sí, completamente","Parcialmente","No"),"")</f>
        <v>No</v>
      </c>
      <c r="M224" t="str">
        <f>IF(OR(I224="Trabajo actualmente como empleado",I224="Trabajo de manera independiente"),CHOOSE(MOD(INT((COUNTIF($I$2:I224,I224)-1)/3),4)+1,"1- Muy satisfecho/a","2- Satisfecho/a","3- Insatisfecho/a","4- Muy insatisfecho/a"),"")</f>
        <v>4- Muy insatisfecho/a</v>
      </c>
      <c r="N224" t="str">
        <f>IF(OR(I224="Trabajo actualmente como empleado",I224="Trabajo de manera independiente"),_xlfn.LET(_xlpm.opcion,MOD(INT((COUNTIF($I$2:I224,I224)-1)/5),6)+1,CHOOSE(IF(AND(_xlpm.opcion=6,L224="Sí, completamente"),5,_xlpm.opcion),"Salario","Estabilidad laboral","Horario","Acceso a prestaciones","Oportunidades de crecimiento","Trabajar en un área relacionada con mi formación")),"")</f>
        <v>Horario</v>
      </c>
      <c r="O224" s="9" t="str">
        <f>IF(OR(I224="Trabajo actualmente como empleado",I224="Trabajo de manera independiente"),_xlfn.LET(_xlpm.turno,MOD(COUNTIF($I$2:I224,I224)-1,5),_xlpm.nivel,VALUE(LEFT(M224,1)),IF(_xlpm.turno=4,"No estoy seguro/a",IF(_xlpm.turno&lt;IF(_xlpm.nivel&lt;=2,1,3),"Sí","No"))),"")</f>
        <v>Sí</v>
      </c>
      <c r="P224" s="9" t="str">
        <f>_xlfn.LET(_xlpm.perfil,I224,_xlpm.turno,COUNTIF($I$2:I224,_xlpm.perfil)-1,_xlpm.busca,OR(_xlpm.perfil="Actualmente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trabajar"),IF(AND(_xlpm.trabaja,O224="No"),"Todavía no he iniciado una búsqueda activa",CHOOSE(MOD(_xlpm.turno*3,5)+1,"Menos de 1 mes","Entre 1 y 3 meses","Entre 4 y 6 meses","Más de 6 meses","Todavía no he iniciado una búsqueda activa")),"")))</f>
        <v>Más de 6 meses</v>
      </c>
      <c r="Q224" t="str">
        <f>IF(I224="Tengo un emprendimiento o quiero iniciar uno","",CHOOSE(MOD(INT((COUNTIF($I$2:I224,I224)-1)/7),3)+1,"Sí","No","Tengo una pero necesito actualizarla"))</f>
        <v>No</v>
      </c>
      <c r="R224" s="9" t="str">
        <f>IF(I224="Tengo un emprendimiento o quiero iniciar uno","",IF(I224="Busco mi primer empleo","No",IF(MOD(COUNTIF($I$2:I224,I224)-1,2)=0,"Sí","No")))</f>
        <v>No</v>
      </c>
      <c r="S224" t="str">
        <f>IF(I224="Tengo un emprendimiento o quiero iniciar uno","",CHOOSE(MOD(INT((COUNTIF($I$2:I224,I224)-1)/3),10)+1,"Portales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24" t="str">
        <f>IF(I224="Tengo un emprendimiento o quiero iniciar uno","",_xlfn.LET(_xlpm.opcion,MOD(INT((COUNTIF($I$2:I224,I224)-1)/4),6)+1,CHOOSE(IF(AND(_xlpm.opcion=3,Q224="Sí"),1,_xlpm.opcion),"Falta de experiencia","Falta de formación","Dificultades con la hoja de vida","Horarios disponibles","Transporte","Internet")))</f>
        <v>Internet</v>
      </c>
      <c r="U224" s="9" t="str">
        <f>IF(I224="Tengo un emprendimiento o quiero iniciar uno","",IF(MOD(INT((COUNTIF($I$2:I224,I224)-1)/3),2)=0,"Sí","No"))</f>
        <v>No</v>
      </c>
      <c r="V224" s="9" t="str">
        <f>IF(I224="Tengo un emprendimiento o quiero iniciar uno",CHOOSE(MOD(COUNTIF($I$2:I224,I224)-1,3)+1,"Tengo un emprendimiento","Estoy iniciando un emprendimiento","Me interesa emprender"),"")</f>
        <v/>
      </c>
      <c r="W224" t="str">
        <f t="shared" si="59"/>
        <v/>
      </c>
      <c r="X224" s="9" t="str">
        <f>IF(I224="Tengo un emprendimiento o quiero iniciar uno",CHOOSE(MOD(COUNTIF($I$2:I224,I224)-1,5)+1,"Falta de financiación","Falta de conocimientos administrativos","Falta de conocimientos financieros","Falta de tiempo","Falta de herramientas"),"")</f>
        <v/>
      </c>
      <c r="Y224" s="9" t="str">
        <f t="shared" si="60"/>
        <v/>
      </c>
      <c r="Z224" t="str">
        <f>IF(I224="Tengo un emprendimiento o quiero iniciar uno",CHOOSE(INT(MOD((COUNTIF($I$2:I224,I224)-1)*7,39)/13)+1,"Sí","No","No conozco programas de ese tipo"),"")</f>
        <v/>
      </c>
      <c r="AA224" t="str">
        <f t="shared" si="61"/>
        <v>Puedo hacerlo con dificultad</v>
      </c>
      <c r="AB224" t="str">
        <f t="shared" si="61"/>
        <v>Puedo hacerlo con dificultad</v>
      </c>
      <c r="AC224" t="str">
        <f t="shared" si="62"/>
        <v>Puedo hacerlo sin ayuda</v>
      </c>
      <c r="AD224" s="9" t="str">
        <f t="shared" si="63"/>
        <v>Puedo hacerlo con dificultad</v>
      </c>
      <c r="AE224" t="str">
        <f t="shared" si="64"/>
        <v>No puedo hacerlo</v>
      </c>
      <c r="AF224" s="9" t="str">
        <f t="shared" si="65"/>
        <v>Herramientas digitales</v>
      </c>
      <c r="AG224" s="9" t="str">
        <f t="shared" si="66"/>
        <v>Ninguna</v>
      </c>
      <c r="AH224" t="str">
        <f t="shared" si="67"/>
        <v>Ferias de empleo</v>
      </c>
      <c r="AI224" s="9" t="str">
        <f t="shared" si="68"/>
        <v>Presencial</v>
      </c>
      <c r="AJ224" s="9" t="str">
        <f t="shared" si="69"/>
        <v>Mañana entre semana</v>
      </c>
      <c r="AK224" s="9" t="str">
        <f t="shared" si="70"/>
        <v>WhatsApp</v>
      </c>
    </row>
    <row r="225" spans="1:37">
      <c r="A225" t="str">
        <f t="shared" si="71"/>
        <v>SG224</v>
      </c>
      <c r="B225" t="s">
        <v>418</v>
      </c>
      <c r="C225" s="9" t="s">
        <v>427</v>
      </c>
      <c r="D225" t="str">
        <f t="shared" si="54"/>
        <v>Femenino</v>
      </c>
      <c r="E225" t="str">
        <f t="shared" si="55"/>
        <v>De 24 a 26 años</v>
      </c>
      <c r="F225">
        <f t="shared" si="56"/>
        <v>24</v>
      </c>
      <c r="G225" s="9" t="s">
        <v>428</v>
      </c>
      <c r="H225" s="9" t="str">
        <f t="shared" si="57"/>
        <v>Posgrado</v>
      </c>
      <c r="I225" s="9" t="str">
        <f t="shared" si="58"/>
        <v>Actualmente no trabajo y estoy buscando empleo</v>
      </c>
      <c r="J225" s="13" t="str">
        <f>IF(I225="Trabajo actualmente como empleado",IF(MOD((COUNTIF($I$2:I225,"Trabajo actualmente como empleado")-1)*37,150)&lt;100,"Empleado con contrato","Empleado sin contrato formal"),IF(I225="Trabajo de manera independiente","Trabajo independiente",""))</f>
        <v/>
      </c>
      <c r="K225" s="9" t="str">
        <f>IF(OR(I225="Trabajo actualmente como empleado",I225="Trabajo de manera independiente"),CHOOSE(MOD(COUNTIF($I$2:I225,I225)-1,4)+1,"Menos de 3 meses","De 3 a 6 meses","De 7 a 12 meses","Más de un año"),"")</f>
        <v/>
      </c>
      <c r="L225" t="str">
        <f>IF(OR(I225="Trabajo actualmente como empleado",I225="Trabajo de manera independiente"),CHOOSE(MOD(COUNTIF($I$2:I225,I225)-1,3)+1,"Sí, completamente","Parcialmente","No"),"")</f>
        <v/>
      </c>
      <c r="M225" t="str">
        <f>IF(OR(I225="Trabajo actualmente como empleado",I225="Trabajo de manera independiente"),CHOOSE(MOD(INT((COUNTIF($I$2:I225,I225)-1)/3),4)+1,"1- Muy satisfecho/a","2- Satisfecho/a","3- Insatisfecho/a","4- Muy insatisfecho/a"),"")</f>
        <v/>
      </c>
      <c r="N225" t="str">
        <f>IF(OR(I225="Trabajo actualmente como empleado",I225="Trabajo de manera independiente"),_xlfn.LET(_xlpm.opcion,MOD(INT((COUNTIF($I$2:I225,I225)-1)/5),6)+1,CHOOSE(IF(AND(_xlpm.opcion=6,L225="Sí, completamente"),5,_xlpm.opcion),"Salario","Estabilidad laboral","Horario","Acceso a prestaciones","Oportunidades de crecimiento","Trabajar en un área relacionada con mi formación")),"")</f>
        <v/>
      </c>
      <c r="O225" s="9" t="str">
        <f>IF(OR(I225="Trabajo actualmente como empleado",I225="Trabajo de manera independiente"),_xlfn.LET(_xlpm.turno,MOD(COUNTIF($I$2:I225,I225)-1,5),_xlpm.nivel,VALUE(LEFT(M225,1)),IF(_xlpm.turno=4,"No estoy seguro/a",IF(_xlpm.turno&lt;IF(_xlpm.nivel&lt;=2,1,3),"Sí","No"))),"")</f>
        <v/>
      </c>
      <c r="P225" s="9" t="str">
        <f>_xlfn.LET(_xlpm.perfil,I225,_xlpm.turno,COUNTIF($I$2:I225,_xlpm.perfil)-1,_xlpm.busca,OR(_xlpm.perfil="Actualmente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trabajar"),IF(AND(_xlpm.trabaja,O225="No"),"Todavía no he iniciado una búsqueda activa",CHOOSE(MOD(_xlpm.turno*3,5)+1,"Menos de 1 mes","Entre 1 y 3 meses","Entre 4 y 6 meses","Más de 6 meses","Todavía no he iniciado una búsqueda activa")),"")))</f>
        <v>Entre 1 y 3 meses</v>
      </c>
      <c r="Q225" t="str">
        <f>IF(I225="Tengo un emprendimiento o quiero iniciar uno","",CHOOSE(MOD(INT((COUNTIF($I$2:I225,I225)-1)/7),3)+1,"Sí","No","Tengo una pero necesito actualizarla"))</f>
        <v>Tengo una pero necesito actualizarla</v>
      </c>
      <c r="R225" s="9" t="str">
        <f>IF(I225="Tengo un emprendimiento o quiero iniciar uno","",IF(I225="Busco mi primer empleo","No",IF(MOD(COUNTIF($I$2:I225,I225)-1,2)=0,"Sí","No")))</f>
        <v>No</v>
      </c>
      <c r="S225" t="str">
        <f>IF(I225="Tengo un emprendimiento o quiero iniciar uno","",CHOOSE(MOD(INT((COUNTIF($I$2:I225,I225)-1)/3),10)+1,"Portales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25" t="str">
        <f>IF(I225="Tengo un emprendimiento o quiero iniciar uno","",_xlfn.LET(_xlpm.opcion,MOD(INT((COUNTIF($I$2:I225,I225)-1)/4),6)+1,CHOOSE(IF(AND(_xlpm.opcion=3,Q225="Sí"),1,_xlpm.opcion),"Falta de experiencia","Falta de formación","Dificultades con la hoja de vida","Horarios disponibles","Transporte","Internet")))</f>
        <v>Horarios disponibles</v>
      </c>
      <c r="U225" s="9" t="str">
        <f>IF(I225="Tengo un emprendimiento o quiero iniciar uno","",IF(MOD(INT((COUNTIF($I$2:I225,I225)-1)/3),2)=0,"Sí","No"))</f>
        <v>No</v>
      </c>
      <c r="V225" s="9" t="str">
        <f>IF(I225="Tengo un emprendimiento o quiero iniciar uno",CHOOSE(MOD(COUNTIF($I$2:I225,I225)-1,3)+1,"Tengo un emprendimiento","Estoy iniciando un emprendimiento","Me interesa emprender"),"")</f>
        <v/>
      </c>
      <c r="W225" t="str">
        <f t="shared" si="59"/>
        <v/>
      </c>
      <c r="X225" s="9" t="str">
        <f>IF(I225="Tengo un emprendimiento o quiero iniciar uno",CHOOSE(MOD(COUNTIF($I$2:I225,I225)-1,5)+1,"Falta de financiación","Falta de conocimientos administrativos","Falta de conocimientos financieros","Falta de tiempo","Falta de herramientas"),"")</f>
        <v/>
      </c>
      <c r="Y225" s="9" t="str">
        <f t="shared" si="60"/>
        <v/>
      </c>
      <c r="Z225" t="str">
        <f>IF(I225="Tengo un emprendimiento o quiero iniciar uno",CHOOSE(INT(MOD((COUNTIF($I$2:I225,I225)-1)*7,39)/13)+1,"Sí","No","No conozco programas de ese tipo"),"")</f>
        <v/>
      </c>
      <c r="AA225" t="str">
        <f t="shared" si="61"/>
        <v>Puedo hacerlo sin ayuda</v>
      </c>
      <c r="AB225" t="str">
        <f t="shared" si="61"/>
        <v>Puedo hacerlo sin ayuda</v>
      </c>
      <c r="AC225" t="str">
        <f t="shared" si="62"/>
        <v>Puedo hacerlo con ayuda</v>
      </c>
      <c r="AD225" s="9" t="str">
        <f t="shared" si="63"/>
        <v>Puedo hacerlo con dificultad</v>
      </c>
      <c r="AE225" t="str">
        <f t="shared" si="64"/>
        <v>Puedo hacerlo con ayuda</v>
      </c>
      <c r="AF225" s="9" t="str">
        <f t="shared" si="65"/>
        <v>Educación financiera</v>
      </c>
      <c r="AG225" s="9" t="str">
        <f t="shared" si="66"/>
        <v>Ninguna</v>
      </c>
      <c r="AH225" t="str">
        <f t="shared" si="67"/>
        <v>No conozco ninguno</v>
      </c>
      <c r="AI225" s="9" t="str">
        <f t="shared" si="68"/>
        <v>Virtual</v>
      </c>
      <c r="AJ225" s="9" t="str">
        <f t="shared" si="69"/>
        <v>Diurno</v>
      </c>
      <c r="AK225" s="9" t="str">
        <f t="shared" si="70"/>
        <v>Correo electrónico</v>
      </c>
    </row>
    <row r="226" spans="1:37">
      <c r="A226" t="str">
        <f t="shared" si="71"/>
        <v>SG225</v>
      </c>
      <c r="B226" t="s">
        <v>418</v>
      </c>
      <c r="C226" s="9" t="s">
        <v>427</v>
      </c>
      <c r="D226" t="str">
        <f t="shared" si="54"/>
        <v>Masculino</v>
      </c>
      <c r="E226" t="str">
        <f t="shared" si="55"/>
        <v>De 26 a 28 años</v>
      </c>
      <c r="F226">
        <f t="shared" si="56"/>
        <v>28</v>
      </c>
      <c r="G226" s="9" t="s">
        <v>428</v>
      </c>
      <c r="H226" s="9" t="str">
        <f t="shared" si="57"/>
        <v>Técnico</v>
      </c>
      <c r="I226" s="9" t="str">
        <f t="shared" si="58"/>
        <v>Estudio y quiero comenzar a trabajar</v>
      </c>
      <c r="J226" s="13" t="str">
        <f>IF(I226="Trabajo actualmente como empleado",IF(MOD((COUNTIF($I$2:I226,"Trabajo actualmente como empleado")-1)*37,150)&lt;100,"Empleado con contrato","Empleado sin contrato formal"),IF(I226="Trabajo de manera independiente","Trabajo independiente",""))</f>
        <v/>
      </c>
      <c r="K226" s="9" t="str">
        <f>IF(OR(I226="Trabajo actualmente como empleado",I226="Trabajo de manera independiente"),CHOOSE(MOD(COUNTIF($I$2:I226,I226)-1,4)+1,"Menos de 3 meses","De 3 a 6 meses","De 7 a 12 meses","Más de un año"),"")</f>
        <v/>
      </c>
      <c r="L226" t="str">
        <f>IF(OR(I226="Trabajo actualmente como empleado",I226="Trabajo de manera independiente"),CHOOSE(MOD(COUNTIF($I$2:I226,I226)-1,3)+1,"Sí, completamente","Parcialmente","No"),"")</f>
        <v/>
      </c>
      <c r="M226" t="str">
        <f>IF(OR(I226="Trabajo actualmente como empleado",I226="Trabajo de manera independiente"),CHOOSE(MOD(INT((COUNTIF($I$2:I226,I226)-1)/3),4)+1,"1- Muy satisfecho/a","2- Satisfecho/a","3- Insatisfecho/a","4- Muy insatisfecho/a"),"")</f>
        <v/>
      </c>
      <c r="N226" t="str">
        <f>IF(OR(I226="Trabajo actualmente como empleado",I226="Trabajo de manera independiente"),_xlfn.LET(_xlpm.opcion,MOD(INT((COUNTIF($I$2:I226,I226)-1)/5),6)+1,CHOOSE(IF(AND(_xlpm.opcion=6,L226="Sí, completamente"),5,_xlpm.opcion),"Salario","Estabilidad laboral","Horario","Acceso a prestaciones","Oportunidades de crecimiento","Trabajar en un área relacionada con mi formación")),"")</f>
        <v/>
      </c>
      <c r="O226" s="9" t="str">
        <f>IF(OR(I226="Trabajo actualmente como empleado",I226="Trabajo de manera independiente"),_xlfn.LET(_xlpm.turno,MOD(COUNTIF($I$2:I226,I226)-1,5),_xlpm.nivel,VALUE(LEFT(M226,1)),IF(_xlpm.turno=4,"No estoy seguro/a",IF(_xlpm.turno&lt;IF(_xlpm.nivel&lt;=2,1,3),"Sí","No"))),"")</f>
        <v/>
      </c>
      <c r="P226" s="9" t="str">
        <f>_xlfn.LET(_xlpm.perfil,I226,_xlpm.turno,COUNTIF($I$2:I226,_xlpm.perfil)-1,_xlpm.busca,OR(_xlpm.perfil="Actualmente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trabajar"),IF(AND(_xlpm.trabaja,O226="No"),"Todavía no he iniciado una búsqueda activa",CHOOSE(MOD(_xlpm.turno*3,5)+1,"Menos de 1 mes","Entre 1 y 3 meses","Entre 4 y 6 meses","Más de 6 meses","Todavía no he iniciado una búsqueda activa")),"")))</f>
        <v>Menos de 1 mes</v>
      </c>
      <c r="Q226" t="str">
        <f>IF(I226="Tengo un emprendimiento o quiero iniciar uno","",CHOOSE(MOD(INT((COUNTIF($I$2:I226,I226)-1)/7),3)+1,"Sí","No","Tengo una pero necesito actualizarla"))</f>
        <v>Sí</v>
      </c>
      <c r="R226" s="9" t="str">
        <f>IF(I226="Tengo un emprendimiento o quiero iniciar uno","",IF(I226="Busco mi primer empleo","No",IF(MOD(COUNTIF($I$2:I226,I226)-1,2)=0,"Sí","No")))</f>
        <v>No</v>
      </c>
      <c r="S226" t="str">
        <f>IF(I226="Tengo un emprendimiento o quiero iniciar uno","",CHOOSE(MOD(INT((COUNTIF($I$2:I226,I226)-1)/3),10)+1,"Portales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226" t="str">
        <f>IF(I226="Tengo un emprendimiento o quiero iniciar uno","",_xlfn.LET(_xlpm.opcion,MOD(INT((COUNTIF($I$2:I226,I226)-1)/4),6)+1,CHOOSE(IF(AND(_xlpm.opcion=3,Q226="Sí"),1,_xlpm.opcion),"Falta de experiencia","Falta de formación","Dificultades con la hoja de vida","Horarios disponibles","Transporte","Internet")))</f>
        <v>Falta de experiencia</v>
      </c>
      <c r="U226" s="9" t="str">
        <f>IF(I226="Tengo un emprendimiento o quiero iniciar uno","",IF(MOD(INT((COUNTIF($I$2:I226,I226)-1)/3),2)=0,"Sí","No"))</f>
        <v>Sí</v>
      </c>
      <c r="V226" s="9" t="str">
        <f>IF(I226="Tengo un emprendimiento o quiero iniciar uno",CHOOSE(MOD(COUNTIF($I$2:I226,I226)-1,3)+1,"Tengo un emprendimiento","Estoy iniciando un emprendimiento","Me interesa emprender"),"")</f>
        <v/>
      </c>
      <c r="W226" t="str">
        <f t="shared" si="59"/>
        <v/>
      </c>
      <c r="X226" s="9" t="str">
        <f>IF(I226="Tengo un emprendimiento o quiero iniciar uno",CHOOSE(MOD(COUNTIF($I$2:I226,I226)-1,5)+1,"Falta de financiación","Falta de conocimientos administrativos","Falta de conocimientos financieros","Falta de tiempo","Falta de herramientas"),"")</f>
        <v/>
      </c>
      <c r="Y226" s="9" t="str">
        <f t="shared" si="60"/>
        <v/>
      </c>
      <c r="Z226" t="str">
        <f>IF(I226="Tengo un emprendimiento o quiero iniciar uno",CHOOSE(INT(MOD((COUNTIF($I$2:I226,I226)-1)*7,39)/13)+1,"Sí","No","No conozco programas de ese tipo"),"")</f>
        <v/>
      </c>
      <c r="AA226" t="str">
        <f t="shared" si="61"/>
        <v>Puedo hacerlo con ayuda</v>
      </c>
      <c r="AB226" t="str">
        <f t="shared" si="61"/>
        <v>Puedo hacerlo con ayuda</v>
      </c>
      <c r="AC226" t="str">
        <f t="shared" si="62"/>
        <v>Puedo hacerlo con dificultad</v>
      </c>
      <c r="AD226" s="9" t="str">
        <f t="shared" si="63"/>
        <v>Puedo hacerlo sin ayuda</v>
      </c>
      <c r="AE226" t="str">
        <f t="shared" si="64"/>
        <v>Puedo hacerlo con dificultad</v>
      </c>
      <c r="AF226" s="9" t="str">
        <f t="shared" si="65"/>
        <v>Crear una hoja de vida;Preparación para entrevista</v>
      </c>
      <c r="AG226" s="9" t="str">
        <f t="shared" si="66"/>
        <v>Ninguna</v>
      </c>
      <c r="AH226" t="str">
        <f t="shared" si="67"/>
        <v>Oficina de orientación laboral</v>
      </c>
      <c r="AI226" s="9" t="str">
        <f t="shared" si="68"/>
        <v>Presencial y virtual</v>
      </c>
      <c r="AJ226" s="9" t="str">
        <f t="shared" si="69"/>
        <v>Nocturno</v>
      </c>
      <c r="AK226" s="9" t="str">
        <f t="shared" si="70"/>
        <v>Celular</v>
      </c>
    </row>
    <row r="227" spans="1:37">
      <c r="A227" t="str">
        <f t="shared" si="71"/>
        <v>SG226</v>
      </c>
      <c r="B227" t="s">
        <v>418</v>
      </c>
      <c r="C227" s="9" t="s">
        <v>427</v>
      </c>
      <c r="D227" t="str">
        <f t="shared" si="54"/>
        <v>Masculino</v>
      </c>
      <c r="E227" t="str">
        <f t="shared" si="55"/>
        <v>De 18 a 20 años</v>
      </c>
      <c r="F227">
        <f t="shared" si="56"/>
        <v>19</v>
      </c>
      <c r="G227" s="9" t="s">
        <v>428</v>
      </c>
      <c r="H227" s="9" t="str">
        <f t="shared" si="57"/>
        <v>Bachiller</v>
      </c>
      <c r="I227" s="9" t="str">
        <f t="shared" si="58"/>
        <v>Trabajo actualmente como empleado</v>
      </c>
      <c r="J227" s="13" t="str">
        <f>IF(I227="Trabajo actualmente como empleado",IF(MOD((COUNTIF($I$2:I227,"Trabajo actualmente como empleado")-1)*37,150)&lt;100,"Empleado con contrato","Empleado sin contrato formal"),IF(I227="Trabajo de manera independiente","Trabajo independiente",""))</f>
        <v>Empleado sin contrato formal</v>
      </c>
      <c r="K227" s="9" t="str">
        <f>IF(OR(I227="Trabajo actualmente como empleado",I227="Trabajo de manera independiente"),CHOOSE(MOD(COUNTIF($I$2:I227,I227)-1,4)+1,"Menos de 3 meses","De 3 a 6 meses","De 7 a 12 meses","Más de un año"),"")</f>
        <v>Menos de 3 meses</v>
      </c>
      <c r="L227" t="str">
        <f>IF(OR(I227="Trabajo actualmente como empleado",I227="Trabajo de manera independiente"),CHOOSE(MOD(COUNTIF($I$2:I227,I227)-1,3)+1,"Sí, completamente","Parcialmente","No"),"")</f>
        <v>Sí, completamente</v>
      </c>
      <c r="M227" t="str">
        <f>IF(OR(I227="Trabajo actualmente como empleado",I227="Trabajo de manera independiente"),CHOOSE(MOD(INT((COUNTIF($I$2:I227,I227)-1)/3),4)+1,"1- Muy satisfecho/a","2- Satisfecho/a","3- Insatisfecho/a","4- Muy insatisfecho/a"),"")</f>
        <v>1- Muy satisfecho/a</v>
      </c>
      <c r="N227" t="str">
        <f>IF(OR(I227="Trabajo actualmente como empleado",I227="Trabajo de manera independiente"),_xlfn.LET(_xlpm.opcion,MOD(INT((COUNTIF($I$2:I227,I227)-1)/5),6)+1,CHOOSE(IF(AND(_xlpm.opcion=6,L227="Sí, completamente"),5,_xlpm.opcion),"Salario","Estabilidad laboral","Horario","Acceso a prestaciones","Oportunidades de crecimiento","Trabajar en un área relacionada con mi formación")),"")</f>
        <v>Horario</v>
      </c>
      <c r="O227" s="9" t="str">
        <f>IF(OR(I227="Trabajo actualmente como empleado",I227="Trabajo de manera independiente"),_xlfn.LET(_xlpm.turno,MOD(COUNTIF($I$2:I227,I227)-1,5),_xlpm.nivel,VALUE(LEFT(M227,1)),IF(_xlpm.turno=4,"No estoy seguro/a",IF(_xlpm.turno&lt;IF(_xlpm.nivel&lt;=2,1,3),"Sí","No"))),"")</f>
        <v>No</v>
      </c>
      <c r="P227" s="9" t="str">
        <f>_xlfn.LET(_xlpm.perfil,I227,_xlpm.turno,COUNTIF($I$2:I227,_xlpm.perfil)-1,_xlpm.busca,OR(_xlpm.perfil="Actualmente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27" t="str">
        <f>IF(I227="Tengo un emprendimiento o quiero iniciar uno","",CHOOSE(MOD(INT((COUNTIF($I$2:I227,I227)-1)/7),3)+1,"Sí","No","Tengo una pero necesito actualizarla"))</f>
        <v>No</v>
      </c>
      <c r="R227" s="9" t="str">
        <f>IF(I227="Tengo un emprendimiento o quiero iniciar uno","",IF(I227="Busco mi primer empleo","No",IF(MOD(COUNTIF($I$2:I227,I227)-1,2)=0,"Sí","No")))</f>
        <v>Sí</v>
      </c>
      <c r="S227" t="str">
        <f>IF(I227="Tengo un emprendimiento o quiero iniciar uno","",CHOOSE(MOD(INT((COUNTIF($I$2:I227,I227)-1)/3),10)+1,"Portales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27" t="str">
        <f>IF(I227="Tengo un emprendimiento o quiero iniciar uno","",_xlfn.LET(_xlpm.opcion,MOD(INT((COUNTIF($I$2:I227,I227)-1)/4),6)+1,CHOOSE(IF(AND(_xlpm.opcion=3,Q227="Sí"),1,_xlpm.opcion),"Falta de experiencia","Falta de formación","Dificultades con la hoja de vida","Horarios disponibles","Transporte","Internet")))</f>
        <v>Falta de experiencia</v>
      </c>
      <c r="U227" s="9" t="str">
        <f>IF(I227="Tengo un emprendimiento o quiero iniciar uno","",IF(MOD(INT((COUNTIF($I$2:I227,I227)-1)/3),2)=0,"Sí","No"))</f>
        <v>Sí</v>
      </c>
      <c r="V227" s="9" t="str">
        <f>IF(I227="Tengo un emprendimiento o quiero iniciar uno",CHOOSE(MOD(COUNTIF($I$2:I227,I227)-1,3)+1,"Tengo un emprendimiento","Estoy iniciando un emprendimiento","Me interesa emprender"),"")</f>
        <v/>
      </c>
      <c r="W227" t="str">
        <f t="shared" si="59"/>
        <v/>
      </c>
      <c r="X227" s="9" t="str">
        <f>IF(I227="Tengo un emprendimiento o quiero iniciar uno",CHOOSE(MOD(COUNTIF($I$2:I227,I227)-1,5)+1,"Falta de financiación","Falta de conocimientos administrativos","Falta de conocimientos financieros","Falta de tiempo","Falta de herramientas"),"")</f>
        <v/>
      </c>
      <c r="Y227" s="9" t="str">
        <f t="shared" si="60"/>
        <v/>
      </c>
      <c r="Z227" t="str">
        <f>IF(I227="Tengo un emprendimiento o quiero iniciar uno",CHOOSE(INT(MOD((COUNTIF($I$2:I227,I227)-1)*7,39)/13)+1,"Sí","No","No conozco programas de ese tipo"),"")</f>
        <v/>
      </c>
      <c r="AA227" t="str">
        <f t="shared" si="61"/>
        <v>Puedo hacerlo con dificultad</v>
      </c>
      <c r="AB227" t="str">
        <f t="shared" si="61"/>
        <v>Puedo hacerlo con dificultad</v>
      </c>
      <c r="AC227" t="str">
        <f t="shared" si="62"/>
        <v>Puedo hacerlo sin ayuda</v>
      </c>
      <c r="AD227" s="9" t="str">
        <f t="shared" si="63"/>
        <v>No puedo hacerlo</v>
      </c>
      <c r="AE227" t="str">
        <f t="shared" si="64"/>
        <v>Puedo hacerlo con dificultad</v>
      </c>
      <c r="AF227" s="9" t="str">
        <f t="shared" si="65"/>
        <v>Comunicación;Liderazgo</v>
      </c>
      <c r="AG227" s="9" t="str">
        <f t="shared" si="66"/>
        <v>Falta de experiencia</v>
      </c>
      <c r="AH227" t="str">
        <f t="shared" si="67"/>
        <v>Programas de emprendimiento</v>
      </c>
      <c r="AI227" s="9" t="str">
        <f t="shared" si="68"/>
        <v>Me es indiferente</v>
      </c>
      <c r="AJ227" s="9" t="str">
        <f t="shared" si="69"/>
        <v>Fines de semana</v>
      </c>
      <c r="AK227" s="9" t="str">
        <f t="shared" si="70"/>
        <v>WhatsApp</v>
      </c>
    </row>
    <row r="228" spans="1:37">
      <c r="A228" t="str">
        <f t="shared" si="71"/>
        <v>SG227</v>
      </c>
      <c r="B228" t="s">
        <v>418</v>
      </c>
      <c r="C228" s="9" t="s">
        <v>427</v>
      </c>
      <c r="D228" t="str">
        <f t="shared" si="54"/>
        <v>Femenino</v>
      </c>
      <c r="E228" t="str">
        <f t="shared" si="55"/>
        <v>De 20 a 22 años</v>
      </c>
      <c r="F228">
        <f t="shared" si="56"/>
        <v>21</v>
      </c>
      <c r="G228" s="9" t="s">
        <v>428</v>
      </c>
      <c r="H228" s="9" t="str">
        <f t="shared" si="57"/>
        <v>Bachiller</v>
      </c>
      <c r="I228" s="9" t="str">
        <f t="shared" si="58"/>
        <v>Actualmente no trabajo y estoy buscando empleo</v>
      </c>
      <c r="J228" s="13" t="str">
        <f>IF(I228="Trabajo actualmente como empleado",IF(MOD((COUNTIF($I$2:I228,"Trabajo actualmente como empleado")-1)*37,150)&lt;100,"Empleado con contrato","Empleado sin contrato formal"),IF(I228="Trabajo de manera independiente","Trabajo independiente",""))</f>
        <v/>
      </c>
      <c r="K228" s="9" t="str">
        <f>IF(OR(I228="Trabajo actualmente como empleado",I228="Trabajo de manera independiente"),CHOOSE(MOD(COUNTIF($I$2:I228,I228)-1,4)+1,"Menos de 3 meses","De 3 a 6 meses","De 7 a 12 meses","Más de un año"),"")</f>
        <v/>
      </c>
      <c r="L228" t="str">
        <f>IF(OR(I228="Trabajo actualmente como empleado",I228="Trabajo de manera independiente"),CHOOSE(MOD(COUNTIF($I$2:I228,I228)-1,3)+1,"Sí, completamente","Parcialmente","No"),"")</f>
        <v/>
      </c>
      <c r="M228" t="str">
        <f>IF(OR(I228="Trabajo actualmente como empleado",I228="Trabajo de manera independiente"),CHOOSE(MOD(INT((COUNTIF($I$2:I228,I228)-1)/3),4)+1,"1- Muy satisfecho/a","2- Satisfecho/a","3- Insatisfecho/a","4- Muy insatisfecho/a"),"")</f>
        <v/>
      </c>
      <c r="N228" t="str">
        <f>IF(OR(I228="Trabajo actualmente como empleado",I228="Trabajo de manera independiente"),_xlfn.LET(_xlpm.opcion,MOD(INT((COUNTIF($I$2:I228,I228)-1)/5),6)+1,CHOOSE(IF(AND(_xlpm.opcion=6,L228="Sí, completamente"),5,_xlpm.opcion),"Salario","Estabilidad laboral","Horario","Acceso a prestaciones","Oportunidades de crecimiento","Trabajar en un área relacionada con mi formación")),"")</f>
        <v/>
      </c>
      <c r="O228" s="9" t="str">
        <f>IF(OR(I228="Trabajo actualmente como empleado",I228="Trabajo de manera independiente"),_xlfn.LET(_xlpm.turno,MOD(COUNTIF($I$2:I228,I228)-1,5),_xlpm.nivel,VALUE(LEFT(M228,1)),IF(_xlpm.turno=4,"No estoy seguro/a",IF(_xlpm.turno&lt;IF(_xlpm.nivel&lt;=2,1,3),"Sí","No"))),"")</f>
        <v/>
      </c>
      <c r="P228" s="9" t="str">
        <f>_xlfn.LET(_xlpm.perfil,I228,_xlpm.turno,COUNTIF($I$2:I228,_xlpm.perfil)-1,_xlpm.busca,OR(_xlpm.perfil="Actualmente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trabajar"),IF(AND(_xlpm.trabaja,O228="No"),"Todavía no he iniciado una búsqueda activa",CHOOSE(MOD(_xlpm.turno*3,5)+1,"Menos de 1 mes","Entre 1 y 3 meses","Entre 4 y 6 meses","Más de 6 meses","Todavía no he iniciado una búsqueda activa")),"")))</f>
        <v>Menos de 1 mes</v>
      </c>
      <c r="Q228" t="str">
        <f>IF(I228="Tengo un emprendimiento o quiero iniciar uno","",CHOOSE(MOD(INT((COUNTIF($I$2:I228,I228)-1)/7),3)+1,"Sí","No","Tengo una pero necesito actualizarla"))</f>
        <v>Tengo una pero necesito actualizarla</v>
      </c>
      <c r="R228" s="9" t="str">
        <f>IF(I228="Tengo un emprendimiento o quiero iniciar uno","",IF(I228="Busco mi primer empleo","No",IF(MOD(COUNTIF($I$2:I228,I228)-1,2)=0,"Sí","No")))</f>
        <v>Sí</v>
      </c>
      <c r="S228" t="str">
        <f>IF(I228="Tengo un emprendimiento o quiero iniciar uno","",CHOOSE(MOD(INT((COUNTIF($I$2:I228,I228)-1)/3),10)+1,"Portales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28" t="str">
        <f>IF(I228="Tengo un emprendimiento o quiero iniciar uno","",_xlfn.LET(_xlpm.opcion,MOD(INT((COUNTIF($I$2:I228,I228)-1)/4),6)+1,CHOOSE(IF(AND(_xlpm.opcion=3,Q228="Sí"),1,_xlpm.opcion),"Falta de experiencia","Falta de formación","Dificultades con la hoja de vida","Horarios disponibles","Transporte","Internet")))</f>
        <v>Transporte</v>
      </c>
      <c r="U228" s="9" t="str">
        <f>IF(I228="Tengo un emprendimiento o quiero iniciar uno","",IF(MOD(INT((COUNTIF($I$2:I228,I228)-1)/3),2)=0,"Sí","No"))</f>
        <v>No</v>
      </c>
      <c r="V228" s="9" t="str">
        <f>IF(I228="Tengo un emprendimiento o quiero iniciar uno",CHOOSE(MOD(COUNTIF($I$2:I228,I228)-1,3)+1,"Tengo un emprendimiento","Estoy iniciando un emprendimiento","Me interesa emprender"),"")</f>
        <v/>
      </c>
      <c r="W228" t="str">
        <f t="shared" si="59"/>
        <v/>
      </c>
      <c r="X228" s="9" t="str">
        <f>IF(I228="Tengo un emprendimiento o quiero iniciar uno",CHOOSE(MOD(COUNTIF($I$2:I228,I228)-1,5)+1,"Falta de financiación","Falta de conocimientos administrativos","Falta de conocimientos financieros","Falta de tiempo","Falta de herramientas"),"")</f>
        <v/>
      </c>
      <c r="Y228" s="9" t="str">
        <f t="shared" si="60"/>
        <v/>
      </c>
      <c r="Z228" t="str">
        <f>IF(I228="Tengo un emprendimiento o quiero iniciar uno",CHOOSE(INT(MOD((COUNTIF($I$2:I228,I228)-1)*7,39)/13)+1,"Sí","No","No conozco programas de ese tipo"),"")</f>
        <v/>
      </c>
      <c r="AA228" t="str">
        <f t="shared" si="61"/>
        <v>No puedo hacerlo</v>
      </c>
      <c r="AB228" t="str">
        <f t="shared" si="61"/>
        <v>No puedo hacerlo</v>
      </c>
      <c r="AC228" t="str">
        <f t="shared" si="62"/>
        <v>No puedo hacerlo</v>
      </c>
      <c r="AD228" s="9" t="str">
        <f t="shared" si="63"/>
        <v>Puedo hacerlo con ayuda</v>
      </c>
      <c r="AE228" t="str">
        <f t="shared" si="64"/>
        <v>Puedo hacerlo sin ayuda</v>
      </c>
      <c r="AF228" s="9" t="str">
        <f t="shared" si="65"/>
        <v>Herramientas digitales;Educación financiera</v>
      </c>
      <c r="AG228" s="9" t="str">
        <f t="shared" si="66"/>
        <v>Falta de experiencia</v>
      </c>
      <c r="AH228" t="str">
        <f t="shared" si="67"/>
        <v>Oficina de orientación laboral</v>
      </c>
      <c r="AI228" s="9" t="str">
        <f t="shared" si="68"/>
        <v>Presencial</v>
      </c>
      <c r="AJ228" s="9" t="str">
        <f t="shared" si="69"/>
        <v>Diurno</v>
      </c>
      <c r="AK228" s="9" t="str">
        <f t="shared" si="70"/>
        <v>Redes sociales</v>
      </c>
    </row>
    <row r="229" spans="1:37">
      <c r="A229" t="str">
        <f t="shared" si="71"/>
        <v>SG228</v>
      </c>
      <c r="B229" t="s">
        <v>418</v>
      </c>
      <c r="C229" s="9" t="s">
        <v>427</v>
      </c>
      <c r="D229" t="str">
        <f t="shared" si="54"/>
        <v>Femenino</v>
      </c>
      <c r="E229" t="str">
        <f t="shared" si="55"/>
        <v>De 22 a 24 años</v>
      </c>
      <c r="F229">
        <f t="shared" si="56"/>
        <v>23</v>
      </c>
      <c r="G229" s="9" t="s">
        <v>428</v>
      </c>
      <c r="H229" s="9" t="str">
        <f t="shared" si="57"/>
        <v>Técnico</v>
      </c>
      <c r="I229" s="9" t="str">
        <f t="shared" si="58"/>
        <v>Tengo un emprendimiento o quiero iniciar uno</v>
      </c>
      <c r="J229" s="13" t="str">
        <f>IF(I229="Trabajo actualmente como empleado",IF(MOD((COUNTIF($I$2:I229,"Trabajo actualmente como empleado")-1)*37,150)&lt;100,"Empleado con contrato","Empleado sin contrato formal"),IF(I229="Trabajo de manera independiente","Trabajo independiente",""))</f>
        <v/>
      </c>
      <c r="K229" s="9" t="str">
        <f>IF(OR(I229="Trabajo actualmente como empleado",I229="Trabajo de manera independiente"),CHOOSE(MOD(COUNTIF($I$2:I229,I229)-1,4)+1,"Menos de 3 meses","De 3 a 6 meses","De 7 a 12 meses","Más de un año"),"")</f>
        <v/>
      </c>
      <c r="L229" t="str">
        <f>IF(OR(I229="Trabajo actualmente como empleado",I229="Trabajo de manera independiente"),CHOOSE(MOD(COUNTIF($I$2:I229,I229)-1,3)+1,"Sí, completamente","Parcialmente","No"),"")</f>
        <v/>
      </c>
      <c r="M229" t="str">
        <f>IF(OR(I229="Trabajo actualmente como empleado",I229="Trabajo de manera independiente"),CHOOSE(MOD(INT((COUNTIF($I$2:I229,I229)-1)/3),4)+1,"1- Muy satisfecho/a","2- Satisfecho/a","3- Insatisfecho/a","4- Muy insatisfecho/a"),"")</f>
        <v/>
      </c>
      <c r="N229" t="str">
        <f>IF(OR(I229="Trabajo actualmente como empleado",I229="Trabajo de manera independiente"),_xlfn.LET(_xlpm.opcion,MOD(INT((COUNTIF($I$2:I229,I229)-1)/5),6)+1,CHOOSE(IF(AND(_xlpm.opcion=6,L229="Sí, completamente"),5,_xlpm.opcion),"Salario","Estabilidad laboral","Horario","Acceso a prestaciones","Oportunidades de crecimiento","Trabajar en un área relacionada con mi formación")),"")</f>
        <v/>
      </c>
      <c r="O229" s="9" t="str">
        <f>IF(OR(I229="Trabajo actualmente como empleado",I229="Trabajo de manera independiente"),_xlfn.LET(_xlpm.turno,MOD(COUNTIF($I$2:I229,I229)-1,5),_xlpm.nivel,VALUE(LEFT(M229,1)),IF(_xlpm.turno=4,"No estoy seguro/a",IF(_xlpm.turno&lt;IF(_xlpm.nivel&lt;=2,1,3),"Sí","No"))),"")</f>
        <v/>
      </c>
      <c r="P229" s="9" t="str">
        <f>_xlfn.LET(_xlpm.perfil,I229,_xlpm.turno,COUNTIF($I$2:I229,_xlpm.perfil)-1,_xlpm.busca,OR(_xlpm.perfil="Actualmente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trabajar"),IF(AND(_xlpm.trabaja,O229="No"),"Todavía no he iniciado una búsqueda activa",CHOOSE(MOD(_xlpm.turno*3,5)+1,"Menos de 1 mes","Entre 1 y 3 meses","Entre 4 y 6 meses","Más de 6 meses","Todavía no he iniciado una búsqueda activa")),"")))</f>
        <v/>
      </c>
      <c r="Q229" t="str">
        <f>IF(I229="Tengo un emprendimiento o quiero iniciar uno","",CHOOSE(MOD(INT((COUNTIF($I$2:I229,I229)-1)/7),3)+1,"Sí","No","Tengo una pero necesito actualizarla"))</f>
        <v/>
      </c>
      <c r="R229" s="9" t="str">
        <f>IF(I229="Tengo un emprendimiento o quiero iniciar uno","",IF(I229="Busco mi primer empleo","No",IF(MOD(COUNTIF($I$2:I229,I229)-1,2)=0,"Sí","No")))</f>
        <v/>
      </c>
      <c r="S229" t="str">
        <f>IF(I229="Tengo un emprendimiento o quiero iniciar uno","",CHOOSE(MOD(INT((COUNTIF($I$2:I229,I229)-1)/3),10)+1,"Portales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29" t="str">
        <f>IF(I229="Tengo un emprendimiento o quiero iniciar uno","",_xlfn.LET(_xlpm.opcion,MOD(INT((COUNTIF($I$2:I229,I229)-1)/4),6)+1,CHOOSE(IF(AND(_xlpm.opcion=3,Q229="Sí"),1,_xlpm.opcion),"Falta de experiencia","Falta de formación","Dificultades con la hoja de vida","Horarios disponibles","Transporte","Internet")))</f>
        <v/>
      </c>
      <c r="U229" s="9" t="str">
        <f>IF(I229="Tengo un emprendimiento o quiero iniciar uno","",IF(MOD(INT((COUNTIF($I$2:I229,I229)-1)/3),2)=0,"Sí","No"))</f>
        <v/>
      </c>
      <c r="V229" s="9" t="str">
        <f>IF(I229="Tengo un emprendimiento o quiero iniciar uno",CHOOSE(MOD(COUNTIF($I$2:I229,I229)-1,3)+1,"Tengo un emprendimiento","Estoy iniciando un emprendimiento","Me interesa emprender"),"")</f>
        <v>Tengo un emprendimiento</v>
      </c>
      <c r="W229" t="str">
        <f t="shared" si="59"/>
        <v>Funcionamiento estable</v>
      </c>
      <c r="X229" s="9" t="str">
        <f>IF(I229="Tengo un emprendimiento o quiero iniciar uno",CHOOSE(MOD(COUNTIF($I$2:I229,I229)-1,5)+1,"Falta de financiación","Falta de conocimientos administrativos","Falta de conocimientos financieros","Falta de tiempo","Falta de herramientas"),"")</f>
        <v>Falta de tiempo</v>
      </c>
      <c r="Y229" s="9" t="str">
        <f t="shared" si="60"/>
        <v>Falta de tiempo</v>
      </c>
      <c r="Z229" t="str">
        <f>IF(I229="Tengo un emprendimiento o quiero iniciar uno",CHOOSE(INT(MOD((COUNTIF($I$2:I229,I229)-1)*7,39)/13)+1,"Sí","No","No conozco programas de ese tipo"),"")</f>
        <v>Sí</v>
      </c>
      <c r="AA229" t="str">
        <f t="shared" si="61"/>
        <v>Puedo hacerlo con dificultad</v>
      </c>
      <c r="AB229" t="str">
        <f t="shared" si="61"/>
        <v>Puedo hacerlo con dificultad</v>
      </c>
      <c r="AC229" t="str">
        <f t="shared" si="62"/>
        <v>Puedo hacerlo con dificultad</v>
      </c>
      <c r="AD229" s="9" t="str">
        <f t="shared" si="63"/>
        <v>Puedo hacerlo con ayuda</v>
      </c>
      <c r="AE229" t="str">
        <f t="shared" si="64"/>
        <v>Puedo hacerlo sin ayuda</v>
      </c>
      <c r="AF229" s="9" t="str">
        <f t="shared" si="65"/>
        <v>Crear una hoja de vida</v>
      </c>
      <c r="AG229" s="9" t="str">
        <f t="shared" si="66"/>
        <v>Falta de experiencia</v>
      </c>
      <c r="AH229" t="str">
        <f t="shared" si="67"/>
        <v>Ferias de empleo</v>
      </c>
      <c r="AI229" s="9" t="str">
        <f t="shared" si="68"/>
        <v>Virtual</v>
      </c>
      <c r="AJ229" s="9" t="str">
        <f t="shared" si="69"/>
        <v>Nocturno</v>
      </c>
      <c r="AK229" s="9" t="str">
        <f t="shared" si="70"/>
        <v>WhatsApp</v>
      </c>
    </row>
    <row r="230" spans="1:37">
      <c r="A230" t="str">
        <f t="shared" si="71"/>
        <v>SG229</v>
      </c>
      <c r="B230" t="s">
        <v>418</v>
      </c>
      <c r="C230" s="9" t="s">
        <v>427</v>
      </c>
      <c r="D230" t="str">
        <f t="shared" si="54"/>
        <v>Masculino</v>
      </c>
      <c r="E230" t="str">
        <f t="shared" si="55"/>
        <v>De 24 a 26 años</v>
      </c>
      <c r="F230">
        <f t="shared" si="56"/>
        <v>25</v>
      </c>
      <c r="G230" s="9" t="s">
        <v>428</v>
      </c>
      <c r="H230" s="9" t="str">
        <f t="shared" si="57"/>
        <v>Tecnólogo</v>
      </c>
      <c r="I230" s="9" t="str">
        <f t="shared" si="58"/>
        <v>Trabajo de manera independiente</v>
      </c>
      <c r="J230" s="13" t="str">
        <f>IF(I230="Trabajo actualmente como empleado",IF(MOD((COUNTIF($I$2:I230,"Trabajo actualmente como empleado")-1)*37,150)&lt;100,"Empleado con contrato","Empleado sin contrato formal"),IF(I230="Trabajo de manera independiente","Trabajo independiente",""))</f>
        <v>Trabajo independiente</v>
      </c>
      <c r="K230" s="9" t="str">
        <f>IF(OR(I230="Trabajo actualmente como empleado",I230="Trabajo de manera independiente"),CHOOSE(MOD(COUNTIF($I$2:I230,I230)-1,4)+1,"Menos de 3 meses","De 3 a 6 meses","De 7 a 12 meses","Más de un año"),"")</f>
        <v>De 7 a 12 meses</v>
      </c>
      <c r="L230" t="str">
        <f>IF(OR(I230="Trabajo actualmente como empleado",I230="Trabajo de manera independiente"),CHOOSE(MOD(COUNTIF($I$2:I230,I230)-1,3)+1,"Sí, completamente","Parcialmente","No"),"")</f>
        <v>No</v>
      </c>
      <c r="M230" t="str">
        <f>IF(OR(I230="Trabajo actualmente como empleado",I230="Trabajo de manera independiente"),CHOOSE(MOD(INT((COUNTIF($I$2:I230,I230)-1)/3),4)+1,"1- Muy satisfecho/a","2- Satisfecho/a","3- Insatisfecho/a","4- Muy insatisfecho/a"),"")</f>
        <v>1- Muy satisfecho/a</v>
      </c>
      <c r="N230" t="str">
        <f>IF(OR(I230="Trabajo actualmente como empleado",I230="Trabajo de manera independiente"),_xlfn.LET(_xlpm.opcion,MOD(INT((COUNTIF($I$2:I230,I230)-1)/5),6)+1,CHOOSE(IF(AND(_xlpm.opcion=6,L230="Sí, completamente"),5,_xlpm.opcion),"Salario","Estabilidad laboral","Horario","Acceso a prestaciones","Oportunidades de crecimiento","Trabajar en un área relacionada con mi formación")),"")</f>
        <v>Estabilidad laboral</v>
      </c>
      <c r="O230" s="9" t="str">
        <f>IF(OR(I230="Trabajo actualmente como empleado",I230="Trabajo de manera independiente"),_xlfn.LET(_xlpm.turno,MOD(COUNTIF($I$2:I230,I230)-1,5),_xlpm.nivel,VALUE(LEFT(M230,1)),IF(_xlpm.turno=4,"No estoy seguro/a",IF(_xlpm.turno&lt;IF(_xlpm.nivel&lt;=2,1,3),"Sí","No"))),"")</f>
        <v>No</v>
      </c>
      <c r="P230" s="9" t="str">
        <f>_xlfn.LET(_xlpm.perfil,I230,_xlpm.turno,COUNTIF($I$2:I230,_xlpm.perfil)-1,_xlpm.busca,OR(_xlpm.perfil="Actualmente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30" t="str">
        <f>IF(I230="Tengo un emprendimiento o quiero iniciar uno","",CHOOSE(MOD(INT((COUNTIF($I$2:I230,I230)-1)/7),3)+1,"Sí","No","Tengo una pero necesito actualizarla"))</f>
        <v>Tengo una pero necesito actualizarla</v>
      </c>
      <c r="R230" s="9" t="str">
        <f>IF(I230="Tengo un emprendimiento o quiero iniciar uno","",IF(I230="Busco mi primer empleo","No",IF(MOD(COUNTIF($I$2:I230,I230)-1,2)=0,"Sí","No")))</f>
        <v>Sí</v>
      </c>
      <c r="S230" t="str">
        <f>IF(I230="Tengo un emprendimiento o quiero iniciar uno","",CHOOSE(MOD(INT((COUNTIF($I$2:I230,I230)-1)/3),10)+1,"Portales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30" t="str">
        <f>IF(I230="Tengo un emprendimiento o quiero iniciar uno","",_xlfn.LET(_xlpm.opcion,MOD(INT((COUNTIF($I$2:I230,I230)-1)/4),6)+1,CHOOSE(IF(AND(_xlpm.opcion=3,Q230="Sí"),1,_xlpm.opcion),"Falta de experiencia","Falta de formación","Dificultades con la hoja de vida","Horarios disponibles","Transporte","Internet")))</f>
        <v>Horarios disponibles</v>
      </c>
      <c r="U230" s="9" t="str">
        <f>IF(I230="Tengo un emprendimiento o quiero iniciar uno","",IF(MOD(INT((COUNTIF($I$2:I230,I230)-1)/3),2)=0,"Sí","No"))</f>
        <v>Sí</v>
      </c>
      <c r="V230" s="9" t="str">
        <f>IF(I230="Tengo un emprendimiento o quiero iniciar uno",CHOOSE(MOD(COUNTIF($I$2:I230,I230)-1,3)+1,"Tengo un emprendimiento","Estoy iniciando un emprendimiento","Me interesa emprender"),"")</f>
        <v/>
      </c>
      <c r="W230" t="str">
        <f t="shared" si="59"/>
        <v/>
      </c>
      <c r="X230" s="9" t="str">
        <f>IF(I230="Tengo un emprendimiento o quiero iniciar uno",CHOOSE(MOD(COUNTIF($I$2:I230,I230)-1,5)+1,"Falta de financiación","Falta de conocimientos administrativos","Falta de conocimientos financieros","Falta de tiempo","Falta de herramientas"),"")</f>
        <v/>
      </c>
      <c r="Y230" s="9" t="str">
        <f t="shared" si="60"/>
        <v/>
      </c>
      <c r="Z230" t="str">
        <f>IF(I230="Tengo un emprendimiento o quiero iniciar uno",CHOOSE(INT(MOD((COUNTIF($I$2:I230,I230)-1)*7,39)/13)+1,"Sí","No","No conozco programas de ese tipo"),"")</f>
        <v/>
      </c>
      <c r="AA230" t="str">
        <f t="shared" si="61"/>
        <v>Puedo hacerlo sin ayuda</v>
      </c>
      <c r="AB230" t="str">
        <f t="shared" si="61"/>
        <v>Puedo hacerlo sin ayuda</v>
      </c>
      <c r="AC230" t="str">
        <f t="shared" si="62"/>
        <v>Puedo hacerlo sin ayuda</v>
      </c>
      <c r="AD230" s="9" t="str">
        <f t="shared" si="63"/>
        <v>Puedo hacerlo con dificultad</v>
      </c>
      <c r="AE230" t="str">
        <f t="shared" si="64"/>
        <v>No puedo hacerlo</v>
      </c>
      <c r="AF230" s="9" t="str">
        <f t="shared" si="65"/>
        <v>Preparación para entrevista</v>
      </c>
      <c r="AG230" s="9" t="str">
        <f t="shared" si="66"/>
        <v>Distancia</v>
      </c>
      <c r="AH230" t="str">
        <f t="shared" si="67"/>
        <v>No conozco ninguno</v>
      </c>
      <c r="AI230" s="9" t="str">
        <f t="shared" si="68"/>
        <v>Presencial y virtual</v>
      </c>
      <c r="AJ230" s="9" t="str">
        <f t="shared" si="69"/>
        <v>Fines de semana</v>
      </c>
      <c r="AK230" s="9" t="str">
        <f t="shared" si="70"/>
        <v>Correo electrónico</v>
      </c>
    </row>
    <row r="231" spans="1:37">
      <c r="A231" t="str">
        <f t="shared" si="71"/>
        <v>SG230</v>
      </c>
      <c r="B231" t="s">
        <v>418</v>
      </c>
      <c r="C231" s="9" t="s">
        <v>427</v>
      </c>
      <c r="D231" t="str">
        <f t="shared" si="54"/>
        <v>Femenino</v>
      </c>
      <c r="E231" t="str">
        <f t="shared" si="55"/>
        <v>De 26 a 28 años</v>
      </c>
      <c r="F231">
        <f t="shared" si="56"/>
        <v>26</v>
      </c>
      <c r="G231" s="9" t="s">
        <v>428</v>
      </c>
      <c r="H231" s="9" t="str">
        <f t="shared" si="57"/>
        <v>Profesional</v>
      </c>
      <c r="I231" s="9" t="str">
        <f t="shared" si="58"/>
        <v>Busco mi primer empleo</v>
      </c>
      <c r="J231" s="13" t="str">
        <f>IF(I231="Trabajo actualmente como empleado",IF(MOD((COUNTIF($I$2:I231,"Trabajo actualmente como empleado")-1)*37,150)&lt;100,"Empleado con contrato","Empleado sin contrato formal"),IF(I231="Trabajo de manera independiente","Trabajo independiente",""))</f>
        <v/>
      </c>
      <c r="K231" s="9" t="str">
        <f>IF(OR(I231="Trabajo actualmente como empleado",I231="Trabajo de manera independiente"),CHOOSE(MOD(COUNTIF($I$2:I231,I231)-1,4)+1,"Menos de 3 meses","De 3 a 6 meses","De 7 a 12 meses","Más de un año"),"")</f>
        <v/>
      </c>
      <c r="L231" t="str">
        <f>IF(OR(I231="Trabajo actualmente como empleado",I231="Trabajo de manera independiente"),CHOOSE(MOD(COUNTIF($I$2:I231,I231)-1,3)+1,"Sí, completamente","Parcialmente","No"),"")</f>
        <v/>
      </c>
      <c r="M231" t="str">
        <f>IF(OR(I231="Trabajo actualmente como empleado",I231="Trabajo de manera independiente"),CHOOSE(MOD(INT((COUNTIF($I$2:I231,I231)-1)/3),4)+1,"1- Muy satisfecho/a","2- Satisfecho/a","3- Insatisfecho/a","4- Muy insatisfecho/a"),"")</f>
        <v/>
      </c>
      <c r="N231" t="str">
        <f>IF(OR(I231="Trabajo actualmente como empleado",I231="Trabajo de manera independiente"),_xlfn.LET(_xlpm.opcion,MOD(INT((COUNTIF($I$2:I231,I231)-1)/5),6)+1,CHOOSE(IF(AND(_xlpm.opcion=6,L231="Sí, completamente"),5,_xlpm.opcion),"Salario","Estabilidad laboral","Horario","Acceso a prestaciones","Oportunidades de crecimiento","Trabajar en un área relacionada con mi formación")),"")</f>
        <v/>
      </c>
      <c r="O231" s="9" t="str">
        <f>IF(OR(I231="Trabajo actualmente como empleado",I231="Trabajo de manera independiente"),_xlfn.LET(_xlpm.turno,MOD(COUNTIF($I$2:I231,I231)-1,5),_xlpm.nivel,VALUE(LEFT(M231,1)),IF(_xlpm.turno=4,"No estoy seguro/a",IF(_xlpm.turno&lt;IF(_xlpm.nivel&lt;=2,1,3),"Sí","No"))),"")</f>
        <v/>
      </c>
      <c r="P231" s="9" t="str">
        <f>_xlfn.LET(_xlpm.perfil,I231,_xlpm.turno,COUNTIF($I$2:I231,_xlpm.perfil)-1,_xlpm.busca,OR(_xlpm.perfil="Actualmente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trabajar"),IF(AND(_xlpm.trabaja,O231="No"),"Todavía no he iniciado una búsqueda activa",CHOOSE(MOD(_xlpm.turno*3,5)+1,"Menos de 1 mes","Entre 1 y 3 meses","Entre 4 y 6 meses","Más de 6 meses","Todavía no he iniciado una búsqueda activa")),"")))</f>
        <v>Entre 1 y 3 meses</v>
      </c>
      <c r="Q231" t="str">
        <f>IF(I231="Tengo un emprendimiento o quiero iniciar uno","",CHOOSE(MOD(INT((COUNTIF($I$2:I231,I231)-1)/7),3)+1,"Sí","No","Tengo una pero necesito actualizarla"))</f>
        <v>No</v>
      </c>
      <c r="R231" s="9" t="str">
        <f>IF(I231="Tengo un emprendimiento o quiero iniciar uno","",IF(I231="Busco mi primer empleo","No",IF(MOD(COUNTIF($I$2:I231,I231)-1,2)=0,"Sí","No")))</f>
        <v>No</v>
      </c>
      <c r="S231" t="str">
        <f>IF(I231="Tengo un emprendimiento o quiero iniciar uno","",CHOOSE(MOD(INT((COUNTIF($I$2:I231,I231)-1)/3),10)+1,"Portales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31" t="str">
        <f>IF(I231="Tengo un emprendimiento o quiero iniciar uno","",_xlfn.LET(_xlpm.opcion,MOD(INT((COUNTIF($I$2:I231,I231)-1)/4),6)+1,CHOOSE(IF(AND(_xlpm.opcion=3,Q231="Sí"),1,_xlpm.opcion),"Falta de experiencia","Falta de formación","Dificultades con la hoja de vida","Horarios disponibles","Transporte","Internet")))</f>
        <v>Falta de formación</v>
      </c>
      <c r="U231" s="9" t="str">
        <f>IF(I231="Tengo un emprendimiento o quiero iniciar uno","",IF(MOD(INT((COUNTIF($I$2:I231,I231)-1)/3),2)=0,"Sí","No"))</f>
        <v>Sí</v>
      </c>
      <c r="V231" s="9" t="str">
        <f>IF(I231="Tengo un emprendimiento o quiero iniciar uno",CHOOSE(MOD(COUNTIF($I$2:I231,I231)-1,3)+1,"Tengo un emprendimiento","Estoy iniciando un emprendimiento","Me interesa emprender"),"")</f>
        <v/>
      </c>
      <c r="W231" t="str">
        <f t="shared" si="59"/>
        <v/>
      </c>
      <c r="X231" s="9" t="str">
        <f>IF(I231="Tengo un emprendimiento o quiero iniciar uno",CHOOSE(MOD(COUNTIF($I$2:I231,I231)-1,5)+1,"Falta de financiación","Falta de conocimientos administrativos","Falta de conocimientos financieros","Falta de tiempo","Falta de herramientas"),"")</f>
        <v/>
      </c>
      <c r="Y231" s="9" t="str">
        <f t="shared" si="60"/>
        <v/>
      </c>
      <c r="Z231" t="str">
        <f>IF(I231="Tengo un emprendimiento o quiero iniciar uno",CHOOSE(INT(MOD((COUNTIF($I$2:I231,I231)-1)*7,39)/13)+1,"Sí","No","No conozco programas de ese tipo"),"")</f>
        <v/>
      </c>
      <c r="AA231" t="str">
        <f t="shared" si="61"/>
        <v>Puedo hacerlo con ayuda</v>
      </c>
      <c r="AB231" t="str">
        <f t="shared" si="61"/>
        <v>Puedo hacerlo con ayuda</v>
      </c>
      <c r="AC231" t="str">
        <f t="shared" si="62"/>
        <v>No puedo hacerlo</v>
      </c>
      <c r="AD231" s="9" t="str">
        <f t="shared" si="63"/>
        <v>Puedo hacerlo sin ayuda</v>
      </c>
      <c r="AE231" t="str">
        <f t="shared" si="64"/>
        <v>Puedo hacerlo con ayuda</v>
      </c>
      <c r="AF231" s="9" t="str">
        <f t="shared" si="65"/>
        <v>Comunicación</v>
      </c>
      <c r="AG231" s="9" t="str">
        <f t="shared" si="66"/>
        <v>Distancia</v>
      </c>
      <c r="AH231" t="str">
        <f t="shared" si="67"/>
        <v>Ferias de empleo</v>
      </c>
      <c r="AI231" s="9" t="str">
        <f t="shared" si="68"/>
        <v>Me es indiferente</v>
      </c>
      <c r="AJ231" s="9" t="str">
        <f t="shared" si="69"/>
        <v>Diurno</v>
      </c>
      <c r="AK231" s="9" t="str">
        <f t="shared" si="70"/>
        <v>Celular</v>
      </c>
    </row>
    <row r="232" spans="1:37">
      <c r="A232" t="str">
        <f t="shared" si="71"/>
        <v>SG231</v>
      </c>
      <c r="B232" t="s">
        <v>418</v>
      </c>
      <c r="C232" s="9" t="s">
        <v>427</v>
      </c>
      <c r="D232" t="str">
        <f t="shared" si="54"/>
        <v>Femenino</v>
      </c>
      <c r="E232" t="str">
        <f t="shared" si="55"/>
        <v>De 18 a 20 años</v>
      </c>
      <c r="F232">
        <f t="shared" si="56"/>
        <v>18</v>
      </c>
      <c r="G232" s="9" t="s">
        <v>428</v>
      </c>
      <c r="H232" s="9" t="str">
        <f t="shared" si="57"/>
        <v>Técnico</v>
      </c>
      <c r="I232" s="9" t="str">
        <f t="shared" si="58"/>
        <v>Trabajo actualmente como empleado</v>
      </c>
      <c r="J232" s="13" t="str">
        <f>IF(I232="Trabajo actualmente como empleado",IF(MOD((COUNTIF($I$2:I232,"Trabajo actualmente como empleado")-1)*37,150)&lt;100,"Empleado con contrato","Empleado sin contrato formal"),IF(I232="Trabajo de manera independiente","Trabajo independiente",""))</f>
        <v>Empleado con contrato</v>
      </c>
      <c r="K232" s="9" t="str">
        <f>IF(OR(I232="Trabajo actualmente como empleado",I232="Trabajo de manera independiente"),CHOOSE(MOD(COUNTIF($I$2:I232,I232)-1,4)+1,"Menos de 3 meses","De 3 a 6 meses","De 7 a 12 meses","Más de un año"),"")</f>
        <v>De 3 a 6 meses</v>
      </c>
      <c r="L232" t="str">
        <f>IF(OR(I232="Trabajo actualmente como empleado",I232="Trabajo de manera independiente"),CHOOSE(MOD(COUNTIF($I$2:I232,I232)-1,3)+1,"Sí, completamente","Parcialmente","No"),"")</f>
        <v>Parcialmente</v>
      </c>
      <c r="M232" t="str">
        <f>IF(OR(I232="Trabajo actualmente como empleado",I232="Trabajo de manera independiente"),CHOOSE(MOD(INT((COUNTIF($I$2:I232,I232)-1)/3),4)+1,"1- Muy satisfecho/a","2- Satisfecho/a","3- Insatisfecho/a","4- Muy insatisfecho/a"),"")</f>
        <v>1- Muy satisfecho/a</v>
      </c>
      <c r="N232" t="str">
        <f>IF(OR(I232="Trabajo actualmente como empleado",I232="Trabajo de manera independiente"),_xlfn.LET(_xlpm.opcion,MOD(INT((COUNTIF($I$2:I232,I232)-1)/5),6)+1,CHOOSE(IF(AND(_xlpm.opcion=6,L232="Sí, completamente"),5,_xlpm.opcion),"Salario","Estabilidad laboral","Horario","Acceso a prestaciones","Oportunidades de crecimiento","Trabajar en un área relacionada con mi formación")),"")</f>
        <v>Horario</v>
      </c>
      <c r="O232" s="9" t="str">
        <f>IF(OR(I232="Trabajo actualmente como empleado",I232="Trabajo de manera independiente"),_xlfn.LET(_xlpm.turno,MOD(COUNTIF($I$2:I232,I232)-1,5),_xlpm.nivel,VALUE(LEFT(M232,1)),IF(_xlpm.turno=4,"No estoy seguro/a",IF(_xlpm.turno&lt;IF(_xlpm.nivel&lt;=2,1,3),"Sí","No"))),"")</f>
        <v>No</v>
      </c>
      <c r="P232" s="9" t="str">
        <f>_xlfn.LET(_xlpm.perfil,I232,_xlpm.turno,COUNTIF($I$2:I232,_xlpm.perfil)-1,_xlpm.busca,OR(_xlpm.perfil="Actualmente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32" t="str">
        <f>IF(I232="Tengo un emprendimiento o quiero iniciar uno","",CHOOSE(MOD(INT((COUNTIF($I$2:I232,I232)-1)/7),3)+1,"Sí","No","Tengo una pero necesito actualizarla"))</f>
        <v>No</v>
      </c>
      <c r="R232" s="9" t="str">
        <f>IF(I232="Tengo un emprendimiento o quiero iniciar uno","",IF(I232="Busco mi primer empleo","No",IF(MOD(COUNTIF($I$2:I232,I232)-1,2)=0,"Sí","No")))</f>
        <v>No</v>
      </c>
      <c r="S232" t="str">
        <f>IF(I232="Tengo un emprendimiento o quiero iniciar uno","",CHOOSE(MOD(INT((COUNTIF($I$2:I232,I232)-1)/3),10)+1,"Portales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32" t="str">
        <f>IF(I232="Tengo un emprendimiento o quiero iniciar uno","",_xlfn.LET(_xlpm.opcion,MOD(INT((COUNTIF($I$2:I232,I232)-1)/4),6)+1,CHOOSE(IF(AND(_xlpm.opcion=3,Q232="Sí"),1,_xlpm.opcion),"Falta de experiencia","Falta de formación","Dificultades con la hoja de vida","Horarios disponibles","Transporte","Internet")))</f>
        <v>Falta de experiencia</v>
      </c>
      <c r="U232" s="9" t="str">
        <f>IF(I232="Tengo un emprendimiento o quiero iniciar uno","",IF(MOD(INT((COUNTIF($I$2:I232,I232)-1)/3),2)=0,"Sí","No"))</f>
        <v>Sí</v>
      </c>
      <c r="V232" s="9" t="str">
        <f>IF(I232="Tengo un emprendimiento o quiero iniciar uno",CHOOSE(MOD(COUNTIF($I$2:I232,I232)-1,3)+1,"Tengo un emprendimiento","Estoy iniciando un emprendimiento","Me interesa emprender"),"")</f>
        <v/>
      </c>
      <c r="W232" t="str">
        <f t="shared" si="59"/>
        <v/>
      </c>
      <c r="X232" s="9" t="str">
        <f>IF(I232="Tengo un emprendimiento o quiero iniciar uno",CHOOSE(MOD(COUNTIF($I$2:I232,I232)-1,5)+1,"Falta de financiación","Falta de conocimientos administrativos","Falta de conocimientos financieros","Falta de tiempo","Falta de herramientas"),"")</f>
        <v/>
      </c>
      <c r="Y232" s="9" t="str">
        <f t="shared" si="60"/>
        <v/>
      </c>
      <c r="Z232" t="str">
        <f>IF(I232="Tengo un emprendimiento o quiero iniciar uno",CHOOSE(INT(MOD((COUNTIF($I$2:I232,I232)-1)*7,39)/13)+1,"Sí","No","No conozco programas de ese tipo"),"")</f>
        <v/>
      </c>
      <c r="AA232" t="str">
        <f t="shared" si="61"/>
        <v>Puedo hacerlo con dificultad</v>
      </c>
      <c r="AB232" t="str">
        <f t="shared" si="61"/>
        <v>Puedo hacerlo con dificultad</v>
      </c>
      <c r="AC232" t="str">
        <f t="shared" si="62"/>
        <v>Puedo hacerlo con dificultad</v>
      </c>
      <c r="AD232" s="9" t="str">
        <f t="shared" si="63"/>
        <v>No puedo hacerlo</v>
      </c>
      <c r="AE232" t="str">
        <f t="shared" si="64"/>
        <v>Puedo hacerlo con ayuda</v>
      </c>
      <c r="AF232" s="9" t="str">
        <f t="shared" si="65"/>
        <v>Liderazgo</v>
      </c>
      <c r="AG232" s="9" t="str">
        <f t="shared" si="66"/>
        <v>Distancia</v>
      </c>
      <c r="AH232" t="str">
        <f t="shared" si="67"/>
        <v>Programas de emprendimiento</v>
      </c>
      <c r="AI232" s="9" t="str">
        <f t="shared" si="68"/>
        <v>Presencial</v>
      </c>
      <c r="AJ232" s="9" t="str">
        <f t="shared" si="69"/>
        <v>Nocturno</v>
      </c>
      <c r="AK232" s="9" t="str">
        <f t="shared" si="70"/>
        <v>WhatsApp</v>
      </c>
    </row>
    <row r="233" spans="1:37">
      <c r="A233" t="str">
        <f t="shared" si="71"/>
        <v>SG232</v>
      </c>
      <c r="B233" t="s">
        <v>418</v>
      </c>
      <c r="C233" s="9" t="s">
        <v>427</v>
      </c>
      <c r="D233" t="str">
        <f t="shared" si="54"/>
        <v>Masculino</v>
      </c>
      <c r="E233" t="str">
        <f t="shared" si="55"/>
        <v>De 20 a 22 años</v>
      </c>
      <c r="F233">
        <f t="shared" si="56"/>
        <v>20</v>
      </c>
      <c r="G233" s="9" t="s">
        <v>428</v>
      </c>
      <c r="H233" s="9" t="str">
        <f t="shared" si="57"/>
        <v>Tecnólogo</v>
      </c>
      <c r="I233" s="9" t="str">
        <f t="shared" si="58"/>
        <v>Trabajo de manera independiente</v>
      </c>
      <c r="J233" s="13" t="str">
        <f>IF(I233="Trabajo actualmente como empleado",IF(MOD((COUNTIF($I$2:I233,"Trabajo actualmente como empleado")-1)*37,150)&lt;100,"Empleado con contrato","Empleado sin contrato formal"),IF(I233="Trabajo de manera independiente","Trabajo independiente",""))</f>
        <v>Trabajo independiente</v>
      </c>
      <c r="K233" s="9" t="str">
        <f>IF(OR(I233="Trabajo actualmente como empleado",I233="Trabajo de manera independiente"),CHOOSE(MOD(COUNTIF($I$2:I233,I233)-1,4)+1,"Menos de 3 meses","De 3 a 6 meses","De 7 a 12 meses","Más de un año"),"")</f>
        <v>Más de un año</v>
      </c>
      <c r="L233" t="str">
        <f>IF(OR(I233="Trabajo actualmente como empleado",I233="Trabajo de manera independiente"),CHOOSE(MOD(COUNTIF($I$2:I233,I233)-1,3)+1,"Sí, completamente","Parcialmente","No"),"")</f>
        <v>Sí, completamente</v>
      </c>
      <c r="M233" t="str">
        <f>IF(OR(I233="Trabajo actualmente como empleado",I233="Trabajo de manera independiente"),CHOOSE(MOD(INT((COUNTIF($I$2:I233,I233)-1)/3),4)+1,"1- Muy satisfecho/a","2- Satisfecho/a","3- Insatisfecho/a","4- Muy insatisfecho/a"),"")</f>
        <v>2- Satisfecho/a</v>
      </c>
      <c r="N233" t="str">
        <f>IF(OR(I233="Trabajo actualmente como empleado",I233="Trabajo de manera independiente"),_xlfn.LET(_xlpm.opcion,MOD(INT((COUNTIF($I$2:I233,I233)-1)/5),6)+1,CHOOSE(IF(AND(_xlpm.opcion=6,L233="Sí, completamente"),5,_xlpm.opcion),"Salario","Estabilidad laboral","Horario","Acceso a prestaciones","Oportunidades de crecimiento","Trabajar en un área relacionada con mi formación")),"")</f>
        <v>Estabilidad laboral</v>
      </c>
      <c r="O233" s="9" t="str">
        <f>IF(OR(I233="Trabajo actualmente como empleado",I233="Trabajo de manera independiente"),_xlfn.LET(_xlpm.turno,MOD(COUNTIF($I$2:I233,I233)-1,5),_xlpm.nivel,VALUE(LEFT(M233,1)),IF(_xlpm.turno=4,"No estoy seguro/a",IF(_xlpm.turno&lt;IF(_xlpm.nivel&lt;=2,1,3),"Sí","No"))),"")</f>
        <v>No estoy seguro/a</v>
      </c>
      <c r="P233" s="9" t="str">
        <f>_xlfn.LET(_xlpm.perfil,I233,_xlpm.turno,COUNTIF($I$2:I233,_xlpm.perfil)-1,_xlpm.busca,OR(_xlpm.perfil="Actualmente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trabajar"),IF(AND(_xlpm.trabaja,O233="No"),"Todavía no he iniciado una búsqueda activa",CHOOSE(MOD(_xlpm.turno*3,5)+1,"Menos de 1 mes","Entre 1 y 3 meses","Entre 4 y 6 meses","Más de 6 meses","Todavía no he iniciado una búsqueda activa")),"")))</f>
        <v>Entre 4 y 6 meses</v>
      </c>
      <c r="Q233" t="str">
        <f>IF(I233="Tengo un emprendimiento o quiero iniciar uno","",CHOOSE(MOD(INT((COUNTIF($I$2:I233,I233)-1)/7),3)+1,"Sí","No","Tengo una pero necesito actualizarla"))</f>
        <v>Tengo una pero necesito actualizarla</v>
      </c>
      <c r="R233" s="9" t="str">
        <f>IF(I233="Tengo un emprendimiento o quiero iniciar uno","",IF(I233="Busco mi primer empleo","No",IF(MOD(COUNTIF($I$2:I233,I233)-1,2)=0,"Sí","No")))</f>
        <v>No</v>
      </c>
      <c r="S233" t="str">
        <f>IF(I233="Tengo un emprendimiento o quiero iniciar uno","",CHOOSE(MOD(INT((COUNTIF($I$2:I233,I233)-1)/3),10)+1,"Portales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33" t="str">
        <f>IF(I233="Tengo un emprendimiento o quiero iniciar uno","",_xlfn.LET(_xlpm.opcion,MOD(INT((COUNTIF($I$2:I233,I233)-1)/4),6)+1,CHOOSE(IF(AND(_xlpm.opcion=3,Q233="Sí"),1,_xlpm.opcion),"Falta de experiencia","Falta de formación","Dificultades con la hoja de vida","Horarios disponibles","Transporte","Internet")))</f>
        <v>Horarios disponibles</v>
      </c>
      <c r="U233" s="9" t="str">
        <f>IF(I233="Tengo un emprendimiento o quiero iniciar uno","",IF(MOD(INT((COUNTIF($I$2:I233,I233)-1)/3),2)=0,"Sí","No"))</f>
        <v>No</v>
      </c>
      <c r="V233" s="9" t="str">
        <f>IF(I233="Tengo un emprendimiento o quiero iniciar uno",CHOOSE(MOD(COUNTIF($I$2:I233,I233)-1,3)+1,"Tengo un emprendimiento","Estoy iniciando un emprendimiento","Me interesa emprender"),"")</f>
        <v/>
      </c>
      <c r="W233" t="str">
        <f t="shared" si="59"/>
        <v/>
      </c>
      <c r="X233" s="9" t="str">
        <f>IF(I233="Tengo un emprendimiento o quiero iniciar uno",CHOOSE(MOD(COUNTIF($I$2:I233,I233)-1,5)+1,"Falta de financiación","Falta de conocimientos administrativos","Falta de conocimientos financieros","Falta de tiempo","Falta de herramientas"),"")</f>
        <v/>
      </c>
      <c r="Y233" s="9" t="str">
        <f t="shared" si="60"/>
        <v/>
      </c>
      <c r="Z233" t="str">
        <f>IF(I233="Tengo un emprendimiento o quiero iniciar uno",CHOOSE(INT(MOD((COUNTIF($I$2:I233,I233)-1)*7,39)/13)+1,"Sí","No","No conozco programas de ese tipo"),"")</f>
        <v/>
      </c>
      <c r="AA233" t="str">
        <f t="shared" si="61"/>
        <v>No puedo hacerlo</v>
      </c>
      <c r="AB233" t="str">
        <f t="shared" si="61"/>
        <v>No puedo hacerlo</v>
      </c>
      <c r="AC233" t="str">
        <f t="shared" si="62"/>
        <v>Puedo hacerlo sin ayuda</v>
      </c>
      <c r="AD233" s="9" t="str">
        <f t="shared" si="63"/>
        <v>No puedo hacerlo</v>
      </c>
      <c r="AE233" t="str">
        <f t="shared" si="64"/>
        <v>Puedo hacerlo con dificultad</v>
      </c>
      <c r="AF233" s="9" t="str">
        <f t="shared" si="65"/>
        <v>Emprendimiento</v>
      </c>
      <c r="AG233" s="9" t="str">
        <f t="shared" si="66"/>
        <v>Falta de experiencia;Falta de información</v>
      </c>
      <c r="AH233" t="str">
        <f t="shared" si="67"/>
        <v>Oficina de orientación laboral</v>
      </c>
      <c r="AI233" s="9" t="str">
        <f t="shared" si="68"/>
        <v>Virtual</v>
      </c>
      <c r="AJ233" s="9" t="str">
        <f t="shared" si="69"/>
        <v>Fines de semana</v>
      </c>
      <c r="AK233" s="9" t="str">
        <f t="shared" si="70"/>
        <v>Redes sociales</v>
      </c>
    </row>
    <row r="234" spans="1:37">
      <c r="A234" t="str">
        <f t="shared" si="71"/>
        <v>SG233</v>
      </c>
      <c r="B234" t="s">
        <v>418</v>
      </c>
      <c r="C234" s="9" t="s">
        <v>427</v>
      </c>
      <c r="D234" t="str">
        <f t="shared" si="54"/>
        <v>Masculino</v>
      </c>
      <c r="E234" t="str">
        <f t="shared" si="55"/>
        <v>De 22 a 24 años</v>
      </c>
      <c r="F234">
        <f t="shared" si="56"/>
        <v>22</v>
      </c>
      <c r="G234" s="9" t="s">
        <v>428</v>
      </c>
      <c r="H234" s="9" t="str">
        <f t="shared" si="57"/>
        <v>Tecnólogo</v>
      </c>
      <c r="I234" s="9" t="str">
        <f t="shared" si="58"/>
        <v>Busco mi primer empleo</v>
      </c>
      <c r="J234" s="13" t="str">
        <f>IF(I234="Trabajo actualmente como empleado",IF(MOD((COUNTIF($I$2:I234,"Trabajo actualmente como empleado")-1)*37,150)&lt;100,"Empleado con contrato","Empleado sin contrato formal"),IF(I234="Trabajo de manera independiente","Trabajo independiente",""))</f>
        <v/>
      </c>
      <c r="K234" s="9" t="str">
        <f>IF(OR(I234="Trabajo actualmente como empleado",I234="Trabajo de manera independiente"),CHOOSE(MOD(COUNTIF($I$2:I234,I234)-1,4)+1,"Menos de 3 meses","De 3 a 6 meses","De 7 a 12 meses","Más de un año"),"")</f>
        <v/>
      </c>
      <c r="L234" t="str">
        <f>IF(OR(I234="Trabajo actualmente como empleado",I234="Trabajo de manera independiente"),CHOOSE(MOD(COUNTIF($I$2:I234,I234)-1,3)+1,"Sí, completamente","Parcialmente","No"),"")</f>
        <v/>
      </c>
      <c r="M234" t="str">
        <f>IF(OR(I234="Trabajo actualmente como empleado",I234="Trabajo de manera independiente"),CHOOSE(MOD(INT((COUNTIF($I$2:I234,I234)-1)/3),4)+1,"1- Muy satisfecho/a","2- Satisfecho/a","3- Insatisfecho/a","4- Muy insatisfecho/a"),"")</f>
        <v/>
      </c>
      <c r="N234" t="str">
        <f>IF(OR(I234="Trabajo actualmente como empleado",I234="Trabajo de manera independiente"),_xlfn.LET(_xlpm.opcion,MOD(INT((COUNTIF($I$2:I234,I234)-1)/5),6)+1,CHOOSE(IF(AND(_xlpm.opcion=6,L234="Sí, completamente"),5,_xlpm.opcion),"Salario","Estabilidad laboral","Horario","Acceso a prestaciones","Oportunidades de crecimiento","Trabajar en un área relacionada con mi formación")),"")</f>
        <v/>
      </c>
      <c r="O234" s="9" t="str">
        <f>IF(OR(I234="Trabajo actualmente como empleado",I234="Trabajo de manera independiente"),_xlfn.LET(_xlpm.turno,MOD(COUNTIF($I$2:I234,I234)-1,5),_xlpm.nivel,VALUE(LEFT(M234,1)),IF(_xlpm.turno=4,"No estoy seguro/a",IF(_xlpm.turno&lt;IF(_xlpm.nivel&lt;=2,1,3),"Sí","No"))),"")</f>
        <v/>
      </c>
      <c r="P234" s="9" t="str">
        <f>_xlfn.LET(_xlpm.perfil,I234,_xlpm.turno,COUNTIF($I$2:I234,_xlpm.perfil)-1,_xlpm.busca,OR(_xlpm.perfil="Actualmente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trabajar"),IF(AND(_xlpm.trabaja,O234="No"),"Todavía no he iniciado una búsqueda activa",CHOOSE(MOD(_xlpm.turno*3,5)+1,"Menos de 1 mes","Entre 1 y 3 meses","Entre 4 y 6 meses","Más de 6 meses","Todavía no he iniciado una búsqueda activa")),"")))</f>
        <v>Menos de 1 mes</v>
      </c>
      <c r="Q234" t="str">
        <f>IF(I234="Tengo un emprendimiento o quiero iniciar uno","",CHOOSE(MOD(INT((COUNTIF($I$2:I234,I234)-1)/7),3)+1,"Sí","No","Tengo una pero necesito actualizarla"))</f>
        <v>No</v>
      </c>
      <c r="R234" s="9" t="str">
        <f>IF(I234="Tengo un emprendimiento o quiero iniciar uno","",IF(I234="Busco mi primer empleo","No",IF(MOD(COUNTIF($I$2:I234,I234)-1,2)=0,"Sí","No")))</f>
        <v>No</v>
      </c>
      <c r="S234" t="str">
        <f>IF(I234="Tengo un emprendimiento o quiero iniciar uno","",CHOOSE(MOD(INT((COUNTIF($I$2:I234,I234)-1)/3),10)+1,"Portales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34" t="str">
        <f>IF(I234="Tengo un emprendimiento o quiero iniciar uno","",_xlfn.LET(_xlpm.opcion,MOD(INT((COUNTIF($I$2:I234,I234)-1)/4),6)+1,CHOOSE(IF(AND(_xlpm.opcion=3,Q234="Sí"),1,_xlpm.opcion),"Falta de experiencia","Falta de formación","Dificultades con la hoja de vida","Horarios disponibles","Transporte","Internet")))</f>
        <v>Dificultades con la hoja de vida</v>
      </c>
      <c r="U234" s="9" t="str">
        <f>IF(I234="Tengo un emprendimiento o quiero iniciar uno","",IF(MOD(INT((COUNTIF($I$2:I234,I234)-1)/3),2)=0,"Sí","No"))</f>
        <v>Sí</v>
      </c>
      <c r="V234" s="9" t="str">
        <f>IF(I234="Tengo un emprendimiento o quiero iniciar uno",CHOOSE(MOD(COUNTIF($I$2:I234,I234)-1,3)+1,"Tengo un emprendimiento","Estoy iniciando un emprendimiento","Me interesa emprender"),"")</f>
        <v/>
      </c>
      <c r="W234" t="str">
        <f t="shared" si="59"/>
        <v/>
      </c>
      <c r="X234" s="9" t="str">
        <f>IF(I234="Tengo un emprendimiento o quiero iniciar uno",CHOOSE(MOD(COUNTIF($I$2:I234,I234)-1,5)+1,"Falta de financiación","Falta de conocimientos administrativos","Falta de conocimientos financieros","Falta de tiempo","Falta de herramientas"),"")</f>
        <v/>
      </c>
      <c r="Y234" s="9" t="str">
        <f t="shared" si="60"/>
        <v/>
      </c>
      <c r="Z234" t="str">
        <f>IF(I234="Tengo un emprendimiento o quiero iniciar uno",CHOOSE(INT(MOD((COUNTIF($I$2:I234,I234)-1)*7,39)/13)+1,"Sí","No","No conozco programas de ese tipo"),"")</f>
        <v/>
      </c>
      <c r="AA234" t="str">
        <f t="shared" si="61"/>
        <v>Puedo hacerlo con dificultad</v>
      </c>
      <c r="AB234" t="str">
        <f t="shared" si="61"/>
        <v>Puedo hacerlo con dificultad</v>
      </c>
      <c r="AC234" t="str">
        <f t="shared" si="62"/>
        <v>No puedo hacerlo</v>
      </c>
      <c r="AD234" s="9" t="str">
        <f t="shared" si="63"/>
        <v>Puedo hacerlo con ayuda</v>
      </c>
      <c r="AE234" t="str">
        <f t="shared" si="64"/>
        <v>Puedo hacerlo con dificultad</v>
      </c>
      <c r="AF234" s="9" t="str">
        <f t="shared" si="65"/>
        <v>Herramientas digitales</v>
      </c>
      <c r="AG234" s="9" t="str">
        <f t="shared" si="66"/>
        <v>Falta de experiencia;Falta de información</v>
      </c>
      <c r="AH234" t="str">
        <f t="shared" si="67"/>
        <v>Programas de emprendimiento</v>
      </c>
      <c r="AI234" s="9" t="str">
        <f t="shared" si="68"/>
        <v>Presencial y virtual</v>
      </c>
      <c r="AJ234" s="9" t="str">
        <f t="shared" si="69"/>
        <v>Diurno</v>
      </c>
      <c r="AK234" s="9" t="str">
        <f t="shared" si="70"/>
        <v>Celular</v>
      </c>
    </row>
    <row r="235" spans="1:37">
      <c r="A235" t="str">
        <f t="shared" si="71"/>
        <v>SG234</v>
      </c>
      <c r="B235" t="s">
        <v>418</v>
      </c>
      <c r="C235" s="9" t="s">
        <v>427</v>
      </c>
      <c r="D235" t="str">
        <f t="shared" si="54"/>
        <v>Femenino</v>
      </c>
      <c r="E235" t="str">
        <f t="shared" si="55"/>
        <v>De 24 a 26 años</v>
      </c>
      <c r="F235">
        <f t="shared" si="56"/>
        <v>24</v>
      </c>
      <c r="G235" s="9" t="s">
        <v>428</v>
      </c>
      <c r="H235" s="9" t="str">
        <f t="shared" si="57"/>
        <v>Profesional</v>
      </c>
      <c r="I235" s="9" t="str">
        <f t="shared" si="58"/>
        <v>Trabajo actualmente como empleado</v>
      </c>
      <c r="J235" s="13" t="str">
        <f>IF(I235="Trabajo actualmente como empleado",IF(MOD((COUNTIF($I$2:I235,"Trabajo actualmente como empleado")-1)*37,150)&lt;100,"Empleado con contrato","Empleado sin contrato formal"),IF(I235="Trabajo de manera independiente","Trabajo independiente",""))</f>
        <v>Empleado con contrato</v>
      </c>
      <c r="K235" s="9" t="str">
        <f>IF(OR(I235="Trabajo actualmente como empleado",I235="Trabajo de manera independiente"),CHOOSE(MOD(COUNTIF($I$2:I235,I235)-1,4)+1,"Menos de 3 meses","De 3 a 6 meses","De 7 a 12 meses","Más de un año"),"")</f>
        <v>De 7 a 12 meses</v>
      </c>
      <c r="L235" t="str">
        <f>IF(OR(I235="Trabajo actualmente como empleado",I235="Trabajo de manera independiente"),CHOOSE(MOD(COUNTIF($I$2:I235,I235)-1,3)+1,"Sí, completamente","Parcialmente","No"),"")</f>
        <v>No</v>
      </c>
      <c r="M235" t="str">
        <f>IF(OR(I235="Trabajo actualmente como empleado",I235="Trabajo de manera independiente"),CHOOSE(MOD(INT((COUNTIF($I$2:I235,I235)-1)/3),4)+1,"1- Muy satisfecho/a","2- Satisfecho/a","3- Insatisfecho/a","4- Muy insatisfecho/a"),"")</f>
        <v>1- Muy satisfecho/a</v>
      </c>
      <c r="N235" t="str">
        <f>IF(OR(I235="Trabajo actualmente como empleado",I235="Trabajo de manera independiente"),_xlfn.LET(_xlpm.opcion,MOD(INT((COUNTIF($I$2:I235,I235)-1)/5),6)+1,CHOOSE(IF(AND(_xlpm.opcion=6,L235="Sí, completamente"),5,_xlpm.opcion),"Salario","Estabilidad laboral","Horario","Acceso a prestaciones","Oportunidades de crecimiento","Trabajar en un área relacionada con mi formación")),"")</f>
        <v>Horario</v>
      </c>
      <c r="O235" s="9" t="str">
        <f>IF(OR(I235="Trabajo actualmente como empleado",I235="Trabajo de manera independiente"),_xlfn.LET(_xlpm.turno,MOD(COUNTIF($I$2:I235,I235)-1,5),_xlpm.nivel,VALUE(LEFT(M235,1)),IF(_xlpm.turno=4,"No estoy seguro/a",IF(_xlpm.turno&lt;IF(_xlpm.nivel&lt;=2,1,3),"Sí","No"))),"")</f>
        <v>No estoy seguro/a</v>
      </c>
      <c r="P235" s="9" t="str">
        <f>_xlfn.LET(_xlpm.perfil,I235,_xlpm.turno,COUNTIF($I$2:I235,_xlpm.perfil)-1,_xlpm.busca,OR(_xlpm.perfil="Actualmente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trabajar"),IF(AND(_xlpm.trabaja,O235="No"),"Todavía no he iniciado una búsqueda activa",CHOOSE(MOD(_xlpm.turno*3,5)+1,"Menos de 1 mes","Entre 1 y 3 meses","Entre 4 y 6 meses","Más de 6 meses","Todavía no he iniciado una búsqueda activa")),"")))</f>
        <v>Entre 4 y 6 meses</v>
      </c>
      <c r="Q235" t="str">
        <f>IF(I235="Tengo un emprendimiento o quiero iniciar uno","",CHOOSE(MOD(INT((COUNTIF($I$2:I235,I235)-1)/7),3)+1,"Sí","No","Tengo una pero necesito actualizarla"))</f>
        <v>No</v>
      </c>
      <c r="R235" s="9" t="str">
        <f>IF(I235="Tengo un emprendimiento o quiero iniciar uno","",IF(I235="Busco mi primer empleo","No",IF(MOD(COUNTIF($I$2:I235,I235)-1,2)=0,"Sí","No")))</f>
        <v>Sí</v>
      </c>
      <c r="S235" t="str">
        <f>IF(I235="Tengo un emprendimiento o quiero iniciar uno","",CHOOSE(MOD(INT((COUNTIF($I$2:I235,I235)-1)/3),10)+1,"Portales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35" t="str">
        <f>IF(I235="Tengo un emprendimiento o quiero iniciar uno","",_xlfn.LET(_xlpm.opcion,MOD(INT((COUNTIF($I$2:I235,I235)-1)/4),6)+1,CHOOSE(IF(AND(_xlpm.opcion=3,Q235="Sí"),1,_xlpm.opcion),"Falta de experiencia","Falta de formación","Dificultades con la hoja de vida","Horarios disponibles","Transporte","Internet")))</f>
        <v>Falta de experiencia</v>
      </c>
      <c r="U235" s="9" t="str">
        <f>IF(I235="Tengo un emprendimiento o quiero iniciar uno","",IF(MOD(INT((COUNTIF($I$2:I235,I235)-1)/3),2)=0,"Sí","No"))</f>
        <v>Sí</v>
      </c>
      <c r="V235" s="9" t="str">
        <f>IF(I235="Tengo un emprendimiento o quiero iniciar uno",CHOOSE(MOD(COUNTIF($I$2:I235,I235)-1,3)+1,"Tengo un emprendimiento","Estoy iniciando un emprendimiento","Me interesa emprender"),"")</f>
        <v/>
      </c>
      <c r="W235" t="str">
        <f t="shared" si="59"/>
        <v/>
      </c>
      <c r="X235" s="9" t="str">
        <f>IF(I235="Tengo un emprendimiento o quiero iniciar uno",CHOOSE(MOD(COUNTIF($I$2:I235,I235)-1,5)+1,"Falta de financiación","Falta de conocimientos administrativos","Falta de conocimientos financieros","Falta de tiempo","Falta de herramientas"),"")</f>
        <v/>
      </c>
      <c r="Y235" s="9" t="str">
        <f t="shared" si="60"/>
        <v/>
      </c>
      <c r="Z235" t="str">
        <f>IF(I235="Tengo un emprendimiento o quiero iniciar uno",CHOOSE(INT(MOD((COUNTIF($I$2:I235,I235)-1)*7,39)/13)+1,"Sí","No","No conozco programas de ese tipo"),"")</f>
        <v/>
      </c>
      <c r="AA235" t="str">
        <f t="shared" si="61"/>
        <v>Puedo hacerlo sin ayuda</v>
      </c>
      <c r="AB235" t="str">
        <f t="shared" si="61"/>
        <v>Puedo hacerlo sin ayuda</v>
      </c>
      <c r="AC235" t="str">
        <f t="shared" si="62"/>
        <v>Puedo hacerlo con dificultad</v>
      </c>
      <c r="AD235" s="9" t="str">
        <f t="shared" si="63"/>
        <v>Puedo hacerlo con dificultad</v>
      </c>
      <c r="AE235" t="str">
        <f t="shared" si="64"/>
        <v>Puedo hacerlo sin ayuda</v>
      </c>
      <c r="AF235" s="9" t="str">
        <f t="shared" si="65"/>
        <v>Educación financiera</v>
      </c>
      <c r="AG235" s="9" t="str">
        <f t="shared" si="66"/>
        <v>Falta de experiencia;Falta de información</v>
      </c>
      <c r="AH235" t="str">
        <f t="shared" si="67"/>
        <v>No conozco ninguno</v>
      </c>
      <c r="AI235" s="9" t="str">
        <f t="shared" si="68"/>
        <v>Me es indiferente</v>
      </c>
      <c r="AJ235" s="9" t="str">
        <f t="shared" si="69"/>
        <v>Nocturno</v>
      </c>
      <c r="AK235" s="9" t="str">
        <f t="shared" si="70"/>
        <v>Correo electrónico</v>
      </c>
    </row>
    <row r="236" spans="1:37">
      <c r="A236" t="str">
        <f t="shared" si="71"/>
        <v>SG235</v>
      </c>
      <c r="B236" t="s">
        <v>418</v>
      </c>
      <c r="C236" s="9" t="s">
        <v>427</v>
      </c>
      <c r="D236" t="str">
        <f t="shared" si="54"/>
        <v>Femenino</v>
      </c>
      <c r="E236" t="str">
        <f t="shared" si="55"/>
        <v>De 26 a 28 años</v>
      </c>
      <c r="F236">
        <f t="shared" si="56"/>
        <v>27</v>
      </c>
      <c r="G236" s="9" t="s">
        <v>428</v>
      </c>
      <c r="H236" s="9" t="str">
        <f t="shared" si="57"/>
        <v>Posgrado</v>
      </c>
      <c r="I236" s="9" t="str">
        <f t="shared" si="58"/>
        <v>Actualmente no trabajo y estoy buscando empleo</v>
      </c>
      <c r="J236" s="13" t="str">
        <f>IF(I236="Trabajo actualmente como empleado",IF(MOD((COUNTIF($I$2:I236,"Trabajo actualmente como empleado")-1)*37,150)&lt;100,"Empleado con contrato","Empleado sin contrato formal"),IF(I236="Trabajo de manera independiente","Trabajo independiente",""))</f>
        <v/>
      </c>
      <c r="K236" s="9" t="str">
        <f>IF(OR(I236="Trabajo actualmente como empleado",I236="Trabajo de manera independiente"),CHOOSE(MOD(COUNTIF($I$2:I236,I236)-1,4)+1,"Menos de 3 meses","De 3 a 6 meses","De 7 a 12 meses","Más de un año"),"")</f>
        <v/>
      </c>
      <c r="L236" t="str">
        <f>IF(OR(I236="Trabajo actualmente como empleado",I236="Trabajo de manera independiente"),CHOOSE(MOD(COUNTIF($I$2:I236,I236)-1,3)+1,"Sí, completamente","Parcialmente","No"),"")</f>
        <v/>
      </c>
      <c r="M236" t="str">
        <f>IF(OR(I236="Trabajo actualmente como empleado",I236="Trabajo de manera independiente"),CHOOSE(MOD(INT((COUNTIF($I$2:I236,I236)-1)/3),4)+1,"1- Muy satisfecho/a","2- Satisfecho/a","3- Insatisfecho/a","4- Muy insatisfecho/a"),"")</f>
        <v/>
      </c>
      <c r="N236" t="str">
        <f>IF(OR(I236="Trabajo actualmente como empleado",I236="Trabajo de manera independiente"),_xlfn.LET(_xlpm.opcion,MOD(INT((COUNTIF($I$2:I236,I236)-1)/5),6)+1,CHOOSE(IF(AND(_xlpm.opcion=6,L236="Sí, completamente"),5,_xlpm.opcion),"Salario","Estabilidad laboral","Horario","Acceso a prestaciones","Oportunidades de crecimiento","Trabajar en un área relacionada con mi formación")),"")</f>
        <v/>
      </c>
      <c r="O236" s="9" t="str">
        <f>IF(OR(I236="Trabajo actualmente como empleado",I236="Trabajo de manera independiente"),_xlfn.LET(_xlpm.turno,MOD(COUNTIF($I$2:I236,I236)-1,5),_xlpm.nivel,VALUE(LEFT(M236,1)),IF(_xlpm.turno=4,"No estoy seguro/a",IF(_xlpm.turno&lt;IF(_xlpm.nivel&lt;=2,1,3),"Sí","No"))),"")</f>
        <v/>
      </c>
      <c r="P236" s="9" t="str">
        <f>_xlfn.LET(_xlpm.perfil,I236,_xlpm.turno,COUNTIF($I$2:I236,_xlpm.perfil)-1,_xlpm.busca,OR(_xlpm.perfil="Actualmente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trabajar"),IF(AND(_xlpm.trabaja,O236="No"),"Todavía no he iniciado una búsqueda activa",CHOOSE(MOD(_xlpm.turno*3,5)+1,"Menos de 1 mes","Entre 1 y 3 meses","Entre 4 y 6 meses","Más de 6 meses","Todavía no he iniciado una búsqueda activa")),"")))</f>
        <v>Más de 6 meses</v>
      </c>
      <c r="Q236" t="str">
        <f>IF(I236="Tengo un emprendimiento o quiero iniciar uno","",CHOOSE(MOD(INT((COUNTIF($I$2:I236,I236)-1)/7),3)+1,"Sí","No","Tengo una pero necesito actualizarla"))</f>
        <v>Tengo una pero necesito actualizarla</v>
      </c>
      <c r="R236" s="9" t="str">
        <f>IF(I236="Tengo un emprendimiento o quiero iniciar uno","",IF(I236="Busco mi primer empleo","No",IF(MOD(COUNTIF($I$2:I236,I236)-1,2)=0,"Sí","No")))</f>
        <v>No</v>
      </c>
      <c r="S236" t="str">
        <f>IF(I236="Tengo un emprendimiento o quiero iniciar uno","",CHOOSE(MOD(INT((COUNTIF($I$2:I236,I236)-1)/3),10)+1,"Portales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36" t="str">
        <f>IF(I236="Tengo un emprendimiento o quiero iniciar uno","",_xlfn.LET(_xlpm.opcion,MOD(INT((COUNTIF($I$2:I236,I236)-1)/4),6)+1,CHOOSE(IF(AND(_xlpm.opcion=3,Q236="Sí"),1,_xlpm.opcion),"Falta de experiencia","Falta de formación","Dificultades con la hoja de vida","Horarios disponibles","Transporte","Internet")))</f>
        <v>Transporte</v>
      </c>
      <c r="U236" s="9" t="str">
        <f>IF(I236="Tengo un emprendimiento o quiero iniciar uno","",IF(MOD(INT((COUNTIF($I$2:I236,I236)-1)/3),2)=0,"Sí","No"))</f>
        <v>No</v>
      </c>
      <c r="V236" s="9" t="str">
        <f>IF(I236="Tengo un emprendimiento o quiero iniciar uno",CHOOSE(MOD(COUNTIF($I$2:I236,I236)-1,3)+1,"Tengo un emprendimiento","Estoy iniciando un emprendimiento","Me interesa emprender"),"")</f>
        <v/>
      </c>
      <c r="W236" t="str">
        <f t="shared" si="59"/>
        <v/>
      </c>
      <c r="X236" s="9" t="str">
        <f>IF(I236="Tengo un emprendimiento o quiero iniciar uno",CHOOSE(MOD(COUNTIF($I$2:I236,I236)-1,5)+1,"Falta de financiación","Falta de conocimientos administrativos","Falta de conocimientos financieros","Falta de tiempo","Falta de herramientas"),"")</f>
        <v/>
      </c>
      <c r="Y236" s="9" t="str">
        <f t="shared" si="60"/>
        <v/>
      </c>
      <c r="Z236" t="str">
        <f>IF(I236="Tengo un emprendimiento o quiero iniciar uno",CHOOSE(INT(MOD((COUNTIF($I$2:I236,I236)-1)*7,39)/13)+1,"Sí","No","No conozco programas de ese tipo"),"")</f>
        <v/>
      </c>
      <c r="AA236" t="str">
        <f t="shared" si="61"/>
        <v>Puedo hacerlo con ayuda</v>
      </c>
      <c r="AB236" t="str">
        <f t="shared" si="61"/>
        <v>Puedo hacerlo con ayuda</v>
      </c>
      <c r="AC236" t="str">
        <f t="shared" si="62"/>
        <v>Puedo hacerlo sin ayuda</v>
      </c>
      <c r="AD236" s="9" t="str">
        <f t="shared" si="63"/>
        <v>Puedo hacerlo sin ayuda</v>
      </c>
      <c r="AE236" t="str">
        <f t="shared" si="64"/>
        <v>No puedo hacerlo</v>
      </c>
      <c r="AF236" s="9" t="str">
        <f t="shared" si="65"/>
        <v>Crear una hoja de vida;Preparación para entrevista</v>
      </c>
      <c r="AG236" s="9" t="str">
        <f t="shared" si="66"/>
        <v>Costos de transporte;Distancia</v>
      </c>
      <c r="AH236" t="str">
        <f t="shared" si="67"/>
        <v>Ferias de empleo</v>
      </c>
      <c r="AI236" s="9" t="str">
        <f t="shared" si="68"/>
        <v>Presencial</v>
      </c>
      <c r="AJ236" s="9" t="str">
        <f t="shared" si="69"/>
        <v>Fines de semana</v>
      </c>
      <c r="AK236" s="9" t="str">
        <f t="shared" si="70"/>
        <v>Redes sociales</v>
      </c>
    </row>
    <row r="237" spans="1:37">
      <c r="A237" t="str">
        <f t="shared" si="71"/>
        <v>SG236</v>
      </c>
      <c r="B237" t="s">
        <v>418</v>
      </c>
      <c r="C237" s="9" t="s">
        <v>427</v>
      </c>
      <c r="D237" t="str">
        <f t="shared" si="54"/>
        <v>Masculino</v>
      </c>
      <c r="E237" t="str">
        <f t="shared" si="55"/>
        <v>De 18 a 20 años</v>
      </c>
      <c r="F237">
        <f t="shared" si="56"/>
        <v>19</v>
      </c>
      <c r="G237" s="9" t="s">
        <v>428</v>
      </c>
      <c r="H237" s="9" t="str">
        <f t="shared" si="57"/>
        <v>Bachiller</v>
      </c>
      <c r="I237" s="9" t="str">
        <f t="shared" si="58"/>
        <v>Estudio y quiero comenzar a trabajar</v>
      </c>
      <c r="J237" s="13" t="str">
        <f>IF(I237="Trabajo actualmente como empleado",IF(MOD((COUNTIF($I$2:I237,"Trabajo actualmente como empleado")-1)*37,150)&lt;100,"Empleado con contrato","Empleado sin contrato formal"),IF(I237="Trabajo de manera independiente","Trabajo independiente",""))</f>
        <v/>
      </c>
      <c r="K237" s="9" t="str">
        <f>IF(OR(I237="Trabajo actualmente como empleado",I237="Trabajo de manera independiente"),CHOOSE(MOD(COUNTIF($I$2:I237,I237)-1,4)+1,"Menos de 3 meses","De 3 a 6 meses","De 7 a 12 meses","Más de un año"),"")</f>
        <v/>
      </c>
      <c r="L237" t="str">
        <f>IF(OR(I237="Trabajo actualmente como empleado",I237="Trabajo de manera independiente"),CHOOSE(MOD(COUNTIF($I$2:I237,I237)-1,3)+1,"Sí, completamente","Parcialmente","No"),"")</f>
        <v/>
      </c>
      <c r="M237" t="str">
        <f>IF(OR(I237="Trabajo actualmente como empleado",I237="Trabajo de manera independiente"),CHOOSE(MOD(INT((COUNTIF($I$2:I237,I237)-1)/3),4)+1,"1- Muy satisfecho/a","2- Satisfecho/a","3- Insatisfecho/a","4- Muy insatisfecho/a"),"")</f>
        <v/>
      </c>
      <c r="N237" t="str">
        <f>IF(OR(I237="Trabajo actualmente como empleado",I237="Trabajo de manera independiente"),_xlfn.LET(_xlpm.opcion,MOD(INT((COUNTIF($I$2:I237,I237)-1)/5),6)+1,CHOOSE(IF(AND(_xlpm.opcion=6,L237="Sí, completamente"),5,_xlpm.opcion),"Salario","Estabilidad laboral","Horario","Acceso a prestaciones","Oportunidades de crecimiento","Trabajar en un área relacionada con mi formación")),"")</f>
        <v/>
      </c>
      <c r="O237" s="9" t="str">
        <f>IF(OR(I237="Trabajo actualmente como empleado",I237="Trabajo de manera independiente"),_xlfn.LET(_xlpm.turno,MOD(COUNTIF($I$2:I237,I237)-1,5),_xlpm.nivel,VALUE(LEFT(M237,1)),IF(_xlpm.turno=4,"No estoy seguro/a",IF(_xlpm.turno&lt;IF(_xlpm.nivel&lt;=2,1,3),"Sí","No"))),"")</f>
        <v/>
      </c>
      <c r="P237" s="9" t="str">
        <f>_xlfn.LET(_xlpm.perfil,I237,_xlpm.turno,COUNTIF($I$2:I237,_xlpm.perfil)-1,_xlpm.busca,OR(_xlpm.perfil="Actualmente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trabajar"),IF(AND(_xlpm.trabaja,O237="No"),"Todavía no he iniciado una búsqueda activa",CHOOSE(MOD(_xlpm.turno*3,5)+1,"Menos de 1 mes","Entre 1 y 3 meses","Entre 4 y 6 meses","Más de 6 meses","Todavía no he iniciado una búsqueda activa")),"")))</f>
        <v>Más de 6 meses</v>
      </c>
      <c r="Q237" t="str">
        <f>IF(I237="Tengo un emprendimiento o quiero iniciar uno","",CHOOSE(MOD(INT((COUNTIF($I$2:I237,I237)-1)/7),3)+1,"Sí","No","Tengo una pero necesito actualizarla"))</f>
        <v>Sí</v>
      </c>
      <c r="R237" s="9" t="str">
        <f>IF(I237="Tengo un emprendimiento o quiero iniciar uno","",IF(I237="Busco mi primer empleo","No",IF(MOD(COUNTIF($I$2:I237,I237)-1,2)=0,"Sí","No")))</f>
        <v>Sí</v>
      </c>
      <c r="S237" t="str">
        <f>IF(I237="Tengo un emprendimiento o quiero iniciar uno","",CHOOSE(MOD(INT((COUNTIF($I$2:I237,I237)-1)/3),10)+1,"Portales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237" t="str">
        <f>IF(I237="Tengo un emprendimiento o quiero iniciar uno","",_xlfn.LET(_xlpm.opcion,MOD(INT((COUNTIF($I$2:I237,I237)-1)/4),6)+1,CHOOSE(IF(AND(_xlpm.opcion=3,Q237="Sí"),1,_xlpm.opcion),"Falta de experiencia","Falta de formación","Dificultades con la hoja de vida","Horarios disponibles","Transporte","Internet")))</f>
        <v>Falta de experiencia</v>
      </c>
      <c r="U237" s="9" t="str">
        <f>IF(I237="Tengo un emprendimiento o quiero iniciar uno","",IF(MOD(INT((COUNTIF($I$2:I237,I237)-1)/3),2)=0,"Sí","No"))</f>
        <v>Sí</v>
      </c>
      <c r="V237" s="9" t="str">
        <f>IF(I237="Tengo un emprendimiento o quiero iniciar uno",CHOOSE(MOD(COUNTIF($I$2:I237,I237)-1,3)+1,"Tengo un emprendimiento","Estoy iniciando un emprendimiento","Me interesa emprender"),"")</f>
        <v/>
      </c>
      <c r="W237" t="str">
        <f t="shared" si="59"/>
        <v/>
      </c>
      <c r="X237" s="9" t="str">
        <f>IF(I237="Tengo un emprendimiento o quiero iniciar uno",CHOOSE(MOD(COUNTIF($I$2:I237,I237)-1,5)+1,"Falta de financiación","Falta de conocimientos administrativos","Falta de conocimientos financieros","Falta de tiempo","Falta de herramientas"),"")</f>
        <v/>
      </c>
      <c r="Y237" s="9" t="str">
        <f t="shared" si="60"/>
        <v/>
      </c>
      <c r="Z237" t="str">
        <f>IF(I237="Tengo un emprendimiento o quiero iniciar uno",CHOOSE(INT(MOD((COUNTIF($I$2:I237,I237)-1)*7,39)/13)+1,"Sí","No","No conozco programas de ese tipo"),"")</f>
        <v/>
      </c>
      <c r="AA237" t="str">
        <f t="shared" si="61"/>
        <v>Puedo hacerlo con dificultad</v>
      </c>
      <c r="AB237" t="str">
        <f t="shared" si="61"/>
        <v>Puedo hacerlo con dificultad</v>
      </c>
      <c r="AC237" t="str">
        <f t="shared" si="62"/>
        <v>No puedo hacerlo</v>
      </c>
      <c r="AD237" s="9" t="str">
        <f t="shared" si="63"/>
        <v>Puedo hacerlo sin ayuda</v>
      </c>
      <c r="AE237" t="str">
        <f t="shared" si="64"/>
        <v>No puedo hacerlo</v>
      </c>
      <c r="AF237" s="9" t="str">
        <f t="shared" si="65"/>
        <v>Comunicación;Liderazgo</v>
      </c>
      <c r="AG237" s="9" t="str">
        <f t="shared" si="66"/>
        <v>Costos de transporte;Distancia</v>
      </c>
      <c r="AH237" t="str">
        <f t="shared" si="67"/>
        <v>No conozco ninguno</v>
      </c>
      <c r="AI237" s="9" t="str">
        <f t="shared" si="68"/>
        <v>Virtual</v>
      </c>
      <c r="AJ237" s="9" t="str">
        <f t="shared" si="69"/>
        <v>Diurno</v>
      </c>
      <c r="AK237" s="9" t="str">
        <f t="shared" si="70"/>
        <v>WhatsApp</v>
      </c>
    </row>
    <row r="238" spans="1:37">
      <c r="A238" t="str">
        <f t="shared" si="71"/>
        <v>SG237</v>
      </c>
      <c r="B238" t="s">
        <v>418</v>
      </c>
      <c r="C238" s="9" t="s">
        <v>427</v>
      </c>
      <c r="D238" t="str">
        <f t="shared" si="54"/>
        <v>Femenino</v>
      </c>
      <c r="E238" t="str">
        <f t="shared" si="55"/>
        <v>De 20 a 22 años</v>
      </c>
      <c r="F238">
        <f t="shared" si="56"/>
        <v>21</v>
      </c>
      <c r="G238" s="9" t="s">
        <v>428</v>
      </c>
      <c r="H238" s="9" t="str">
        <f t="shared" si="57"/>
        <v>Bachiller</v>
      </c>
      <c r="I238" s="9" t="str">
        <f t="shared" si="58"/>
        <v>Trabajo actualmente como empleado</v>
      </c>
      <c r="J238" s="13" t="str">
        <f>IF(I238="Trabajo actualmente como empleado",IF(MOD((COUNTIF($I$2:I238,"Trabajo actualmente como empleado")-1)*37,150)&lt;100,"Empleado con contrato","Empleado sin contrato formal"),IF(I238="Trabajo de manera independiente","Trabajo independiente",""))</f>
        <v>Empleado con contrato</v>
      </c>
      <c r="K238" s="9" t="str">
        <f>IF(OR(I238="Trabajo actualmente como empleado",I238="Trabajo de manera independiente"),CHOOSE(MOD(COUNTIF($I$2:I238,I238)-1,4)+1,"Menos de 3 meses","De 3 a 6 meses","De 7 a 12 meses","Más de un año"),"")</f>
        <v>Más de un año</v>
      </c>
      <c r="L238" t="str">
        <f>IF(OR(I238="Trabajo actualmente como empleado",I238="Trabajo de manera independiente"),CHOOSE(MOD(COUNTIF($I$2:I238,I238)-1,3)+1,"Sí, completamente","Parcialmente","No"),"")</f>
        <v>Sí, completamente</v>
      </c>
      <c r="M238" t="str">
        <f>IF(OR(I238="Trabajo actualmente como empleado",I238="Trabajo de manera independiente"),CHOOSE(MOD(INT((COUNTIF($I$2:I238,I238)-1)/3),4)+1,"1- Muy satisfecho/a","2- Satisfecho/a","3- Insatisfecho/a","4- Muy insatisfecho/a"),"")</f>
        <v>2- Satisfecho/a</v>
      </c>
      <c r="N238" t="str">
        <f>IF(OR(I238="Trabajo actualmente como empleado",I238="Trabajo de manera independiente"),_xlfn.LET(_xlpm.opcion,MOD(INT((COUNTIF($I$2:I238,I238)-1)/5),6)+1,CHOOSE(IF(AND(_xlpm.opcion=6,L238="Sí, completamente"),5,_xlpm.opcion),"Salario","Estabilidad laboral","Horario","Acceso a prestaciones","Oportunidades de crecimiento","Trabajar en un área relacionada con mi formación")),"")</f>
        <v>Acceso a prestaciones</v>
      </c>
      <c r="O238" s="9" t="str">
        <f>IF(OR(I238="Trabajo actualmente como empleado",I238="Trabajo de manera independiente"),_xlfn.LET(_xlpm.turno,MOD(COUNTIF($I$2:I238,I238)-1,5),_xlpm.nivel,VALUE(LEFT(M238,1)),IF(_xlpm.turno=4,"No estoy seguro/a",IF(_xlpm.turno&lt;IF(_xlpm.nivel&lt;=2,1,3),"Sí","No"))),"")</f>
        <v>Sí</v>
      </c>
      <c r="P238" s="9" t="str">
        <f>_xlfn.LET(_xlpm.perfil,I238,_xlpm.turno,COUNTIF($I$2:I238,_xlpm.perfil)-1,_xlpm.busca,OR(_xlpm.perfil="Actualmente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trabajar"),IF(AND(_xlpm.trabaja,O238="No"),"Todavía no he iniciado una búsqueda activa",CHOOSE(MOD(_xlpm.turno*3,5)+1,"Menos de 1 mes","Entre 1 y 3 meses","Entre 4 y 6 meses","Más de 6 meses","Todavía no he iniciado una búsqueda activa")),"")))</f>
        <v>Menos de 1 mes</v>
      </c>
      <c r="Q238" t="str">
        <f>IF(I238="Tengo un emprendimiento o quiero iniciar uno","",CHOOSE(MOD(INT((COUNTIF($I$2:I238,I238)-1)/7),3)+1,"Sí","No","Tengo una pero necesito actualizarla"))</f>
        <v>No</v>
      </c>
      <c r="R238" s="9" t="str">
        <f>IF(I238="Tengo un emprendimiento o quiero iniciar uno","",IF(I238="Busco mi primer empleo","No",IF(MOD(COUNTIF($I$2:I238,I238)-1,2)=0,"Sí","No")))</f>
        <v>No</v>
      </c>
      <c r="S238" t="str">
        <f>IF(I238="Tengo un emprendimiento o quiero iniciar uno","",CHOOSE(MOD(INT((COUNTIF($I$2:I238,I238)-1)/3),10)+1,"Portales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38" t="str">
        <f>IF(I238="Tengo un emprendimiento o quiero iniciar uno","",_xlfn.LET(_xlpm.opcion,MOD(INT((COUNTIF($I$2:I238,I238)-1)/4),6)+1,CHOOSE(IF(AND(_xlpm.opcion=3,Q238="Sí"),1,_xlpm.opcion),"Falta de experiencia","Falta de formación","Dificultades con la hoja de vida","Horarios disponibles","Transporte","Internet")))</f>
        <v>Falta de experiencia</v>
      </c>
      <c r="U238" s="9" t="str">
        <f>IF(I238="Tengo un emprendimiento o quiero iniciar uno","",IF(MOD(INT((COUNTIF($I$2:I238,I238)-1)/3),2)=0,"Sí","No"))</f>
        <v>No</v>
      </c>
      <c r="V238" s="9" t="str">
        <f>IF(I238="Tengo un emprendimiento o quiero iniciar uno",CHOOSE(MOD(COUNTIF($I$2:I238,I238)-1,3)+1,"Tengo un emprendimiento","Estoy iniciando un emprendimiento","Me interesa emprender"),"")</f>
        <v/>
      </c>
      <c r="W238" t="str">
        <f t="shared" si="59"/>
        <v/>
      </c>
      <c r="X238" s="9" t="str">
        <f>IF(I238="Tengo un emprendimiento o quiero iniciar uno",CHOOSE(MOD(COUNTIF($I$2:I238,I238)-1,5)+1,"Falta de financiación","Falta de conocimientos administrativos","Falta de conocimientos financieros","Falta de tiempo","Falta de herramientas"),"")</f>
        <v/>
      </c>
      <c r="Y238" s="9" t="str">
        <f t="shared" si="60"/>
        <v/>
      </c>
      <c r="Z238" t="str">
        <f>IF(I238="Tengo un emprendimiento o quiero iniciar uno",CHOOSE(INT(MOD((COUNTIF($I$2:I238,I238)-1)*7,39)/13)+1,"Sí","No","No conozco programas de ese tipo"),"")</f>
        <v/>
      </c>
      <c r="AA238" t="str">
        <f t="shared" si="61"/>
        <v>No puedo hacerlo</v>
      </c>
      <c r="AB238" t="str">
        <f t="shared" si="61"/>
        <v>No puedo hacerlo</v>
      </c>
      <c r="AC238" t="str">
        <f t="shared" si="62"/>
        <v>Puedo hacerlo con dificultad</v>
      </c>
      <c r="AD238" s="9" t="str">
        <f t="shared" si="63"/>
        <v>No puedo hacerlo</v>
      </c>
      <c r="AE238" t="str">
        <f t="shared" si="64"/>
        <v>Puedo hacerlo con ayuda</v>
      </c>
      <c r="AF238" s="9" t="str">
        <f t="shared" si="65"/>
        <v>Herramientas digitales;Educación financiera</v>
      </c>
      <c r="AG238" s="9" t="str">
        <f t="shared" si="66"/>
        <v>Costos de transporte;Distancia</v>
      </c>
      <c r="AH238" t="str">
        <f t="shared" si="67"/>
        <v>Oficina de orientación laboral</v>
      </c>
      <c r="AI238" s="9" t="str">
        <f t="shared" si="68"/>
        <v>Presencial y virtual</v>
      </c>
      <c r="AJ238" s="9" t="str">
        <f t="shared" si="69"/>
        <v>Mañana entre semana</v>
      </c>
      <c r="AK238" s="9" t="str">
        <f t="shared" si="70"/>
        <v>Correo electrónico</v>
      </c>
    </row>
    <row r="239" spans="1:37">
      <c r="A239" t="str">
        <f t="shared" si="71"/>
        <v>SG238</v>
      </c>
      <c r="B239" t="s">
        <v>418</v>
      </c>
      <c r="C239" s="9" t="s">
        <v>427</v>
      </c>
      <c r="D239" t="str">
        <f t="shared" si="54"/>
        <v>Femenino</v>
      </c>
      <c r="E239" t="str">
        <f t="shared" si="55"/>
        <v>De 22 a 24 años</v>
      </c>
      <c r="F239">
        <f t="shared" si="56"/>
        <v>23</v>
      </c>
      <c r="G239" s="9" t="s">
        <v>428</v>
      </c>
      <c r="H239" s="9" t="str">
        <f t="shared" si="57"/>
        <v>Bachiller</v>
      </c>
      <c r="I239" s="9" t="str">
        <f t="shared" si="58"/>
        <v>Actualmente no trabajo y estoy buscando empleo</v>
      </c>
      <c r="J239" s="13" t="str">
        <f>IF(I239="Trabajo actualmente como empleado",IF(MOD((COUNTIF($I$2:I239,"Trabajo actualmente como empleado")-1)*37,150)&lt;100,"Empleado con contrato","Empleado sin contrato formal"),IF(I239="Trabajo de manera independiente","Trabajo independiente",""))</f>
        <v/>
      </c>
      <c r="K239" s="9" t="str">
        <f>IF(OR(I239="Trabajo actualmente como empleado",I239="Trabajo de manera independiente"),CHOOSE(MOD(COUNTIF($I$2:I239,I239)-1,4)+1,"Menos de 3 meses","De 3 a 6 meses","De 7 a 12 meses","Más de un año"),"")</f>
        <v/>
      </c>
      <c r="L239" t="str">
        <f>IF(OR(I239="Trabajo actualmente como empleado",I239="Trabajo de manera independiente"),CHOOSE(MOD(COUNTIF($I$2:I239,I239)-1,3)+1,"Sí, completamente","Parcialmente","No"),"")</f>
        <v/>
      </c>
      <c r="M239" t="str">
        <f>IF(OR(I239="Trabajo actualmente como empleado",I239="Trabajo de manera independiente"),CHOOSE(MOD(INT((COUNTIF($I$2:I239,I239)-1)/3),4)+1,"1- Muy satisfecho/a","2- Satisfecho/a","3- Insatisfecho/a","4- Muy insatisfecho/a"),"")</f>
        <v/>
      </c>
      <c r="N239" t="str">
        <f>IF(OR(I239="Trabajo actualmente como empleado",I239="Trabajo de manera independiente"),_xlfn.LET(_xlpm.opcion,MOD(INT((COUNTIF($I$2:I239,I239)-1)/5),6)+1,CHOOSE(IF(AND(_xlpm.opcion=6,L239="Sí, completamente"),5,_xlpm.opcion),"Salario","Estabilidad laboral","Horario","Acceso a prestaciones","Oportunidades de crecimiento","Trabajar en un área relacionada con mi formación")),"")</f>
        <v/>
      </c>
      <c r="O239" s="9" t="str">
        <f>IF(OR(I239="Trabajo actualmente como empleado",I239="Trabajo de manera independiente"),_xlfn.LET(_xlpm.turno,MOD(COUNTIF($I$2:I239,I239)-1,5),_xlpm.nivel,VALUE(LEFT(M239,1)),IF(_xlpm.turno=4,"No estoy seguro/a",IF(_xlpm.turno&lt;IF(_xlpm.nivel&lt;=2,1,3),"Sí","No"))),"")</f>
        <v/>
      </c>
      <c r="P239" s="9" t="str">
        <f>_xlfn.LET(_xlpm.perfil,I239,_xlpm.turno,COUNTIF($I$2:I239,_xlpm.perfil)-1,_xlpm.busca,OR(_xlpm.perfil="Actualmente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trabajar"),IF(AND(_xlpm.trabaja,O239="No"),"Todavía no he iniciado una búsqueda activa",CHOOSE(MOD(_xlpm.turno*3,5)+1,"Menos de 1 mes","Entre 1 y 3 meses","Entre 4 y 6 meses","Más de 6 meses","Todavía no he iniciado una búsqueda activa")),"")))</f>
        <v>Entre 4 y 6 meses</v>
      </c>
      <c r="Q239" t="str">
        <f>IF(I239="Tengo un emprendimiento o quiero iniciar uno","",CHOOSE(MOD(INT((COUNTIF($I$2:I239,I239)-1)/7),3)+1,"Sí","No","Tengo una pero necesito actualizarla"))</f>
        <v>Sí</v>
      </c>
      <c r="R239" s="9" t="str">
        <f>IF(I239="Tengo un emprendimiento o quiero iniciar uno","",IF(I239="Busco mi primer empleo","No",IF(MOD(COUNTIF($I$2:I239,I239)-1,2)=0,"Sí","No")))</f>
        <v>Sí</v>
      </c>
      <c r="S239" t="str">
        <f>IF(I239="Tengo un emprendimiento o quiero iniciar uno","",CHOOSE(MOD(INT((COUNTIF($I$2:I239,I239)-1)/3),10)+1,"Portales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39" t="str">
        <f>IF(I239="Tengo un emprendimiento o quiero iniciar uno","",_xlfn.LET(_xlpm.opcion,MOD(INT((COUNTIF($I$2:I239,I239)-1)/4),6)+1,CHOOSE(IF(AND(_xlpm.opcion=3,Q239="Sí"),1,_xlpm.opcion),"Falta de experiencia","Falta de formación","Dificultades con la hoja de vida","Horarios disponibles","Transporte","Internet")))</f>
        <v>Transporte</v>
      </c>
      <c r="U239" s="9" t="str">
        <f>IF(I239="Tengo un emprendimiento o quiero iniciar uno","",IF(MOD(INT((COUNTIF($I$2:I239,I239)-1)/3),2)=0,"Sí","No"))</f>
        <v>Sí</v>
      </c>
      <c r="V239" s="9" t="str">
        <f>IF(I239="Tengo un emprendimiento o quiero iniciar uno",CHOOSE(MOD(COUNTIF($I$2:I239,I239)-1,3)+1,"Tengo un emprendimiento","Estoy iniciando un emprendimiento","Me interesa emprender"),"")</f>
        <v/>
      </c>
      <c r="W239" t="str">
        <f t="shared" si="59"/>
        <v/>
      </c>
      <c r="X239" s="9" t="str">
        <f>IF(I239="Tengo un emprendimiento o quiero iniciar uno",CHOOSE(MOD(COUNTIF($I$2:I239,I239)-1,5)+1,"Falta de financiación","Falta de conocimientos administrativos","Falta de conocimientos financieros","Falta de tiempo","Falta de herramientas"),"")</f>
        <v/>
      </c>
      <c r="Y239" s="9" t="str">
        <f t="shared" si="60"/>
        <v/>
      </c>
      <c r="Z239" t="str">
        <f>IF(I239="Tengo un emprendimiento o quiero iniciar uno",CHOOSE(INT(MOD((COUNTIF($I$2:I239,I239)-1)*7,39)/13)+1,"Sí","No","No conozco programas de ese tipo"),"")</f>
        <v/>
      </c>
      <c r="AA239" t="str">
        <f t="shared" si="61"/>
        <v>Puedo hacerlo con dificultad</v>
      </c>
      <c r="AB239" t="str">
        <f t="shared" si="61"/>
        <v>Puedo hacerlo con dificultad</v>
      </c>
      <c r="AC239" t="str">
        <f t="shared" si="62"/>
        <v>Puedo hacerlo sin ayuda</v>
      </c>
      <c r="AD239" s="9" t="str">
        <f t="shared" si="63"/>
        <v>Puedo hacerlo con ayuda</v>
      </c>
      <c r="AE239" t="str">
        <f t="shared" si="64"/>
        <v>Puedo hacerlo con ayuda</v>
      </c>
      <c r="AF239" s="9" t="str">
        <f t="shared" si="65"/>
        <v>Crear una hoja de vida</v>
      </c>
      <c r="AG239" s="9" t="str">
        <f t="shared" si="66"/>
        <v>Falta de información</v>
      </c>
      <c r="AH239" t="str">
        <f t="shared" si="67"/>
        <v>Programas de emprendimiento</v>
      </c>
      <c r="AI239" s="9" t="str">
        <f t="shared" si="68"/>
        <v>Me es indiferente</v>
      </c>
      <c r="AJ239" s="9" t="str">
        <f t="shared" si="69"/>
        <v>Fines de semana</v>
      </c>
      <c r="AK239" s="9" t="str">
        <f t="shared" si="70"/>
        <v>Celular</v>
      </c>
    </row>
    <row r="240" spans="1:37">
      <c r="A240" t="str">
        <f t="shared" si="71"/>
        <v>SG239</v>
      </c>
      <c r="B240" t="s">
        <v>418</v>
      </c>
      <c r="C240" s="9" t="s">
        <v>427</v>
      </c>
      <c r="D240" t="str">
        <f t="shared" si="54"/>
        <v>Masculino</v>
      </c>
      <c r="E240" t="str">
        <f t="shared" si="55"/>
        <v>De 24 a 26 años</v>
      </c>
      <c r="F240">
        <f t="shared" si="56"/>
        <v>25</v>
      </c>
      <c r="G240" s="9" t="s">
        <v>428</v>
      </c>
      <c r="H240" s="9" t="str">
        <f t="shared" si="57"/>
        <v>Bachiller</v>
      </c>
      <c r="I240" s="9" t="str">
        <f t="shared" si="58"/>
        <v>Tengo un emprendimiento o quiero iniciar uno</v>
      </c>
      <c r="J240" s="13" t="str">
        <f>IF(I240="Trabajo actualmente como empleado",IF(MOD((COUNTIF($I$2:I240,"Trabajo actualmente como empleado")-1)*37,150)&lt;100,"Empleado con contrato","Empleado sin contrato formal"),IF(I240="Trabajo de manera independiente","Trabajo independiente",""))</f>
        <v/>
      </c>
      <c r="K240" s="9" t="str">
        <f>IF(OR(I240="Trabajo actualmente como empleado",I240="Trabajo de manera independiente"),CHOOSE(MOD(COUNTIF($I$2:I240,I240)-1,4)+1,"Menos de 3 meses","De 3 a 6 meses","De 7 a 12 meses","Más de un año"),"")</f>
        <v/>
      </c>
      <c r="L240" t="str">
        <f>IF(OR(I240="Trabajo actualmente como empleado",I240="Trabajo de manera independiente"),CHOOSE(MOD(COUNTIF($I$2:I240,I240)-1,3)+1,"Sí, completamente","Parcialmente","No"),"")</f>
        <v/>
      </c>
      <c r="M240" t="str">
        <f>IF(OR(I240="Trabajo actualmente como empleado",I240="Trabajo de manera independiente"),CHOOSE(MOD(INT((COUNTIF($I$2:I240,I240)-1)/3),4)+1,"1- Muy satisfecho/a","2- Satisfecho/a","3- Insatisfecho/a","4- Muy insatisfecho/a"),"")</f>
        <v/>
      </c>
      <c r="N240" t="str">
        <f>IF(OR(I240="Trabajo actualmente como empleado",I240="Trabajo de manera independiente"),_xlfn.LET(_xlpm.opcion,MOD(INT((COUNTIF($I$2:I240,I240)-1)/5),6)+1,CHOOSE(IF(AND(_xlpm.opcion=6,L240="Sí, completamente"),5,_xlpm.opcion),"Salario","Estabilidad laboral","Horario","Acceso a prestaciones","Oportunidades de crecimiento","Trabajar en un área relacionada con mi formación")),"")</f>
        <v/>
      </c>
      <c r="O240" s="9" t="str">
        <f>IF(OR(I240="Trabajo actualmente como empleado",I240="Trabajo de manera independiente"),_xlfn.LET(_xlpm.turno,MOD(COUNTIF($I$2:I240,I240)-1,5),_xlpm.nivel,VALUE(LEFT(M240,1)),IF(_xlpm.turno=4,"No estoy seguro/a",IF(_xlpm.turno&lt;IF(_xlpm.nivel&lt;=2,1,3),"Sí","No"))),"")</f>
        <v/>
      </c>
      <c r="P240" s="9" t="str">
        <f>_xlfn.LET(_xlpm.perfil,I240,_xlpm.turno,COUNTIF($I$2:I240,_xlpm.perfil)-1,_xlpm.busca,OR(_xlpm.perfil="Actualmente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trabajar"),IF(AND(_xlpm.trabaja,O240="No"),"Todavía no he iniciado una búsqueda activa",CHOOSE(MOD(_xlpm.turno*3,5)+1,"Menos de 1 mes","Entre 1 y 3 meses","Entre 4 y 6 meses","Más de 6 meses","Todavía no he iniciado una búsqueda activa")),"")))</f>
        <v/>
      </c>
      <c r="Q240" t="str">
        <f>IF(I240="Tengo un emprendimiento o quiero iniciar uno","",CHOOSE(MOD(INT((COUNTIF($I$2:I240,I240)-1)/7),3)+1,"Sí","No","Tengo una pero necesito actualizarla"))</f>
        <v/>
      </c>
      <c r="R240" s="9" t="str">
        <f>IF(I240="Tengo un emprendimiento o quiero iniciar uno","",IF(I240="Busco mi primer empleo","No",IF(MOD(COUNTIF($I$2:I240,I240)-1,2)=0,"Sí","No")))</f>
        <v/>
      </c>
      <c r="S240" t="str">
        <f>IF(I240="Tengo un emprendimiento o quiero iniciar uno","",CHOOSE(MOD(INT((COUNTIF($I$2:I240,I240)-1)/3),10)+1,"Portales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40" t="str">
        <f>IF(I240="Tengo un emprendimiento o quiero iniciar uno","",_xlfn.LET(_xlpm.opcion,MOD(INT((COUNTIF($I$2:I240,I240)-1)/4),6)+1,CHOOSE(IF(AND(_xlpm.opcion=3,Q240="Sí"),1,_xlpm.opcion),"Falta de experiencia","Falta de formación","Dificultades con la hoja de vida","Horarios disponibles","Transporte","Internet")))</f>
        <v/>
      </c>
      <c r="U240" s="9" t="str">
        <f>IF(I240="Tengo un emprendimiento o quiero iniciar uno","",IF(MOD(INT((COUNTIF($I$2:I240,I240)-1)/3),2)=0,"Sí","No"))</f>
        <v/>
      </c>
      <c r="V240" s="9" t="str">
        <f>IF(I240="Tengo un emprendimiento o quiero iniciar uno",CHOOSE(MOD(COUNTIF($I$2:I240,I240)-1,3)+1,"Tengo un emprendimiento","Estoy iniciando un emprendimiento","Me interesa emprender"),"")</f>
        <v>Estoy iniciando un emprendimiento</v>
      </c>
      <c r="W240" t="str">
        <f t="shared" si="59"/>
        <v>Inicio</v>
      </c>
      <c r="X240" s="9" t="str">
        <f>IF(I240="Tengo un emprendimiento o quiero iniciar uno",CHOOSE(MOD(COUNTIF($I$2:I240,I240)-1,5)+1,"Falta de financiación","Falta de conocimientos administrativos","Falta de conocimientos financieros","Falta de tiempo","Falta de herramientas"),"")</f>
        <v>Falta de herramientas</v>
      </c>
      <c r="Y240" s="9" t="str">
        <f t="shared" si="60"/>
        <v>Falta de herramientas</v>
      </c>
      <c r="Z240" t="str">
        <f>IF(I240="Tengo un emprendimiento o quiero iniciar uno",CHOOSE(INT(MOD((COUNTIF($I$2:I240,I240)-1)*7,39)/13)+1,"Sí","No","No conozco programas de ese tipo"),"")</f>
        <v>No</v>
      </c>
      <c r="AA240" t="str">
        <f t="shared" si="61"/>
        <v>Puedo hacerlo sin ayuda</v>
      </c>
      <c r="AB240" t="str">
        <f t="shared" si="61"/>
        <v>Puedo hacerlo sin ayuda</v>
      </c>
      <c r="AC240" t="str">
        <f t="shared" si="62"/>
        <v>No puedo hacerlo</v>
      </c>
      <c r="AD240" s="9" t="str">
        <f t="shared" si="63"/>
        <v>Puedo hacerlo con ayuda</v>
      </c>
      <c r="AE240" t="str">
        <f t="shared" si="64"/>
        <v>Puedo hacerlo con dificultad</v>
      </c>
      <c r="AF240" s="9" t="str">
        <f t="shared" si="65"/>
        <v>Preparación para entrevista</v>
      </c>
      <c r="AG240" s="9" t="str">
        <f t="shared" si="66"/>
        <v>Falta de información</v>
      </c>
      <c r="AH240" t="str">
        <f t="shared" si="67"/>
        <v>Oficina de orientación laboral</v>
      </c>
      <c r="AI240" s="9" t="str">
        <f t="shared" si="68"/>
        <v>Virtual</v>
      </c>
      <c r="AJ240" s="9" t="str">
        <f t="shared" si="69"/>
        <v>Diurno</v>
      </c>
      <c r="AK240" s="9" t="str">
        <f t="shared" si="70"/>
        <v>WhatsApp</v>
      </c>
    </row>
    <row r="241" spans="1:37">
      <c r="A241" t="str">
        <f t="shared" si="71"/>
        <v>SG240</v>
      </c>
      <c r="B241" t="s">
        <v>418</v>
      </c>
      <c r="C241" s="9" t="s">
        <v>427</v>
      </c>
      <c r="D241" t="str">
        <f t="shared" si="54"/>
        <v>Masculino</v>
      </c>
      <c r="E241" t="str">
        <f t="shared" si="55"/>
        <v>De 26 a 28 años</v>
      </c>
      <c r="F241">
        <f t="shared" si="56"/>
        <v>28</v>
      </c>
      <c r="G241" s="9" t="s">
        <v>428</v>
      </c>
      <c r="H241" s="9" t="str">
        <f t="shared" si="57"/>
        <v>Tecnólogo</v>
      </c>
      <c r="I241" s="9" t="str">
        <f t="shared" si="58"/>
        <v>Trabajo de manera independiente</v>
      </c>
      <c r="J241" s="13" t="str">
        <f>IF(I241="Trabajo actualmente como empleado",IF(MOD((COUNTIF($I$2:I241,"Trabajo actualmente como empleado")-1)*37,150)&lt;100,"Empleado con contrato","Empleado sin contrato formal"),IF(I241="Trabajo de manera independiente","Trabajo independiente",""))</f>
        <v>Trabajo independiente</v>
      </c>
      <c r="K241" s="9" t="str">
        <f>IF(OR(I241="Trabajo actualmente como empleado",I241="Trabajo de manera independiente"),CHOOSE(MOD(COUNTIF($I$2:I241,I241)-1,4)+1,"Menos de 3 meses","De 3 a 6 meses","De 7 a 12 meses","Más de un año"),"")</f>
        <v>Menos de 3 meses</v>
      </c>
      <c r="L241" t="str">
        <f>IF(OR(I241="Trabajo actualmente como empleado",I241="Trabajo de manera independiente"),CHOOSE(MOD(COUNTIF($I$2:I241,I241)-1,3)+1,"Sí, completamente","Parcialmente","No"),"")</f>
        <v>Parcialmente</v>
      </c>
      <c r="M241" t="str">
        <f>IF(OR(I241="Trabajo actualmente como empleado",I241="Trabajo de manera independiente"),CHOOSE(MOD(INT((COUNTIF($I$2:I241,I241)-1)/3),4)+1,"1- Muy satisfecho/a","2- Satisfecho/a","3- Insatisfecho/a","4- Muy insatisfecho/a"),"")</f>
        <v>2- Satisfecho/a</v>
      </c>
      <c r="N241" t="str">
        <f>IF(OR(I241="Trabajo actualmente como empleado",I241="Trabajo de manera independiente"),_xlfn.LET(_xlpm.opcion,MOD(INT((COUNTIF($I$2:I241,I241)-1)/5),6)+1,CHOOSE(IF(AND(_xlpm.opcion=6,L241="Sí, completamente"),5,_xlpm.opcion),"Salario","Estabilidad laboral","Horario","Acceso a prestaciones","Oportunidades de crecimiento","Trabajar en un área relacionada con mi formación")),"")</f>
        <v>Horario</v>
      </c>
      <c r="O241" s="9" t="str">
        <f>IF(OR(I241="Trabajo actualmente como empleado",I241="Trabajo de manera independiente"),_xlfn.LET(_xlpm.turno,MOD(COUNTIF($I$2:I241,I241)-1,5),_xlpm.nivel,VALUE(LEFT(M241,1)),IF(_xlpm.turno=4,"No estoy seguro/a",IF(_xlpm.turno&lt;IF(_xlpm.nivel&lt;=2,1,3),"Sí","No"))),"")</f>
        <v>Sí</v>
      </c>
      <c r="P241" s="9" t="str">
        <f>_xlfn.LET(_xlpm.perfil,I241,_xlpm.turno,COUNTIF($I$2:I241,_xlpm.perfil)-1,_xlpm.busca,OR(_xlpm.perfil="Actualmente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trabajar"),IF(AND(_xlpm.trabaja,O241="No"),"Todavía no he iniciado una búsqueda activa",CHOOSE(MOD(_xlpm.turno*3,5)+1,"Menos de 1 mes","Entre 1 y 3 meses","Entre 4 y 6 meses","Más de 6 meses","Todavía no he iniciado una búsqueda activa")),"")))</f>
        <v>Menos de 1 mes</v>
      </c>
      <c r="Q241" t="str">
        <f>IF(I241="Tengo un emprendimiento o quiero iniciar uno","",CHOOSE(MOD(INT((COUNTIF($I$2:I241,I241)-1)/7),3)+1,"Sí","No","Tengo una pero necesito actualizarla"))</f>
        <v>Tengo una pero necesito actualizarla</v>
      </c>
      <c r="R241" s="9" t="str">
        <f>IF(I241="Tengo un emprendimiento o quiero iniciar uno","",IF(I241="Busco mi primer empleo","No",IF(MOD(COUNTIF($I$2:I241,I241)-1,2)=0,"Sí","No")))</f>
        <v>Sí</v>
      </c>
      <c r="S241" t="str">
        <f>IF(I241="Tengo un emprendimiento o quiero iniciar uno","",CHOOSE(MOD(INT((COUNTIF($I$2:I241,I241)-1)/3),10)+1,"Portales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41" t="str">
        <f>IF(I241="Tengo un emprendimiento o quiero iniciar uno","",_xlfn.LET(_xlpm.opcion,MOD(INT((COUNTIF($I$2:I241,I241)-1)/4),6)+1,CHOOSE(IF(AND(_xlpm.opcion=3,Q241="Sí"),1,_xlpm.opcion),"Falta de experiencia","Falta de formación","Dificultades con la hoja de vida","Horarios disponibles","Transporte","Internet")))</f>
        <v>Transporte</v>
      </c>
      <c r="U241" s="9" t="str">
        <f>IF(I241="Tengo un emprendimiento o quiero iniciar uno","",IF(MOD(INT((COUNTIF($I$2:I241,I241)-1)/3),2)=0,"Sí","No"))</f>
        <v>No</v>
      </c>
      <c r="V241" s="9" t="str">
        <f>IF(I241="Tengo un emprendimiento o quiero iniciar uno",CHOOSE(MOD(COUNTIF($I$2:I241,I241)-1,3)+1,"Tengo un emprendimiento","Estoy iniciando un emprendimiento","Me interesa emprender"),"")</f>
        <v/>
      </c>
      <c r="W241" t="str">
        <f t="shared" si="59"/>
        <v/>
      </c>
      <c r="X241" s="9" t="str">
        <f>IF(I241="Tengo un emprendimiento o quiero iniciar uno",CHOOSE(MOD(COUNTIF($I$2:I241,I241)-1,5)+1,"Falta de financiación","Falta de conocimientos administrativos","Falta de conocimientos financieros","Falta de tiempo","Falta de herramientas"),"")</f>
        <v/>
      </c>
      <c r="Y241" s="9" t="str">
        <f t="shared" si="60"/>
        <v/>
      </c>
      <c r="Z241" t="str">
        <f>IF(I241="Tengo un emprendimiento o quiero iniciar uno",CHOOSE(INT(MOD((COUNTIF($I$2:I241,I241)-1)*7,39)/13)+1,"Sí","No","No conozco programas de ese tipo"),"")</f>
        <v/>
      </c>
      <c r="AA241" t="str">
        <f t="shared" si="61"/>
        <v>Puedo hacerlo con ayuda</v>
      </c>
      <c r="AB241" t="str">
        <f t="shared" si="61"/>
        <v>Puedo hacerlo con ayuda</v>
      </c>
      <c r="AC241" t="str">
        <f t="shared" si="62"/>
        <v>Puedo hacerlo con dificultad</v>
      </c>
      <c r="AD241" s="9" t="str">
        <f t="shared" si="63"/>
        <v>Puedo hacerlo con dificultad</v>
      </c>
      <c r="AE241" t="str">
        <f t="shared" si="64"/>
        <v>Puedo hacerlo sin ayuda</v>
      </c>
      <c r="AF241" s="9" t="str">
        <f t="shared" si="65"/>
        <v>Comunicación</v>
      </c>
      <c r="AG241" s="9" t="str">
        <f t="shared" si="66"/>
        <v>Falta de información</v>
      </c>
      <c r="AH241" t="str">
        <f t="shared" si="67"/>
        <v>Ferias de empleo</v>
      </c>
      <c r="AI241" s="9" t="str">
        <f t="shared" si="68"/>
        <v>Presencial y virtual</v>
      </c>
      <c r="AJ241" s="9" t="str">
        <f t="shared" si="69"/>
        <v>Mañana entre semana</v>
      </c>
      <c r="AK241" s="9" t="str">
        <f t="shared" si="70"/>
        <v>Redes sociales</v>
      </c>
    </row>
    <row r="242" spans="1:37">
      <c r="A242" t="str">
        <f t="shared" si="71"/>
        <v>SG241</v>
      </c>
      <c r="B242" t="s">
        <v>418</v>
      </c>
      <c r="C242" s="9" t="s">
        <v>427</v>
      </c>
      <c r="D242" t="str">
        <f t="shared" si="54"/>
        <v>Femenino</v>
      </c>
      <c r="E242" t="str">
        <f t="shared" si="55"/>
        <v>De 18 a 20 años</v>
      </c>
      <c r="F242">
        <f t="shared" si="56"/>
        <v>18</v>
      </c>
      <c r="G242" s="9" t="s">
        <v>428</v>
      </c>
      <c r="H242" s="9" t="str">
        <f t="shared" si="57"/>
        <v>Bachiller</v>
      </c>
      <c r="I242" s="9" t="str">
        <f t="shared" si="58"/>
        <v>Busco mi primer empleo</v>
      </c>
      <c r="J242" s="13" t="str">
        <f>IF(I242="Trabajo actualmente como empleado",IF(MOD((COUNTIF($I$2:I242,"Trabajo actualmente como empleado")-1)*37,150)&lt;100,"Empleado con contrato","Empleado sin contrato formal"),IF(I242="Trabajo de manera independiente","Trabajo independiente",""))</f>
        <v/>
      </c>
      <c r="K242" s="9" t="str">
        <f>IF(OR(I242="Trabajo actualmente como empleado",I242="Trabajo de manera independiente"),CHOOSE(MOD(COUNTIF($I$2:I242,I242)-1,4)+1,"Menos de 3 meses","De 3 a 6 meses","De 7 a 12 meses","Más de un año"),"")</f>
        <v/>
      </c>
      <c r="L242" t="str">
        <f>IF(OR(I242="Trabajo actualmente como empleado",I242="Trabajo de manera independiente"),CHOOSE(MOD(COUNTIF($I$2:I242,I242)-1,3)+1,"Sí, completamente","Parcialmente","No"),"")</f>
        <v/>
      </c>
      <c r="M242" t="str">
        <f>IF(OR(I242="Trabajo actualmente como empleado",I242="Trabajo de manera independiente"),CHOOSE(MOD(INT((COUNTIF($I$2:I242,I242)-1)/3),4)+1,"1- Muy satisfecho/a","2- Satisfecho/a","3- Insatisfecho/a","4- Muy insatisfecho/a"),"")</f>
        <v/>
      </c>
      <c r="N242" t="str">
        <f>IF(OR(I242="Trabajo actualmente como empleado",I242="Trabajo de manera independiente"),_xlfn.LET(_xlpm.opcion,MOD(INT((COUNTIF($I$2:I242,I242)-1)/5),6)+1,CHOOSE(IF(AND(_xlpm.opcion=6,L242="Sí, completamente"),5,_xlpm.opcion),"Salario","Estabilidad laboral","Horario","Acceso a prestaciones","Oportunidades de crecimiento","Trabajar en un área relacionada con mi formación")),"")</f>
        <v/>
      </c>
      <c r="O242" s="9" t="str">
        <f>IF(OR(I242="Trabajo actualmente como empleado",I242="Trabajo de manera independiente"),_xlfn.LET(_xlpm.turno,MOD(COUNTIF($I$2:I242,I242)-1,5),_xlpm.nivel,VALUE(LEFT(M242,1)),IF(_xlpm.turno=4,"No estoy seguro/a",IF(_xlpm.turno&lt;IF(_xlpm.nivel&lt;=2,1,3),"Sí","No"))),"")</f>
        <v/>
      </c>
      <c r="P242" s="9" t="str">
        <f>_xlfn.LET(_xlpm.perfil,I242,_xlpm.turno,COUNTIF($I$2:I242,_xlpm.perfil)-1,_xlpm.busca,OR(_xlpm.perfil="Actualmente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trabajar"),IF(AND(_xlpm.trabaja,O242="No"),"Todavía no he iniciado una búsqueda activa",CHOOSE(MOD(_xlpm.turno*3,5)+1,"Menos de 1 mes","Entre 1 y 3 meses","Entre 4 y 6 meses","Más de 6 meses","Todavía no he iniciado una búsqueda activa")),"")))</f>
        <v>Más de 6 meses</v>
      </c>
      <c r="Q242" t="str">
        <f>IF(I242="Tengo un emprendimiento o quiero iniciar uno","",CHOOSE(MOD(INT((COUNTIF($I$2:I242,I242)-1)/7),3)+1,"Sí","No","Tengo una pero necesito actualizarla"))</f>
        <v>No</v>
      </c>
      <c r="R242" s="9" t="str">
        <f>IF(I242="Tengo un emprendimiento o quiero iniciar uno","",IF(I242="Busco mi primer empleo","No",IF(MOD(COUNTIF($I$2:I242,I242)-1,2)=0,"Sí","No")))</f>
        <v>No</v>
      </c>
      <c r="S242" t="str">
        <f>IF(I242="Tengo un emprendimiento o quiero iniciar uno","",CHOOSE(MOD(INT((COUNTIF($I$2:I242,I242)-1)/3),10)+1,"Portales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42" t="str">
        <f>IF(I242="Tengo un emprendimiento o quiero iniciar uno","",_xlfn.LET(_xlpm.opcion,MOD(INT((COUNTIF($I$2:I242,I242)-1)/4),6)+1,CHOOSE(IF(AND(_xlpm.opcion=3,Q242="Sí"),1,_xlpm.opcion),"Falta de experiencia","Falta de formación","Dificultades con la hoja de vida","Horarios disponibles","Transporte","Internet")))</f>
        <v>Dificultades con la hoja de vida</v>
      </c>
      <c r="U242" s="9" t="str">
        <f>IF(I242="Tengo un emprendimiento o quiero iniciar uno","",IF(MOD(INT((COUNTIF($I$2:I242,I242)-1)/3),2)=0,"Sí","No"))</f>
        <v>No</v>
      </c>
      <c r="V242" s="9" t="str">
        <f>IF(I242="Tengo un emprendimiento o quiero iniciar uno",CHOOSE(MOD(COUNTIF($I$2:I242,I242)-1,3)+1,"Tengo un emprendimiento","Estoy iniciando un emprendimiento","Me interesa emprender"),"")</f>
        <v/>
      </c>
      <c r="W242" t="str">
        <f t="shared" si="59"/>
        <v/>
      </c>
      <c r="X242" s="9" t="str">
        <f>IF(I242="Tengo un emprendimiento o quiero iniciar uno",CHOOSE(MOD(COUNTIF($I$2:I242,I242)-1,5)+1,"Falta de financiación","Falta de conocimientos administrativos","Falta de conocimientos financieros","Falta de tiempo","Falta de herramientas"),"")</f>
        <v/>
      </c>
      <c r="Y242" s="9" t="str">
        <f t="shared" si="60"/>
        <v/>
      </c>
      <c r="Z242" t="str">
        <f>IF(I242="Tengo un emprendimiento o quiero iniciar uno",CHOOSE(INT(MOD((COUNTIF($I$2:I242,I242)-1)*7,39)/13)+1,"Sí","No","No conozco programas de ese tipo"),"")</f>
        <v/>
      </c>
      <c r="AA242" t="str">
        <f t="shared" si="61"/>
        <v>Puedo hacerlo con dificultad</v>
      </c>
      <c r="AB242" t="str">
        <f t="shared" si="61"/>
        <v>Puedo hacerlo con dificultad</v>
      </c>
      <c r="AC242" t="str">
        <f t="shared" si="62"/>
        <v>Puedo hacerlo sin ayuda</v>
      </c>
      <c r="AD242" s="9" t="str">
        <f t="shared" si="63"/>
        <v>Puedo hacerlo sin ayuda</v>
      </c>
      <c r="AE242" t="str">
        <f t="shared" si="64"/>
        <v>Puedo hacerlo sin ayuda</v>
      </c>
      <c r="AF242" s="9" t="str">
        <f t="shared" si="65"/>
        <v>Liderazgo</v>
      </c>
      <c r="AG242" s="9" t="str">
        <f t="shared" si="66"/>
        <v>Horarios</v>
      </c>
      <c r="AH242" t="str">
        <f t="shared" si="67"/>
        <v>No conozco ninguno</v>
      </c>
      <c r="AI242" s="9" t="str">
        <f t="shared" si="68"/>
        <v>Me es indiferente</v>
      </c>
      <c r="AJ242" s="9" t="str">
        <f t="shared" si="69"/>
        <v>Fines de semana</v>
      </c>
      <c r="AK242" s="9" t="str">
        <f t="shared" si="70"/>
        <v>Celular</v>
      </c>
    </row>
    <row r="243" spans="1:37">
      <c r="A243" t="str">
        <f t="shared" si="71"/>
        <v>SG242</v>
      </c>
      <c r="B243" t="s">
        <v>418</v>
      </c>
      <c r="C243" s="9" t="s">
        <v>427</v>
      </c>
      <c r="D243" t="str">
        <f t="shared" si="54"/>
        <v>Femenino</v>
      </c>
      <c r="E243" t="str">
        <f t="shared" si="55"/>
        <v>De 20 a 22 años</v>
      </c>
      <c r="F243">
        <f t="shared" si="56"/>
        <v>20</v>
      </c>
      <c r="G243" s="9" t="s">
        <v>428</v>
      </c>
      <c r="H243" s="9" t="str">
        <f t="shared" si="57"/>
        <v>Técnico</v>
      </c>
      <c r="I243" s="9" t="str">
        <f t="shared" si="58"/>
        <v>Trabajo actualmente como empleado</v>
      </c>
      <c r="J243" s="13" t="str">
        <f>IF(I243="Trabajo actualmente como empleado",IF(MOD((COUNTIF($I$2:I243,"Trabajo actualmente como empleado")-1)*37,150)&lt;100,"Empleado con contrato","Empleado sin contrato formal"),IF(I243="Trabajo de manera independiente","Trabajo independiente",""))</f>
        <v>Empleado sin contrato formal</v>
      </c>
      <c r="K243" s="9" t="str">
        <f>IF(OR(I243="Trabajo actualmente como empleado",I243="Trabajo de manera independiente"),CHOOSE(MOD(COUNTIF($I$2:I243,I243)-1,4)+1,"Menos de 3 meses","De 3 a 6 meses","De 7 a 12 meses","Más de un año"),"")</f>
        <v>Menos de 3 meses</v>
      </c>
      <c r="L243" t="str">
        <f>IF(OR(I243="Trabajo actualmente como empleado",I243="Trabajo de manera independiente"),CHOOSE(MOD(COUNTIF($I$2:I243,I243)-1,3)+1,"Sí, completamente","Parcialmente","No"),"")</f>
        <v>Parcialmente</v>
      </c>
      <c r="M243" t="str">
        <f>IF(OR(I243="Trabajo actualmente como empleado",I243="Trabajo de manera independiente"),CHOOSE(MOD(INT((COUNTIF($I$2:I243,I243)-1)/3),4)+1,"1- Muy satisfecho/a","2- Satisfecho/a","3- Insatisfecho/a","4- Muy insatisfecho/a"),"")</f>
        <v>2- Satisfecho/a</v>
      </c>
      <c r="N243" t="str">
        <f>IF(OR(I243="Trabajo actualmente como empleado",I243="Trabajo de manera independiente"),_xlfn.LET(_xlpm.opcion,MOD(INT((COUNTIF($I$2:I243,I243)-1)/5),6)+1,CHOOSE(IF(AND(_xlpm.opcion=6,L243="Sí, completamente"),5,_xlpm.opcion),"Salario","Estabilidad laboral","Horario","Acceso a prestaciones","Oportunidades de crecimiento","Trabajar en un área relacionada con mi formación")),"")</f>
        <v>Acceso a prestaciones</v>
      </c>
      <c r="O243" s="9" t="str">
        <f>IF(OR(I243="Trabajo actualmente como empleado",I243="Trabajo de manera independiente"),_xlfn.LET(_xlpm.turno,MOD(COUNTIF($I$2:I243,I243)-1,5),_xlpm.nivel,VALUE(LEFT(M243,1)),IF(_xlpm.turno=4,"No estoy seguro/a",IF(_xlpm.turno&lt;IF(_xlpm.nivel&lt;=2,1,3),"Sí","No"))),"")</f>
        <v>No</v>
      </c>
      <c r="P243" s="9" t="str">
        <f>_xlfn.LET(_xlpm.perfil,I243,_xlpm.turno,COUNTIF($I$2:I243,_xlpm.perfil)-1,_xlpm.busca,OR(_xlpm.perfil="Actualmente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43" t="str">
        <f>IF(I243="Tengo un emprendimiento o quiero iniciar uno","",CHOOSE(MOD(INT((COUNTIF($I$2:I243,I243)-1)/7),3)+1,"Sí","No","Tengo una pero necesito actualizarla"))</f>
        <v>No</v>
      </c>
      <c r="R243" s="9" t="str">
        <f>IF(I243="Tengo un emprendimiento o quiero iniciar uno","",IF(I243="Busco mi primer empleo","No",IF(MOD(COUNTIF($I$2:I243,I243)-1,2)=0,"Sí","No")))</f>
        <v>Sí</v>
      </c>
      <c r="S243" t="str">
        <f>IF(I243="Tengo un emprendimiento o quiero iniciar uno","",CHOOSE(MOD(INT((COUNTIF($I$2:I243,I243)-1)/3),10)+1,"Portales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43" t="str">
        <f>IF(I243="Tengo un emprendimiento o quiero iniciar uno","",_xlfn.LET(_xlpm.opcion,MOD(INT((COUNTIF($I$2:I243,I243)-1)/4),6)+1,CHOOSE(IF(AND(_xlpm.opcion=3,Q243="Sí"),1,_xlpm.opcion),"Falta de experiencia","Falta de formación","Dificultades con la hoja de vida","Horarios disponibles","Transporte","Internet")))</f>
        <v>Falta de formación</v>
      </c>
      <c r="U243" s="9" t="str">
        <f>IF(I243="Tengo un emprendimiento o quiero iniciar uno","",IF(MOD(INT((COUNTIF($I$2:I243,I243)-1)/3),2)=0,"Sí","No"))</f>
        <v>No</v>
      </c>
      <c r="V243" s="9" t="str">
        <f>IF(I243="Tengo un emprendimiento o quiero iniciar uno",CHOOSE(MOD(COUNTIF($I$2:I243,I243)-1,3)+1,"Tengo un emprendimiento","Estoy iniciando un emprendimiento","Me interesa emprender"),"")</f>
        <v/>
      </c>
      <c r="W243" t="str">
        <f t="shared" si="59"/>
        <v/>
      </c>
      <c r="X243" s="9" t="str">
        <f>IF(I243="Tengo un emprendimiento o quiero iniciar uno",CHOOSE(MOD(COUNTIF($I$2:I243,I243)-1,5)+1,"Falta de financiación","Falta de conocimientos administrativos","Falta de conocimientos financieros","Falta de tiempo","Falta de herramientas"),"")</f>
        <v/>
      </c>
      <c r="Y243" s="9" t="str">
        <f t="shared" si="60"/>
        <v/>
      </c>
      <c r="Z243" t="str">
        <f>IF(I243="Tengo un emprendimiento o quiero iniciar uno",CHOOSE(INT(MOD((COUNTIF($I$2:I243,I243)-1)*7,39)/13)+1,"Sí","No","No conozco programas de ese tipo"),"")</f>
        <v/>
      </c>
      <c r="AA243" t="str">
        <f t="shared" si="61"/>
        <v>No puedo hacerlo</v>
      </c>
      <c r="AB243" t="str">
        <f t="shared" si="61"/>
        <v>No puedo hacerlo</v>
      </c>
      <c r="AC243" t="str">
        <f t="shared" si="62"/>
        <v>No puedo hacerlo</v>
      </c>
      <c r="AD243" s="9" t="str">
        <f t="shared" si="63"/>
        <v>No puedo hacerlo</v>
      </c>
      <c r="AE243" t="str">
        <f t="shared" si="64"/>
        <v>No puedo hacerlo</v>
      </c>
      <c r="AF243" s="9" t="str">
        <f t="shared" si="65"/>
        <v>Emprendimiento</v>
      </c>
      <c r="AG243" s="9" t="str">
        <f t="shared" si="66"/>
        <v>Horarios</v>
      </c>
      <c r="AH243" t="str">
        <f t="shared" si="67"/>
        <v>Oficina de orientación laboral</v>
      </c>
      <c r="AI243" s="9" t="str">
        <f t="shared" si="68"/>
        <v>Presencial</v>
      </c>
      <c r="AJ243" s="9" t="str">
        <f t="shared" si="69"/>
        <v>Diurno</v>
      </c>
      <c r="AK243" s="9" t="str">
        <f t="shared" si="70"/>
        <v>Correo electrónico</v>
      </c>
    </row>
    <row r="244" spans="1:37">
      <c r="A244" t="str">
        <f t="shared" si="71"/>
        <v>SG243</v>
      </c>
      <c r="B244" t="s">
        <v>418</v>
      </c>
      <c r="C244" s="9" t="s">
        <v>427</v>
      </c>
      <c r="D244" t="str">
        <f t="shared" si="54"/>
        <v>Masculino</v>
      </c>
      <c r="E244" t="str">
        <f t="shared" si="55"/>
        <v>De 22 a 24 años</v>
      </c>
      <c r="F244">
        <f t="shared" si="56"/>
        <v>22</v>
      </c>
      <c r="G244" s="9" t="s">
        <v>428</v>
      </c>
      <c r="H244" s="9" t="str">
        <f t="shared" si="57"/>
        <v>Tecnólogo</v>
      </c>
      <c r="I244" s="9" t="str">
        <f t="shared" si="58"/>
        <v>Trabajo de manera independiente</v>
      </c>
      <c r="J244" s="13" t="str">
        <f>IF(I244="Trabajo actualmente como empleado",IF(MOD((COUNTIF($I$2:I244,"Trabajo actualmente como empleado")-1)*37,150)&lt;100,"Empleado con contrato","Empleado sin contrato formal"),IF(I244="Trabajo de manera independiente","Trabajo independiente",""))</f>
        <v>Trabajo independiente</v>
      </c>
      <c r="K244" s="9" t="str">
        <f>IF(OR(I244="Trabajo actualmente como empleado",I244="Trabajo de manera independiente"),CHOOSE(MOD(COUNTIF($I$2:I244,I244)-1,4)+1,"Menos de 3 meses","De 3 a 6 meses","De 7 a 12 meses","Más de un año"),"")</f>
        <v>De 3 a 6 meses</v>
      </c>
      <c r="L244" t="str">
        <f>IF(OR(I244="Trabajo actualmente como empleado",I244="Trabajo de manera independiente"),CHOOSE(MOD(COUNTIF($I$2:I244,I244)-1,3)+1,"Sí, completamente","Parcialmente","No"),"")</f>
        <v>No</v>
      </c>
      <c r="M244" t="str">
        <f>IF(OR(I244="Trabajo actualmente como empleado",I244="Trabajo de manera independiente"),CHOOSE(MOD(INT((COUNTIF($I$2:I244,I244)-1)/3),4)+1,"1- Muy satisfecho/a","2- Satisfecho/a","3- Insatisfecho/a","4- Muy insatisfecho/a"),"")</f>
        <v>2- Satisfecho/a</v>
      </c>
      <c r="N244" t="str">
        <f>IF(OR(I244="Trabajo actualmente como empleado",I244="Trabajo de manera independiente"),_xlfn.LET(_xlpm.opcion,MOD(INT((COUNTIF($I$2:I244,I244)-1)/5),6)+1,CHOOSE(IF(AND(_xlpm.opcion=6,L244="Sí, completamente"),5,_xlpm.opcion),"Salario","Estabilidad laboral","Horario","Acceso a prestaciones","Oportunidades de crecimiento","Trabajar en un área relacionada con mi formación")),"")</f>
        <v>Horario</v>
      </c>
      <c r="O244" s="9" t="str">
        <f>IF(OR(I244="Trabajo actualmente como empleado",I244="Trabajo de manera independiente"),_xlfn.LET(_xlpm.turno,MOD(COUNTIF($I$2:I244,I244)-1,5),_xlpm.nivel,VALUE(LEFT(M244,1)),IF(_xlpm.turno=4,"No estoy seguro/a",IF(_xlpm.turno&lt;IF(_xlpm.nivel&lt;=2,1,3),"Sí","No"))),"")</f>
        <v>No</v>
      </c>
      <c r="P244" s="9" t="str">
        <f>_xlfn.LET(_xlpm.perfil,I244,_xlpm.turno,COUNTIF($I$2:I244,_xlpm.perfil)-1,_xlpm.busca,OR(_xlpm.perfil="Actualmente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trabajar"),IF(AND(_xlpm.trabaja,O244="No"),"Todavía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44" t="str">
        <f>IF(I244="Tengo un emprendimiento o quiero iniciar uno","",CHOOSE(MOD(INT((COUNTIF($I$2:I244,I244)-1)/7),3)+1,"Sí","No","Tengo una pero necesito actualizarla"))</f>
        <v>Tengo una pero necesito actualizarla</v>
      </c>
      <c r="R244" s="9" t="str">
        <f>IF(I244="Tengo un emprendimiento o quiero iniciar uno","",IF(I244="Busco mi primer empleo","No",IF(MOD(COUNTIF($I$2:I244,I244)-1,2)=0,"Sí","No")))</f>
        <v>No</v>
      </c>
      <c r="S244" t="str">
        <f>IF(I244="Tengo un emprendimiento o quiero iniciar uno","",CHOOSE(MOD(INT((COUNTIF($I$2:I244,I244)-1)/3),10)+1,"Portales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44" t="str">
        <f>IF(I244="Tengo un emprendimiento o quiero iniciar uno","",_xlfn.LET(_xlpm.opcion,MOD(INT((COUNTIF($I$2:I244,I244)-1)/4),6)+1,CHOOSE(IF(AND(_xlpm.opcion=3,Q244="Sí"),1,_xlpm.opcion),"Falta de experiencia","Falta de formación","Dificultades con la hoja de vida","Horarios disponibles","Transporte","Internet")))</f>
        <v>Transporte</v>
      </c>
      <c r="U244" s="9" t="str">
        <f>IF(I244="Tengo un emprendimiento o quiero iniciar uno","",IF(MOD(INT((COUNTIF($I$2:I244,I244)-1)/3),2)=0,"Sí","No"))</f>
        <v>No</v>
      </c>
      <c r="V244" s="9" t="str">
        <f>IF(I244="Tengo un emprendimiento o quiero iniciar uno",CHOOSE(MOD(COUNTIF($I$2:I244,I244)-1,3)+1,"Tengo un emprendimiento","Estoy iniciando un emprendimiento","Me interesa emprender"),"")</f>
        <v/>
      </c>
      <c r="W244" t="str">
        <f t="shared" si="59"/>
        <v/>
      </c>
      <c r="X244" s="9" t="str">
        <f>IF(I244="Tengo un emprendimiento o quiero iniciar uno",CHOOSE(MOD(COUNTIF($I$2:I244,I244)-1,5)+1,"Falta de financiación","Falta de conocimientos administrativos","Falta de conocimientos financieros","Falta de tiempo","Falta de herramientas"),"")</f>
        <v/>
      </c>
      <c r="Y244" s="9" t="str">
        <f t="shared" si="60"/>
        <v/>
      </c>
      <c r="Z244" t="str">
        <f>IF(I244="Tengo un emprendimiento o quiero iniciar uno",CHOOSE(INT(MOD((COUNTIF($I$2:I244,I244)-1)*7,39)/13)+1,"Sí","No","No conozco programas de ese tipo"),"")</f>
        <v/>
      </c>
      <c r="AA244" t="str">
        <f t="shared" si="61"/>
        <v>Puedo hacerlo con ayuda</v>
      </c>
      <c r="AB244" t="str">
        <f t="shared" si="61"/>
        <v>Puedo hacerlo con ayuda</v>
      </c>
      <c r="AC244" t="str">
        <f t="shared" si="62"/>
        <v>Puedo hacerlo con ayuda</v>
      </c>
      <c r="AD244" s="9" t="str">
        <f t="shared" si="63"/>
        <v>No puedo hacerlo</v>
      </c>
      <c r="AE244" t="str">
        <f t="shared" si="64"/>
        <v>Puedo hacerlo con ayuda</v>
      </c>
      <c r="AF244" s="9" t="str">
        <f t="shared" si="65"/>
        <v>Herramientas digitales</v>
      </c>
      <c r="AG244" s="9" t="str">
        <f t="shared" si="66"/>
        <v>Horarios</v>
      </c>
      <c r="AH244" t="str">
        <f t="shared" si="67"/>
        <v>Programas de emprendimiento</v>
      </c>
      <c r="AI244" s="9" t="str">
        <f t="shared" si="68"/>
        <v>Virtual</v>
      </c>
      <c r="AJ244" s="9" t="str">
        <f t="shared" si="69"/>
        <v>Mañana entre semana</v>
      </c>
      <c r="AK244" s="9" t="str">
        <f t="shared" si="70"/>
        <v>Redes sociales</v>
      </c>
    </row>
    <row r="245" spans="1:37">
      <c r="A245" t="str">
        <f t="shared" si="71"/>
        <v>SG244</v>
      </c>
      <c r="B245" t="s">
        <v>418</v>
      </c>
      <c r="C245" s="9" t="s">
        <v>427</v>
      </c>
      <c r="D245" t="str">
        <f t="shared" si="54"/>
        <v>Femenino</v>
      </c>
      <c r="E245" t="str">
        <f t="shared" si="55"/>
        <v>De 24 a 26 años</v>
      </c>
      <c r="F245">
        <f t="shared" si="56"/>
        <v>24</v>
      </c>
      <c r="G245" s="9" t="s">
        <v>428</v>
      </c>
      <c r="H245" s="9" t="str">
        <f t="shared" si="57"/>
        <v>Tecnólogo</v>
      </c>
      <c r="I245" s="9" t="str">
        <f t="shared" si="58"/>
        <v>Busco mi primer empleo</v>
      </c>
      <c r="J245" s="13" t="str">
        <f>IF(I245="Trabajo actualmente como empleado",IF(MOD((COUNTIF($I$2:I245,"Trabajo actualmente como empleado")-1)*37,150)&lt;100,"Empleado con contrato","Empleado sin contrato formal"),IF(I245="Trabajo de manera independiente","Trabajo independiente",""))</f>
        <v/>
      </c>
      <c r="K245" s="9" t="str">
        <f>IF(OR(I245="Trabajo actualmente como empleado",I245="Trabajo de manera independiente"),CHOOSE(MOD(COUNTIF($I$2:I245,I245)-1,4)+1,"Menos de 3 meses","De 3 a 6 meses","De 7 a 12 meses","Más de un año"),"")</f>
        <v/>
      </c>
      <c r="L245" t="str">
        <f>IF(OR(I245="Trabajo actualmente como empleado",I245="Trabajo de manera independiente"),CHOOSE(MOD(COUNTIF($I$2:I245,I245)-1,3)+1,"Sí, completamente","Parcialmente","No"),"")</f>
        <v/>
      </c>
      <c r="M245" t="str">
        <f>IF(OR(I245="Trabajo actualmente como empleado",I245="Trabajo de manera independiente"),CHOOSE(MOD(INT((COUNTIF($I$2:I245,I245)-1)/3),4)+1,"1- Muy satisfecho/a","2- Satisfecho/a","3- Insatisfecho/a","4- Muy insatisfecho/a"),"")</f>
        <v/>
      </c>
      <c r="N245" t="str">
        <f>IF(OR(I245="Trabajo actualmente como empleado",I245="Trabajo de manera independiente"),_xlfn.LET(_xlpm.opcion,MOD(INT((COUNTIF($I$2:I245,I245)-1)/5),6)+1,CHOOSE(IF(AND(_xlpm.opcion=6,L245="Sí, completamente"),5,_xlpm.opcion),"Salario","Estabilidad laboral","Horario","Acceso a prestaciones","Oportunidades de crecimiento","Trabajar en un área relacionada con mi formación")),"")</f>
        <v/>
      </c>
      <c r="O245" s="9" t="str">
        <f>IF(OR(I245="Trabajo actualmente como empleado",I245="Trabajo de manera independiente"),_xlfn.LET(_xlpm.turno,MOD(COUNTIF($I$2:I245,I245)-1,5),_xlpm.nivel,VALUE(LEFT(M245,1)),IF(_xlpm.turno=4,"No estoy seguro/a",IF(_xlpm.turno&lt;IF(_xlpm.nivel&lt;=2,1,3),"Sí","No"))),"")</f>
        <v/>
      </c>
      <c r="P245" s="9" t="str">
        <f>_xlfn.LET(_xlpm.perfil,I245,_xlpm.turno,COUNTIF($I$2:I245,_xlpm.perfil)-1,_xlpm.busca,OR(_xlpm.perfil="Actualmente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trabajar"),IF(AND(_xlpm.trabaja,O245="No"),"Todavía no he iniciado una búsqueda activa",CHOOSE(MOD(_xlpm.turno*3,5)+1,"Menos de 1 mes","Entre 1 y 3 meses","Entre 4 y 6 meses","Más de 6 meses","Todavía no he iniciado una búsqueda activa")),"")))</f>
        <v>Entre 4 y 6 meses</v>
      </c>
      <c r="Q245" t="str">
        <f>IF(I245="Tengo un emprendimiento o quiero iniciar uno","",CHOOSE(MOD(INT((COUNTIF($I$2:I245,I245)-1)/7),3)+1,"Sí","No","Tengo una pero necesito actualizarla"))</f>
        <v>No</v>
      </c>
      <c r="R245" s="9" t="str">
        <f>IF(I245="Tengo un emprendimiento o quiero iniciar uno","",IF(I245="Busco mi primer empleo","No",IF(MOD(COUNTIF($I$2:I245,I245)-1,2)=0,"Sí","No")))</f>
        <v>No</v>
      </c>
      <c r="S245" t="str">
        <f>IF(I245="Tengo un emprendimiento o quiero iniciar uno","",CHOOSE(MOD(INT((COUNTIF($I$2:I245,I245)-1)/3),10)+1,"Portales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45" t="str">
        <f>IF(I245="Tengo un emprendimiento o quiero iniciar uno","",_xlfn.LET(_xlpm.opcion,MOD(INT((COUNTIF($I$2:I245,I245)-1)/4),6)+1,CHOOSE(IF(AND(_xlpm.opcion=3,Q245="Sí"),1,_xlpm.opcion),"Falta de experiencia","Falta de formación","Dificultades con la hoja de vida","Horarios disponibles","Transporte","Internet")))</f>
        <v>Dificultades con la hoja de vida</v>
      </c>
      <c r="U245" s="9" t="str">
        <f>IF(I245="Tengo un emprendimiento o quiero iniciar uno","",IF(MOD(INT((COUNTIF($I$2:I245,I245)-1)/3),2)=0,"Sí","No"))</f>
        <v>No</v>
      </c>
      <c r="V245" s="9" t="str">
        <f>IF(I245="Tengo un emprendimiento o quiero iniciar uno",CHOOSE(MOD(COUNTIF($I$2:I245,I245)-1,3)+1,"Tengo un emprendimiento","Estoy iniciando un emprendimiento","Me interesa emprender"),"")</f>
        <v/>
      </c>
      <c r="W245" t="str">
        <f t="shared" si="59"/>
        <v/>
      </c>
      <c r="X245" s="9" t="str">
        <f>IF(I245="Tengo un emprendimiento o quiero iniciar uno",CHOOSE(MOD(COUNTIF($I$2:I245,I245)-1,5)+1,"Falta de financiación","Falta de conocimientos administrativos","Falta de conocimientos financieros","Falta de tiempo","Falta de herramientas"),"")</f>
        <v/>
      </c>
      <c r="Y245" s="9" t="str">
        <f t="shared" si="60"/>
        <v/>
      </c>
      <c r="Z245" t="str">
        <f>IF(I245="Tengo un emprendimiento o quiero iniciar uno",CHOOSE(INT(MOD((COUNTIF($I$2:I245,I245)-1)*7,39)/13)+1,"Sí","No","No conozco programas de ese tipo"),"")</f>
        <v/>
      </c>
      <c r="AA245" t="str">
        <f t="shared" si="61"/>
        <v>Puedo hacerlo sin ayuda</v>
      </c>
      <c r="AB245" t="str">
        <f t="shared" si="61"/>
        <v>Puedo hacerlo sin ayuda</v>
      </c>
      <c r="AC245" t="str">
        <f t="shared" si="62"/>
        <v>Puedo hacerlo sin ayuda</v>
      </c>
      <c r="AD245" s="9" t="str">
        <f t="shared" si="63"/>
        <v>Puedo hacerlo con ayuda</v>
      </c>
      <c r="AE245" t="str">
        <f t="shared" si="64"/>
        <v>Puedo hacerlo con ayuda</v>
      </c>
      <c r="AF245" s="9" t="str">
        <f t="shared" si="65"/>
        <v>Educación financiera</v>
      </c>
      <c r="AG245" s="9" t="str">
        <f t="shared" si="66"/>
        <v>Costos de transporte</v>
      </c>
      <c r="AH245" t="str">
        <f t="shared" si="67"/>
        <v>Oficina de orientación laboral</v>
      </c>
      <c r="AI245" s="9" t="str">
        <f t="shared" si="68"/>
        <v>Presencial y virtual</v>
      </c>
      <c r="AJ245" s="9" t="str">
        <f t="shared" si="69"/>
        <v>Fines de semana</v>
      </c>
      <c r="AK245" s="9" t="str">
        <f t="shared" si="70"/>
        <v>WhatsApp</v>
      </c>
    </row>
    <row r="246" spans="1:37">
      <c r="A246" t="str">
        <f t="shared" si="71"/>
        <v>SG245</v>
      </c>
      <c r="B246" t="s">
        <v>418</v>
      </c>
      <c r="C246" s="9" t="s">
        <v>427</v>
      </c>
      <c r="D246" t="str">
        <f t="shared" si="54"/>
        <v>Femenino</v>
      </c>
      <c r="E246" t="str">
        <f t="shared" si="55"/>
        <v>De 26 a 28 años</v>
      </c>
      <c r="F246">
        <f t="shared" si="56"/>
        <v>26</v>
      </c>
      <c r="G246" s="9" t="s">
        <v>428</v>
      </c>
      <c r="H246" s="9" t="str">
        <f t="shared" si="57"/>
        <v>Profesional</v>
      </c>
      <c r="I246" s="9" t="str">
        <f t="shared" si="58"/>
        <v>Trabajo actualmente como empleado</v>
      </c>
      <c r="J246" s="13" t="str">
        <f>IF(I246="Trabajo actualmente como empleado",IF(MOD((COUNTIF($I$2:I246,"Trabajo actualmente como empleado")-1)*37,150)&lt;100,"Empleado con contrato","Empleado sin contrato formal"),IF(I246="Trabajo de manera independiente","Trabajo independiente",""))</f>
        <v>Empleado sin contrato formal</v>
      </c>
      <c r="K246" s="9" t="str">
        <f>IF(OR(I246="Trabajo actualmente como empleado",I246="Trabajo de manera independiente"),CHOOSE(MOD(COUNTIF($I$2:I246,I246)-1,4)+1,"Menos de 3 meses","De 3 a 6 meses","De 7 a 12 meses","Más de un año"),"")</f>
        <v>De 3 a 6 meses</v>
      </c>
      <c r="L246" t="str">
        <f>IF(OR(I246="Trabajo actualmente como empleado",I246="Trabajo de manera independiente"),CHOOSE(MOD(COUNTIF($I$2:I246,I246)-1,3)+1,"Sí, completamente","Parcialmente","No"),"")</f>
        <v>No</v>
      </c>
      <c r="M246" t="str">
        <f>IF(OR(I246="Trabajo actualmente como empleado",I246="Trabajo de manera independiente"),CHOOSE(MOD(INT((COUNTIF($I$2:I246,I246)-1)/3),4)+1,"1- Muy satisfecho/a","2- Satisfecho/a","3- Insatisfecho/a","4- Muy insatisfecho/a"),"")</f>
        <v>2- Satisfecho/a</v>
      </c>
      <c r="N246" t="str">
        <f>IF(OR(I246="Trabajo actualmente como empleado",I246="Trabajo de manera independiente"),_xlfn.LET(_xlpm.opcion,MOD(INT((COUNTIF($I$2:I246,I246)-1)/5),6)+1,CHOOSE(IF(AND(_xlpm.opcion=6,L246="Sí, completamente"),5,_xlpm.opcion),"Salario","Estabilidad laboral","Horario","Acceso a prestaciones","Oportunidades de crecimiento","Trabajar en un área relacionada con mi formación")),"")</f>
        <v>Acceso a prestaciones</v>
      </c>
      <c r="O246" s="9" t="str">
        <f>IF(OR(I246="Trabajo actualmente como empleado",I246="Trabajo de manera independiente"),_xlfn.LET(_xlpm.turno,MOD(COUNTIF($I$2:I246,I246)-1,5),_xlpm.nivel,VALUE(LEFT(M246,1)),IF(_xlpm.turno=4,"No estoy seguro/a",IF(_xlpm.turno&lt;IF(_xlpm.nivel&lt;=2,1,3),"Sí","No"))),"")</f>
        <v>No</v>
      </c>
      <c r="P246" s="9" t="str">
        <f>_xlfn.LET(_xlpm.perfil,I246,_xlpm.turno,COUNTIF($I$2:I246,_xlpm.perfil)-1,_xlpm.busca,OR(_xlpm.perfil="Actualmente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46" t="str">
        <f>IF(I246="Tengo un emprendimiento o quiero iniciar uno","",CHOOSE(MOD(INT((COUNTIF($I$2:I246,I246)-1)/7),3)+1,"Sí","No","Tengo una pero necesito actualizarla"))</f>
        <v>Tengo una pero necesito actualizarla</v>
      </c>
      <c r="R246" s="9" t="str">
        <f>IF(I246="Tengo un emprendimiento o quiero iniciar uno","",IF(I246="Busco mi primer empleo","No",IF(MOD(COUNTIF($I$2:I246,I246)-1,2)=0,"Sí","No")))</f>
        <v>No</v>
      </c>
      <c r="S246" t="str">
        <f>IF(I246="Tengo un emprendimiento o quiero iniciar uno","",CHOOSE(MOD(INT((COUNTIF($I$2:I246,I246)-1)/3),10)+1,"Portales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46" t="str">
        <f>IF(I246="Tengo un emprendimiento o quiero iniciar uno","",_xlfn.LET(_xlpm.opcion,MOD(INT((COUNTIF($I$2:I246,I246)-1)/4),6)+1,CHOOSE(IF(AND(_xlpm.opcion=3,Q246="Sí"),1,_xlpm.opcion),"Falta de experiencia","Falta de formación","Dificultades con la hoja de vida","Horarios disponibles","Transporte","Internet")))</f>
        <v>Falta de formación</v>
      </c>
      <c r="U246" s="9" t="str">
        <f>IF(I246="Tengo un emprendimiento o quiero iniciar uno","",IF(MOD(INT((COUNTIF($I$2:I246,I246)-1)/3),2)=0,"Sí","No"))</f>
        <v>No</v>
      </c>
      <c r="V246" s="9" t="str">
        <f>IF(I246="Tengo un emprendimiento o quiero iniciar uno",CHOOSE(MOD(COUNTIF($I$2:I246,I246)-1,3)+1,"Tengo un emprendimiento","Estoy iniciando un emprendimiento","Me interesa emprender"),"")</f>
        <v/>
      </c>
      <c r="W246" t="str">
        <f t="shared" si="59"/>
        <v/>
      </c>
      <c r="X246" s="9" t="str">
        <f>IF(I246="Tengo un emprendimiento o quiero iniciar uno",CHOOSE(MOD(COUNTIF($I$2:I246,I246)-1,5)+1,"Falta de financiación","Falta de conocimientos administrativos","Falta de conocimientos financieros","Falta de tiempo","Falta de herramientas"),"")</f>
        <v/>
      </c>
      <c r="Y246" s="9" t="str">
        <f t="shared" si="60"/>
        <v/>
      </c>
      <c r="Z246" t="str">
        <f>IF(I246="Tengo un emprendimiento o quiero iniciar uno",CHOOSE(INT(MOD((COUNTIF($I$2:I246,I246)-1)*7,39)/13)+1,"Sí","No","No conozco programas de ese tipo"),"")</f>
        <v/>
      </c>
      <c r="AA246" t="str">
        <f t="shared" si="61"/>
        <v>Puedo hacerlo con ayuda</v>
      </c>
      <c r="AB246" t="str">
        <f t="shared" si="61"/>
        <v>Puedo hacerlo con ayuda</v>
      </c>
      <c r="AC246" t="str">
        <f t="shared" si="62"/>
        <v>No puedo hacerlo</v>
      </c>
      <c r="AD246" s="9" t="str">
        <f t="shared" si="63"/>
        <v>Puedo hacerlo con dificultad</v>
      </c>
      <c r="AE246" t="str">
        <f t="shared" si="64"/>
        <v>Puedo hacerlo con dificultad</v>
      </c>
      <c r="AF246" s="9" t="str">
        <f t="shared" si="65"/>
        <v>Crear una hoja de vida;Preparación para entrevista</v>
      </c>
      <c r="AG246" s="9" t="str">
        <f t="shared" si="66"/>
        <v>Costos de transporte</v>
      </c>
      <c r="AH246" t="str">
        <f t="shared" si="67"/>
        <v>Ferias de empleo</v>
      </c>
      <c r="AI246" s="9" t="str">
        <f t="shared" si="68"/>
        <v>Me es indiferente</v>
      </c>
      <c r="AJ246" s="9" t="str">
        <f t="shared" si="69"/>
        <v>Diurno</v>
      </c>
      <c r="AK246" s="9" t="str">
        <f t="shared" si="70"/>
        <v>Correo electrónico</v>
      </c>
    </row>
    <row r="247" spans="1:37">
      <c r="A247" t="str">
        <f t="shared" si="71"/>
        <v>SG246</v>
      </c>
      <c r="B247" t="s">
        <v>418</v>
      </c>
      <c r="C247" s="9" t="s">
        <v>427</v>
      </c>
      <c r="D247" t="str">
        <f t="shared" si="54"/>
        <v>Masculino</v>
      </c>
      <c r="E247" t="str">
        <f t="shared" si="55"/>
        <v>De 18 a 20 años</v>
      </c>
      <c r="F247">
        <f t="shared" si="56"/>
        <v>19</v>
      </c>
      <c r="G247" s="9" t="s">
        <v>428</v>
      </c>
      <c r="H247" s="9" t="str">
        <f t="shared" si="57"/>
        <v>Tecnólogo</v>
      </c>
      <c r="I247" s="9" t="str">
        <f t="shared" si="58"/>
        <v>Actualmente no trabajo y estoy buscando empleo</v>
      </c>
      <c r="J247" s="13" t="str">
        <f>IF(I247="Trabajo actualmente como empleado",IF(MOD((COUNTIF($I$2:I247,"Trabajo actualmente como empleado")-1)*37,150)&lt;100,"Empleado con contrato","Empleado sin contrato formal"),IF(I247="Trabajo de manera independiente","Trabajo independiente",""))</f>
        <v/>
      </c>
      <c r="K247" s="9" t="str">
        <f>IF(OR(I247="Trabajo actualmente como empleado",I247="Trabajo de manera independiente"),CHOOSE(MOD(COUNTIF($I$2:I247,I247)-1,4)+1,"Menos de 3 meses","De 3 a 6 meses","De 7 a 12 meses","Más de un año"),"")</f>
        <v/>
      </c>
      <c r="L247" t="str">
        <f>IF(OR(I247="Trabajo actualmente como empleado",I247="Trabajo de manera independiente"),CHOOSE(MOD(COUNTIF($I$2:I247,I247)-1,3)+1,"Sí, completamente","Parcialmente","No"),"")</f>
        <v/>
      </c>
      <c r="M247" t="str">
        <f>IF(OR(I247="Trabajo actualmente como empleado",I247="Trabajo de manera independiente"),CHOOSE(MOD(INT((COUNTIF($I$2:I247,I247)-1)/3),4)+1,"1- Muy satisfecho/a","2- Satisfecho/a","3- Insatisfecho/a","4- Muy insatisfecho/a"),"")</f>
        <v/>
      </c>
      <c r="N247" t="str">
        <f>IF(OR(I247="Trabajo actualmente como empleado",I247="Trabajo de manera independiente"),_xlfn.LET(_xlpm.opcion,MOD(INT((COUNTIF($I$2:I247,I247)-1)/5),6)+1,CHOOSE(IF(AND(_xlpm.opcion=6,L247="Sí, completamente"),5,_xlpm.opcion),"Salario","Estabilidad laboral","Horario","Acceso a prestaciones","Oportunidades de crecimiento","Trabajar en un área relacionada con mi formación")),"")</f>
        <v/>
      </c>
      <c r="O247" s="9" t="str">
        <f>IF(OR(I247="Trabajo actualmente como empleado",I247="Trabajo de manera independiente"),_xlfn.LET(_xlpm.turno,MOD(COUNTIF($I$2:I247,I247)-1,5),_xlpm.nivel,VALUE(LEFT(M247,1)),IF(_xlpm.turno=4,"No estoy seguro/a",IF(_xlpm.turno&lt;IF(_xlpm.nivel&lt;=2,1,3),"Sí","No"))),"")</f>
        <v/>
      </c>
      <c r="P247" s="9" t="str">
        <f>_xlfn.LET(_xlpm.perfil,I247,_xlpm.turno,COUNTIF($I$2:I247,_xlpm.perfil)-1,_xlpm.busca,OR(_xlpm.perfil="Actualmente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trabajar"),IF(AND(_xlpm.trabaja,O247="No"),"Todavía no he iniciado una búsqueda activa",CHOOSE(MOD(_xlpm.turno*3,5)+1,"Menos de 1 mes","Entre 1 y 3 meses","Entre 4 y 6 meses","Más de 6 meses","Todavía no he iniciado una búsqueda activa")),"")))</f>
        <v>Entre 1 y 3 meses</v>
      </c>
      <c r="Q247" t="str">
        <f>IF(I247="Tengo un emprendimiento o quiero iniciar uno","",CHOOSE(MOD(INT((COUNTIF($I$2:I247,I247)-1)/7),3)+1,"Sí","No","Tengo una pero necesito actualizarla"))</f>
        <v>Sí</v>
      </c>
      <c r="R247" s="9" t="str">
        <f>IF(I247="Tengo un emprendimiento o quiero iniciar uno","",IF(I247="Busco mi primer empleo","No",IF(MOD(COUNTIF($I$2:I247,I247)-1,2)=0,"Sí","No")))</f>
        <v>No</v>
      </c>
      <c r="S247" t="str">
        <f>IF(I247="Tengo un emprendimiento o quiero iniciar uno","",CHOOSE(MOD(INT((COUNTIF($I$2:I247,I247)-1)/3),10)+1,"Portales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47" t="str">
        <f>IF(I247="Tengo un emprendimiento o quiero iniciar uno","",_xlfn.LET(_xlpm.opcion,MOD(INT((COUNTIF($I$2:I247,I247)-1)/4),6)+1,CHOOSE(IF(AND(_xlpm.opcion=3,Q247="Sí"),1,_xlpm.opcion),"Falta de experiencia","Falta de formación","Dificultades con la hoja de vida","Horarios disponibles","Transporte","Internet")))</f>
        <v>Transporte</v>
      </c>
      <c r="U247" s="9" t="str">
        <f>IF(I247="Tengo un emprendimiento o quiero iniciar uno","",IF(MOD(INT((COUNTIF($I$2:I247,I247)-1)/3),2)=0,"Sí","No"))</f>
        <v>Sí</v>
      </c>
      <c r="V247" s="9" t="str">
        <f>IF(I247="Tengo un emprendimiento o quiero iniciar uno",CHOOSE(MOD(COUNTIF($I$2:I247,I247)-1,3)+1,"Tengo un emprendimiento","Estoy iniciando un emprendimiento","Me interesa emprender"),"")</f>
        <v/>
      </c>
      <c r="W247" t="str">
        <f t="shared" si="59"/>
        <v/>
      </c>
      <c r="X247" s="9" t="str">
        <f>IF(I247="Tengo un emprendimiento o quiero iniciar uno",CHOOSE(MOD(COUNTIF($I$2:I247,I247)-1,5)+1,"Falta de financiación","Falta de conocimientos administrativos","Falta de conocimientos financieros","Falta de tiempo","Falta de herramientas"),"")</f>
        <v/>
      </c>
      <c r="Y247" s="9" t="str">
        <f t="shared" si="60"/>
        <v/>
      </c>
      <c r="Z247" t="str">
        <f>IF(I247="Tengo un emprendimiento o quiero iniciar uno",CHOOSE(INT(MOD((COUNTIF($I$2:I247,I247)-1)*7,39)/13)+1,"Sí","No","No conozco programas de ese tipo"),"")</f>
        <v/>
      </c>
      <c r="AA247" t="str">
        <f t="shared" si="61"/>
        <v>Puedo hacerlo con dificultad</v>
      </c>
      <c r="AB247" t="str">
        <f t="shared" si="61"/>
        <v>Puedo hacerlo con dificultad</v>
      </c>
      <c r="AC247" t="str">
        <f t="shared" si="62"/>
        <v>Puedo hacerlo con ayuda</v>
      </c>
      <c r="AD247" s="9" t="str">
        <f t="shared" si="63"/>
        <v>Puedo hacerlo sin ayuda</v>
      </c>
      <c r="AE247" t="str">
        <f t="shared" si="64"/>
        <v>Puedo hacerlo con dificultad</v>
      </c>
      <c r="AF247" s="9" t="str">
        <f t="shared" si="65"/>
        <v>Comunicación;Liderazgo</v>
      </c>
      <c r="AG247" s="9" t="str">
        <f t="shared" si="66"/>
        <v>Costos de transporte</v>
      </c>
      <c r="AH247" t="str">
        <f t="shared" si="67"/>
        <v>No conozco ninguno</v>
      </c>
      <c r="AI247" s="9" t="str">
        <f t="shared" si="68"/>
        <v>Presencial</v>
      </c>
      <c r="AJ247" s="9" t="str">
        <f t="shared" si="69"/>
        <v>Mañana entre semana</v>
      </c>
      <c r="AK247" s="9" t="str">
        <f t="shared" si="70"/>
        <v>Celular</v>
      </c>
    </row>
    <row r="248" spans="1:37">
      <c r="A248" t="str">
        <f t="shared" si="71"/>
        <v>SG247</v>
      </c>
      <c r="B248" t="s">
        <v>418</v>
      </c>
      <c r="C248" s="9" t="s">
        <v>427</v>
      </c>
      <c r="D248" t="str">
        <f t="shared" si="54"/>
        <v>Masculino</v>
      </c>
      <c r="E248" t="str">
        <f t="shared" si="55"/>
        <v>De 20 a 22 años</v>
      </c>
      <c r="F248">
        <f t="shared" si="56"/>
        <v>21</v>
      </c>
      <c r="G248" s="9" t="s">
        <v>428</v>
      </c>
      <c r="H248" s="9" t="str">
        <f t="shared" si="57"/>
        <v>Tecnólogo</v>
      </c>
      <c r="I248" s="9" t="str">
        <f t="shared" si="58"/>
        <v>Estudio y quiero comenzar a trabajar</v>
      </c>
      <c r="J248" s="13" t="str">
        <f>IF(I248="Trabajo actualmente como empleado",IF(MOD((COUNTIF($I$2:I248,"Trabajo actualmente como empleado")-1)*37,150)&lt;100,"Empleado con contrato","Empleado sin contrato formal"),IF(I248="Trabajo de manera independiente","Trabajo independiente",""))</f>
        <v/>
      </c>
      <c r="K248" s="9" t="str">
        <f>IF(OR(I248="Trabajo actualmente como empleado",I248="Trabajo de manera independiente"),CHOOSE(MOD(COUNTIF($I$2:I248,I248)-1,4)+1,"Menos de 3 meses","De 3 a 6 meses","De 7 a 12 meses","Más de un año"),"")</f>
        <v/>
      </c>
      <c r="L248" t="str">
        <f>IF(OR(I248="Trabajo actualmente como empleado",I248="Trabajo de manera independiente"),CHOOSE(MOD(COUNTIF($I$2:I248,I248)-1,3)+1,"Sí, completamente","Parcialmente","No"),"")</f>
        <v/>
      </c>
      <c r="M248" t="str">
        <f>IF(OR(I248="Trabajo actualmente como empleado",I248="Trabajo de manera independiente"),CHOOSE(MOD(INT((COUNTIF($I$2:I248,I248)-1)/3),4)+1,"1- Muy satisfecho/a","2- Satisfecho/a","3- Insatisfecho/a","4- Muy insatisfecho/a"),"")</f>
        <v/>
      </c>
      <c r="N248" t="str">
        <f>IF(OR(I248="Trabajo actualmente como empleado",I248="Trabajo de manera independiente"),_xlfn.LET(_xlpm.opcion,MOD(INT((COUNTIF($I$2:I248,I248)-1)/5),6)+1,CHOOSE(IF(AND(_xlpm.opcion=6,L248="Sí, completamente"),5,_xlpm.opcion),"Salario","Estabilidad laboral","Horario","Acceso a prestaciones","Oportunidades de crecimiento","Trabajar en un área relacionada con mi formación")),"")</f>
        <v/>
      </c>
      <c r="O248" s="9" t="str">
        <f>IF(OR(I248="Trabajo actualmente como empleado",I248="Trabajo de manera independiente"),_xlfn.LET(_xlpm.turno,MOD(COUNTIF($I$2:I248,I248)-1,5),_xlpm.nivel,VALUE(LEFT(M248,1)),IF(_xlpm.turno=4,"No estoy seguro/a",IF(_xlpm.turno&lt;IF(_xlpm.nivel&lt;=2,1,3),"Sí","No"))),"")</f>
        <v/>
      </c>
      <c r="P248" s="9" t="str">
        <f>_xlfn.LET(_xlpm.perfil,I248,_xlpm.turno,COUNTIF($I$2:I248,_xlpm.perfil)-1,_xlpm.busca,OR(_xlpm.perfil="Actualmente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trabajar"),IF(AND(_xlpm.trabaja,O248="No"),"Todavía no he iniciado una búsqueda activa",CHOOSE(MOD(_xlpm.turno*3,5)+1,"Menos de 1 mes","Entre 1 y 3 meses","Entre 4 y 6 meses","Más de 6 meses","Todavía no he iniciado una búsqueda activa")),"")))</f>
        <v>Entre 1 y 3 meses</v>
      </c>
      <c r="Q248" t="str">
        <f>IF(I248="Tengo un emprendimiento o quiero iniciar uno","",CHOOSE(MOD(INT((COUNTIF($I$2:I248,I248)-1)/7),3)+1,"Sí","No","Tengo una pero necesito actualizarla"))</f>
        <v>Sí</v>
      </c>
      <c r="R248" s="9" t="str">
        <f>IF(I248="Tengo un emprendimiento o quiero iniciar uno","",IF(I248="Busco mi primer empleo","No",IF(MOD(COUNTIF($I$2:I248,I248)-1,2)=0,"Sí","No")))</f>
        <v>No</v>
      </c>
      <c r="S248" t="str">
        <f>IF(I248="Tengo un emprendimiento o quiero iniciar uno","",CHOOSE(MOD(INT((COUNTIF($I$2:I248,I248)-1)/3),10)+1,"Portales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48" t="str">
        <f>IF(I248="Tengo un emprendimiento o quiero iniciar uno","",_xlfn.LET(_xlpm.opcion,MOD(INT((COUNTIF($I$2:I248,I248)-1)/4),6)+1,CHOOSE(IF(AND(_xlpm.opcion=3,Q248="Sí"),1,_xlpm.opcion),"Falta de experiencia","Falta de formación","Dificultades con la hoja de vida","Horarios disponibles","Transporte","Internet")))</f>
        <v>Falta de experiencia</v>
      </c>
      <c r="U248" s="9" t="str">
        <f>IF(I248="Tengo un emprendimiento o quiero iniciar uno","",IF(MOD(INT((COUNTIF($I$2:I248,I248)-1)/3),2)=0,"Sí","No"))</f>
        <v>No</v>
      </c>
      <c r="V248" s="9" t="str">
        <f>IF(I248="Tengo un emprendimiento o quiero iniciar uno",CHOOSE(MOD(COUNTIF($I$2:I248,I248)-1,3)+1,"Tengo un emprendimiento","Estoy iniciando un emprendimiento","Me interesa emprender"),"")</f>
        <v/>
      </c>
      <c r="W248" t="str">
        <f t="shared" si="59"/>
        <v/>
      </c>
      <c r="X248" s="9" t="str">
        <f>IF(I248="Tengo un emprendimiento o quiero iniciar uno",CHOOSE(MOD(COUNTIF($I$2:I248,I248)-1,5)+1,"Falta de financiación","Falta de conocimientos administrativos","Falta de conocimientos financieros","Falta de tiempo","Falta de herramientas"),"")</f>
        <v/>
      </c>
      <c r="Y248" s="9" t="str">
        <f t="shared" si="60"/>
        <v/>
      </c>
      <c r="Z248" t="str">
        <f>IF(I248="Tengo un emprendimiento o quiero iniciar uno",CHOOSE(INT(MOD((COUNTIF($I$2:I248,I248)-1)*7,39)/13)+1,"Sí","No","No conozco programas de ese tipo"),"")</f>
        <v/>
      </c>
      <c r="AA248" t="str">
        <f t="shared" si="61"/>
        <v>No puedo hacerlo</v>
      </c>
      <c r="AB248" t="str">
        <f t="shared" si="61"/>
        <v>No puedo hacerlo</v>
      </c>
      <c r="AC248" t="str">
        <f t="shared" si="62"/>
        <v>Puedo hacerlo sin ayuda</v>
      </c>
      <c r="AD248" s="9" t="str">
        <f t="shared" si="63"/>
        <v>Puedo hacerlo sin ayuda</v>
      </c>
      <c r="AE248" t="str">
        <f t="shared" si="64"/>
        <v>Puedo hacerlo sin ayuda</v>
      </c>
      <c r="AF248" s="9" t="str">
        <f t="shared" si="65"/>
        <v>Herramientas digitales;Educación financiera</v>
      </c>
      <c r="AG248" s="9" t="str">
        <f t="shared" si="66"/>
        <v>Horarios;Falta de información</v>
      </c>
      <c r="AH248" t="str">
        <f t="shared" si="67"/>
        <v>Ferias de empleo</v>
      </c>
      <c r="AI248" s="9" t="str">
        <f t="shared" si="68"/>
        <v>Virtual</v>
      </c>
      <c r="AJ248" s="9" t="str">
        <f t="shared" si="69"/>
        <v>Fines de semana</v>
      </c>
      <c r="AK248" s="9" t="str">
        <f t="shared" si="70"/>
        <v>WhatsApp</v>
      </c>
    </row>
    <row r="249" spans="1:37">
      <c r="A249" t="str">
        <f t="shared" si="71"/>
        <v>SG248</v>
      </c>
      <c r="B249" t="s">
        <v>418</v>
      </c>
      <c r="C249" s="9" t="s">
        <v>427</v>
      </c>
      <c r="D249" t="str">
        <f t="shared" si="54"/>
        <v>Femenino</v>
      </c>
      <c r="E249" t="str">
        <f t="shared" si="55"/>
        <v>De 22 a 24 años</v>
      </c>
      <c r="F249">
        <f t="shared" si="56"/>
        <v>23</v>
      </c>
      <c r="G249" s="9" t="s">
        <v>428</v>
      </c>
      <c r="H249" s="9" t="str">
        <f t="shared" si="57"/>
        <v>Profesional</v>
      </c>
      <c r="I249" s="9" t="str">
        <f t="shared" si="58"/>
        <v>Trabajo actualmente como empleado</v>
      </c>
      <c r="J249" s="13" t="str">
        <f>IF(I249="Trabajo actualmente como empleado",IF(MOD((COUNTIF($I$2:I249,"Trabajo actualmente como empleado")-1)*37,150)&lt;100,"Empleado con contrato","Empleado sin contrato formal"),IF(I249="Trabajo de manera independiente","Trabajo independiente",""))</f>
        <v>Empleado con contrato</v>
      </c>
      <c r="K249" s="9" t="str">
        <f>IF(OR(I249="Trabajo actualmente como empleado",I249="Trabajo de manera independiente"),CHOOSE(MOD(COUNTIF($I$2:I249,I249)-1,4)+1,"Menos de 3 meses","De 3 a 6 meses","De 7 a 12 meses","Más de un año"),"")</f>
        <v>De 7 a 12 meses</v>
      </c>
      <c r="L249" t="str">
        <f>IF(OR(I249="Trabajo actualmente como empleado",I249="Trabajo de manera independiente"),CHOOSE(MOD(COUNTIF($I$2:I249,I249)-1,3)+1,"Sí, completamente","Parcialmente","No"),"")</f>
        <v>Sí, completamente</v>
      </c>
      <c r="M249" t="str">
        <f>IF(OR(I249="Trabajo actualmente como empleado",I249="Trabajo de manera independiente"),CHOOSE(MOD(INT((COUNTIF($I$2:I249,I249)-1)/3),4)+1,"1- Muy satisfecho/a","2- Satisfecho/a","3- Insatisfecho/a","4- Muy insatisfecho/a"),"")</f>
        <v>3- Insatisfecho/a</v>
      </c>
      <c r="N249" t="str">
        <f>IF(OR(I249="Trabajo actualmente como empleado",I249="Trabajo de manera independiente"),_xlfn.LET(_xlpm.opcion,MOD(INT((COUNTIF($I$2:I249,I249)-1)/5),6)+1,CHOOSE(IF(AND(_xlpm.opcion=6,L249="Sí, completamente"),5,_xlpm.opcion),"Salario","Estabilidad laboral","Horario","Acceso a prestaciones","Oportunidades de crecimiento","Trabajar en un área relacionada con mi formación")),"")</f>
        <v>Acceso a prestaciones</v>
      </c>
      <c r="O249" s="9" t="str">
        <f>IF(OR(I249="Trabajo actualmente como empleado",I249="Trabajo de manera independiente"),_xlfn.LET(_xlpm.turno,MOD(COUNTIF($I$2:I249,I249)-1,5),_xlpm.nivel,VALUE(LEFT(M249,1)),IF(_xlpm.turno=4,"No estoy seguro/a",IF(_xlpm.turno&lt;IF(_xlpm.nivel&lt;=2,1,3),"Sí","No"))),"")</f>
        <v>No</v>
      </c>
      <c r="P249" s="9" t="str">
        <f>_xlfn.LET(_xlpm.perfil,I249,_xlpm.turno,COUNTIF($I$2:I249,_xlpm.perfil)-1,_xlpm.busca,OR(_xlpm.perfil="Actualmente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trabajar"),IF(AND(_xlpm.trabaja,O249="No"),"Todavía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49" t="str">
        <f>IF(I249="Tengo un emprendimiento o quiero iniciar uno","",CHOOSE(MOD(INT((COUNTIF($I$2:I249,I249)-1)/7),3)+1,"Sí","No","Tengo una pero necesito actualizarla"))</f>
        <v>Tengo una pero necesito actualizarla</v>
      </c>
      <c r="R249" s="9" t="str">
        <f>IF(I249="Tengo un emprendimiento o quiero iniciar uno","",IF(I249="Busco mi primer empleo","No",IF(MOD(COUNTIF($I$2:I249,I249)-1,2)=0,"Sí","No")))</f>
        <v>Sí</v>
      </c>
      <c r="S249" t="str">
        <f>IF(I249="Tengo un emprendimiento o quiero iniciar uno","",CHOOSE(MOD(INT((COUNTIF($I$2:I249,I249)-1)/3),10)+1,"Portales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49" t="str">
        <f>IF(I249="Tengo un emprendimiento o quiero iniciar uno","",_xlfn.LET(_xlpm.opcion,MOD(INT((COUNTIF($I$2:I249,I249)-1)/4),6)+1,CHOOSE(IF(AND(_xlpm.opcion=3,Q249="Sí"),1,_xlpm.opcion),"Falta de experiencia","Falta de formación","Dificultades con la hoja de vida","Horarios disponibles","Transporte","Internet")))</f>
        <v>Falta de formación</v>
      </c>
      <c r="U249" s="9" t="str">
        <f>IF(I249="Tengo un emprendimiento o quiero iniciar uno","",IF(MOD(INT((COUNTIF($I$2:I249,I249)-1)/3),2)=0,"Sí","No"))</f>
        <v>Sí</v>
      </c>
      <c r="V249" s="9" t="str">
        <f>IF(I249="Tengo un emprendimiento o quiero iniciar uno",CHOOSE(MOD(COUNTIF($I$2:I249,I249)-1,3)+1,"Tengo un emprendimiento","Estoy iniciando un emprendimiento","Me interesa emprender"),"")</f>
        <v/>
      </c>
      <c r="W249" t="str">
        <f t="shared" si="59"/>
        <v/>
      </c>
      <c r="X249" s="9" t="str">
        <f>IF(I249="Tengo un emprendimiento o quiero iniciar uno",CHOOSE(MOD(COUNTIF($I$2:I249,I249)-1,5)+1,"Falta de financiación","Falta de conocimientos administrativos","Falta de conocimientos financieros","Falta de tiempo","Falta de herramientas"),"")</f>
        <v/>
      </c>
      <c r="Y249" s="9" t="str">
        <f t="shared" si="60"/>
        <v/>
      </c>
      <c r="Z249" t="str">
        <f>IF(I249="Tengo un emprendimiento o quiero iniciar uno",CHOOSE(INT(MOD((COUNTIF($I$2:I249,I249)-1)*7,39)/13)+1,"Sí","No","No conozco programas de ese tipo"),"")</f>
        <v/>
      </c>
      <c r="AA249" t="str">
        <f t="shared" si="61"/>
        <v>Puedo hacerlo con ayuda</v>
      </c>
      <c r="AB249" t="str">
        <f t="shared" si="61"/>
        <v>Puedo hacerlo con ayuda</v>
      </c>
      <c r="AC249" t="str">
        <f t="shared" si="62"/>
        <v>No puedo hacerlo</v>
      </c>
      <c r="AD249" s="9" t="str">
        <f t="shared" si="63"/>
        <v>No puedo hacerlo</v>
      </c>
      <c r="AE249" t="str">
        <f t="shared" si="64"/>
        <v>No puedo hacerlo</v>
      </c>
      <c r="AF249" s="9" t="str">
        <f t="shared" si="65"/>
        <v>Crear una hoja de vida</v>
      </c>
      <c r="AG249" s="9" t="str">
        <f t="shared" si="66"/>
        <v>Horarios;Falta de información</v>
      </c>
      <c r="AH249" t="str">
        <f t="shared" si="67"/>
        <v>Programas de emprendimiento</v>
      </c>
      <c r="AI249" s="9" t="str">
        <f t="shared" si="68"/>
        <v>Presencial y virtual</v>
      </c>
      <c r="AJ249" s="9" t="str">
        <f t="shared" si="69"/>
        <v>Nocturno</v>
      </c>
      <c r="AK249" s="9" t="str">
        <f t="shared" si="70"/>
        <v>Redes sociales</v>
      </c>
    </row>
    <row r="250" spans="1:37">
      <c r="A250" t="str">
        <f t="shared" si="71"/>
        <v>SG249</v>
      </c>
      <c r="B250" t="s">
        <v>418</v>
      </c>
      <c r="C250" s="9" t="s">
        <v>427</v>
      </c>
      <c r="D250" t="str">
        <f t="shared" si="54"/>
        <v>Femenino</v>
      </c>
      <c r="E250" t="str">
        <f t="shared" si="55"/>
        <v>De 24 a 26 años</v>
      </c>
      <c r="F250">
        <f t="shared" si="56"/>
        <v>25</v>
      </c>
      <c r="G250" s="9" t="s">
        <v>428</v>
      </c>
      <c r="H250" s="9" t="str">
        <f t="shared" si="57"/>
        <v>Profesional</v>
      </c>
      <c r="I250" s="9" t="str">
        <f t="shared" si="58"/>
        <v>Actualmente no trabajo y estoy buscando empleo</v>
      </c>
      <c r="J250" s="13" t="str">
        <f>IF(I250="Trabajo actualmente como empleado",IF(MOD((COUNTIF($I$2:I250,"Trabajo actualmente como empleado")-1)*37,150)&lt;100,"Empleado con contrato","Empleado sin contrato formal"),IF(I250="Trabajo de manera independiente","Trabajo independiente",""))</f>
        <v/>
      </c>
      <c r="K250" s="9" t="str">
        <f>IF(OR(I250="Trabajo actualmente como empleado",I250="Trabajo de manera independiente"),CHOOSE(MOD(COUNTIF($I$2:I250,I250)-1,4)+1,"Menos de 3 meses","De 3 a 6 meses","De 7 a 12 meses","Más de un año"),"")</f>
        <v/>
      </c>
      <c r="L250" t="str">
        <f>IF(OR(I250="Trabajo actualmente como empleado",I250="Trabajo de manera independiente"),CHOOSE(MOD(COUNTIF($I$2:I250,I250)-1,3)+1,"Sí, completamente","Parcialmente","No"),"")</f>
        <v/>
      </c>
      <c r="M250" t="str">
        <f>IF(OR(I250="Trabajo actualmente como empleado",I250="Trabajo de manera independiente"),CHOOSE(MOD(INT((COUNTIF($I$2:I250,I250)-1)/3),4)+1,"1- Muy satisfecho/a","2- Satisfecho/a","3- Insatisfecho/a","4- Muy insatisfecho/a"),"")</f>
        <v/>
      </c>
      <c r="N250" t="str">
        <f>IF(OR(I250="Trabajo actualmente como empleado",I250="Trabajo de manera independiente"),_xlfn.LET(_xlpm.opcion,MOD(INT((COUNTIF($I$2:I250,I250)-1)/5),6)+1,CHOOSE(IF(AND(_xlpm.opcion=6,L250="Sí, completamente"),5,_xlpm.opcion),"Salario","Estabilidad laboral","Horario","Acceso a prestaciones","Oportunidades de crecimiento","Trabajar en un área relacionada con mi formación")),"")</f>
        <v/>
      </c>
      <c r="O250" s="9" t="str">
        <f>IF(OR(I250="Trabajo actualmente como empleado",I250="Trabajo de manera independiente"),_xlfn.LET(_xlpm.turno,MOD(COUNTIF($I$2:I250,I250)-1,5),_xlpm.nivel,VALUE(LEFT(M250,1)),IF(_xlpm.turno=4,"No estoy seguro/a",IF(_xlpm.turno&lt;IF(_xlpm.nivel&lt;=2,1,3),"Sí","No"))),"")</f>
        <v/>
      </c>
      <c r="P250" s="9" t="str">
        <f>_xlfn.LET(_xlpm.perfil,I250,_xlpm.turno,COUNTIF($I$2:I250,_xlpm.perfil)-1,_xlpm.busca,OR(_xlpm.perfil="Actualmente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trabajar"),IF(AND(_xlpm.trabaja,O250="No"),"Todavía no he iniciado una búsqueda activa",CHOOSE(MOD(_xlpm.turno*3,5)+1,"Menos de 1 mes","Entre 1 y 3 meses","Entre 4 y 6 meses","Más de 6 meses","Todavía no he iniciado una búsqueda activa")),"")))</f>
        <v>Menos de 1 mes</v>
      </c>
      <c r="Q250" t="str">
        <f>IF(I250="Tengo un emprendimiento o quiero iniciar uno","",CHOOSE(MOD(INT((COUNTIF($I$2:I250,I250)-1)/7),3)+1,"Sí","No","Tengo una pero necesito actualizarla"))</f>
        <v>Sí</v>
      </c>
      <c r="R250" s="9" t="str">
        <f>IF(I250="Tengo un emprendimiento o quiero iniciar uno","",IF(I250="Busco mi primer empleo","No",IF(MOD(COUNTIF($I$2:I250,I250)-1,2)=0,"Sí","No")))</f>
        <v>Sí</v>
      </c>
      <c r="S250" t="str">
        <f>IF(I250="Tengo un emprendimiento o quiero iniciar uno","",CHOOSE(MOD(INT((COUNTIF($I$2:I250,I250)-1)/3),10)+1,"Portales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50" t="str">
        <f>IF(I250="Tengo un emprendimiento o quiero iniciar uno","",_xlfn.LET(_xlpm.opcion,MOD(INT((COUNTIF($I$2:I250,I250)-1)/4),6)+1,CHOOSE(IF(AND(_xlpm.opcion=3,Q250="Sí"),1,_xlpm.opcion),"Falta de experiencia","Falta de formación","Dificultades con la hoja de vida","Horarios disponibles","Transporte","Internet")))</f>
        <v>Internet</v>
      </c>
      <c r="U250" s="9" t="str">
        <f>IF(I250="Tengo un emprendimiento o quiero iniciar uno","",IF(MOD(INT((COUNTIF($I$2:I250,I250)-1)/3),2)=0,"Sí","No"))</f>
        <v>Sí</v>
      </c>
      <c r="V250" s="9" t="str">
        <f>IF(I250="Tengo un emprendimiento o quiero iniciar uno",CHOOSE(MOD(COUNTIF($I$2:I250,I250)-1,3)+1,"Tengo un emprendimiento","Estoy iniciando un emprendimiento","Me interesa emprender"),"")</f>
        <v/>
      </c>
      <c r="W250" t="str">
        <f t="shared" si="59"/>
        <v/>
      </c>
      <c r="X250" s="9" t="str">
        <f>IF(I250="Tengo un emprendimiento o quiero iniciar uno",CHOOSE(MOD(COUNTIF($I$2:I250,I250)-1,5)+1,"Falta de financiación","Falta de conocimientos administrativos","Falta de conocimientos financieros","Falta de tiempo","Falta de herramientas"),"")</f>
        <v/>
      </c>
      <c r="Y250" s="9" t="str">
        <f t="shared" si="60"/>
        <v/>
      </c>
      <c r="Z250" t="str">
        <f>IF(I250="Tengo un emprendimiento o quiero iniciar uno",CHOOSE(INT(MOD((COUNTIF($I$2:I250,I250)-1)*7,39)/13)+1,"Sí","No","No conozco programas de ese tipo"),"")</f>
        <v/>
      </c>
      <c r="AA250" t="str">
        <f t="shared" si="61"/>
        <v>Puedo hacerlo sin ayuda</v>
      </c>
      <c r="AB250" t="str">
        <f t="shared" si="61"/>
        <v>Puedo hacerlo sin ayuda</v>
      </c>
      <c r="AC250" t="str">
        <f t="shared" si="62"/>
        <v>Puedo hacerlo con ayuda</v>
      </c>
      <c r="AD250" s="9" t="str">
        <f t="shared" si="63"/>
        <v>Puedo hacerlo con ayuda</v>
      </c>
      <c r="AE250" t="str">
        <f t="shared" si="64"/>
        <v>No puedo hacerlo</v>
      </c>
      <c r="AF250" s="9" t="str">
        <f t="shared" si="65"/>
        <v>Preparación para entrevista</v>
      </c>
      <c r="AG250" s="9" t="str">
        <f t="shared" si="66"/>
        <v>Horarios;Falta de información</v>
      </c>
      <c r="AH250" t="str">
        <f t="shared" si="67"/>
        <v>Oficina de orientación laboral</v>
      </c>
      <c r="AI250" s="9" t="str">
        <f t="shared" si="68"/>
        <v>Me es indiferente</v>
      </c>
      <c r="AJ250" s="9" t="str">
        <f t="shared" si="69"/>
        <v>Mañana entre semana</v>
      </c>
      <c r="AK250" s="9" t="str">
        <f t="shared" si="70"/>
        <v>Celular</v>
      </c>
    </row>
    <row r="251" spans="1:37">
      <c r="A251" t="str">
        <f t="shared" si="71"/>
        <v>SG250</v>
      </c>
      <c r="B251" t="s">
        <v>418</v>
      </c>
      <c r="C251" s="9" t="s">
        <v>427</v>
      </c>
      <c r="D251" t="str">
        <f t="shared" si="54"/>
        <v>Masculino</v>
      </c>
      <c r="E251" t="str">
        <f t="shared" si="55"/>
        <v>De 26 a 28 años</v>
      </c>
      <c r="F251">
        <f t="shared" si="56"/>
        <v>27</v>
      </c>
      <c r="G251" s="9" t="s">
        <v>428</v>
      </c>
      <c r="H251" s="9" t="str">
        <f t="shared" si="57"/>
        <v>Bachiller</v>
      </c>
      <c r="I251" s="9" t="str">
        <f t="shared" si="58"/>
        <v>Tengo un emprendimiento o quiero iniciar uno</v>
      </c>
      <c r="J251" s="13" t="str">
        <f>IF(I251="Trabajo actualmente como empleado",IF(MOD((COUNTIF($I$2:I251,"Trabajo actualmente como empleado")-1)*37,150)&lt;100,"Empleado con contrato","Empleado sin contrato formal"),IF(I251="Trabajo de manera independiente","Trabajo independiente",""))</f>
        <v/>
      </c>
      <c r="K251" s="9" t="str">
        <f>IF(OR(I251="Trabajo actualmente como empleado",I251="Trabajo de manera independiente"),CHOOSE(MOD(COUNTIF($I$2:I251,I251)-1,4)+1,"Menos de 3 meses","De 3 a 6 meses","De 7 a 12 meses","Más de un año"),"")</f>
        <v/>
      </c>
      <c r="L251" t="str">
        <f>IF(OR(I251="Trabajo actualmente como empleado",I251="Trabajo de manera independiente"),CHOOSE(MOD(COUNTIF($I$2:I251,I251)-1,3)+1,"Sí, completamente","Parcialmente","No"),"")</f>
        <v/>
      </c>
      <c r="M251" t="str">
        <f>IF(OR(I251="Trabajo actualmente como empleado",I251="Trabajo de manera independiente"),CHOOSE(MOD(INT((COUNTIF($I$2:I251,I251)-1)/3),4)+1,"1- Muy satisfecho/a","2- Satisfecho/a","3- Insatisfecho/a","4- Muy insatisfecho/a"),"")</f>
        <v/>
      </c>
      <c r="N251" t="str">
        <f>IF(OR(I251="Trabajo actualmente como empleado",I251="Trabajo de manera independiente"),_xlfn.LET(_xlpm.opcion,MOD(INT((COUNTIF($I$2:I251,I251)-1)/5),6)+1,CHOOSE(IF(AND(_xlpm.opcion=6,L251="Sí, completamente"),5,_xlpm.opcion),"Salario","Estabilidad laboral","Horario","Acceso a prestaciones","Oportunidades de crecimiento","Trabajar en un área relacionada con mi formación")),"")</f>
        <v/>
      </c>
      <c r="O251" s="9" t="str">
        <f>IF(OR(I251="Trabajo actualmente como empleado",I251="Trabajo de manera independiente"),_xlfn.LET(_xlpm.turno,MOD(COUNTIF($I$2:I251,I251)-1,5),_xlpm.nivel,VALUE(LEFT(M251,1)),IF(_xlpm.turno=4,"No estoy seguro/a",IF(_xlpm.turno&lt;IF(_xlpm.nivel&lt;=2,1,3),"Sí","No"))),"")</f>
        <v/>
      </c>
      <c r="P251" s="9" t="str">
        <f>_xlfn.LET(_xlpm.perfil,I251,_xlpm.turno,COUNTIF($I$2:I251,_xlpm.perfil)-1,_xlpm.busca,OR(_xlpm.perfil="Actualmente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trabajar"),IF(AND(_xlpm.trabaja,O251="No"),"Todavía no he iniciado una búsqueda activa",CHOOSE(MOD(_xlpm.turno*3,5)+1,"Menos de 1 mes","Entre 1 y 3 meses","Entre 4 y 6 meses","Más de 6 meses","Todavía no he iniciado una búsqueda activa")),"")))</f>
        <v/>
      </c>
      <c r="Q251" t="str">
        <f>IF(I251="Tengo un emprendimiento o quiero iniciar uno","",CHOOSE(MOD(INT((COUNTIF($I$2:I251,I251)-1)/7),3)+1,"Sí","No","Tengo una pero necesito actualizarla"))</f>
        <v/>
      </c>
      <c r="R251" s="9" t="str">
        <f>IF(I251="Tengo un emprendimiento o quiero iniciar uno","",IF(I251="Busco mi primer empleo","No",IF(MOD(COUNTIF($I$2:I251,I251)-1,2)=0,"Sí","No")))</f>
        <v/>
      </c>
      <c r="S251" t="str">
        <f>IF(I251="Tengo un emprendimiento o quiero iniciar uno","",CHOOSE(MOD(INT((COUNTIF($I$2:I251,I251)-1)/3),10)+1,"Portales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51" t="str">
        <f>IF(I251="Tengo un emprendimiento o quiero iniciar uno","",_xlfn.LET(_xlpm.opcion,MOD(INT((COUNTIF($I$2:I251,I251)-1)/4),6)+1,CHOOSE(IF(AND(_xlpm.opcion=3,Q251="Sí"),1,_xlpm.opcion),"Falta de experiencia","Falta de formación","Dificultades con la hoja de vida","Horarios disponibles","Transporte","Internet")))</f>
        <v/>
      </c>
      <c r="U251" s="9" t="str">
        <f>IF(I251="Tengo un emprendimiento o quiero iniciar uno","",IF(MOD(INT((COUNTIF($I$2:I251,I251)-1)/3),2)=0,"Sí","No"))</f>
        <v/>
      </c>
      <c r="V251" s="9" t="str">
        <f>IF(I251="Tengo un emprendimiento o quiero iniciar uno",CHOOSE(MOD(COUNTIF($I$2:I251,I251)-1,3)+1,"Tengo un emprendimiento","Estoy iniciando un emprendimiento","Me interesa emprender"),"")</f>
        <v>Me interesa emprender</v>
      </c>
      <c r="W251" t="str">
        <f t="shared" si="59"/>
        <v/>
      </c>
      <c r="X251" s="9" t="str">
        <f>IF(I251="Tengo un emprendimiento o quiero iniciar uno",CHOOSE(MOD(COUNTIF($I$2:I251,I251)-1,5)+1,"Falta de financiación","Falta de conocimientos administrativos","Falta de conocimientos financieros","Falta de tiempo","Falta de herramientas"),"")</f>
        <v>Falta de financiación</v>
      </c>
      <c r="Y251" s="9" t="str">
        <f t="shared" si="60"/>
        <v>Falta de financiación</v>
      </c>
      <c r="Z251" t="str">
        <f>IF(I251="Tengo un emprendimiento o quiero iniciar uno",CHOOSE(INT(MOD((COUNTIF($I$2:I251,I251)-1)*7,39)/13)+1,"Sí","No","No conozco programas de ese tipo"),"")</f>
        <v>No</v>
      </c>
      <c r="AA251" t="str">
        <f t="shared" si="61"/>
        <v>Puedo hacerlo con ayuda</v>
      </c>
      <c r="AB251" t="str">
        <f t="shared" si="61"/>
        <v>Puedo hacerlo con ayuda</v>
      </c>
      <c r="AC251" t="str">
        <f t="shared" si="62"/>
        <v>Puedo hacerlo sin ayuda</v>
      </c>
      <c r="AD251" s="9" t="str">
        <f t="shared" si="63"/>
        <v>Puedo hacerlo con dificultad</v>
      </c>
      <c r="AE251" t="str">
        <f t="shared" si="64"/>
        <v>Puedo hacerlo con ayuda</v>
      </c>
      <c r="AF251" s="9" t="str">
        <f t="shared" si="65"/>
        <v>Comunicación</v>
      </c>
      <c r="AG251" s="9" t="str">
        <f t="shared" si="66"/>
        <v>Ninguna</v>
      </c>
      <c r="AH251" t="str">
        <f t="shared" si="67"/>
        <v>Programas de emprendimiento</v>
      </c>
      <c r="AI251" s="9" t="str">
        <f t="shared" si="68"/>
        <v>Presencial</v>
      </c>
      <c r="AJ251" s="9" t="str">
        <f t="shared" si="69"/>
        <v>Fines de semana</v>
      </c>
      <c r="AK251" s="9" t="str">
        <f t="shared" si="70"/>
        <v>Correo electrónico</v>
      </c>
    </row>
    <row r="252" spans="1:37">
      <c r="A252" t="str">
        <f t="shared" si="71"/>
        <v>SG251</v>
      </c>
      <c r="B252" t="s">
        <v>418</v>
      </c>
      <c r="C252" s="9" t="s">
        <v>427</v>
      </c>
      <c r="D252" t="str">
        <f t="shared" si="54"/>
        <v>Femenino</v>
      </c>
      <c r="E252" t="str">
        <f t="shared" si="55"/>
        <v>De 18 a 20 años</v>
      </c>
      <c r="F252">
        <f t="shared" si="56"/>
        <v>18</v>
      </c>
      <c r="G252" s="9" t="s">
        <v>428</v>
      </c>
      <c r="H252" s="9" t="str">
        <f t="shared" si="57"/>
        <v>Bachiller</v>
      </c>
      <c r="I252" s="9" t="str">
        <f t="shared" si="58"/>
        <v>Trabajo actualmente como empleado</v>
      </c>
      <c r="J252" s="13" t="str">
        <f>IF(I252="Trabajo actualmente como empleado",IF(MOD((COUNTIF($I$2:I252,"Trabajo actualmente como empleado")-1)*37,150)&lt;100,"Empleado con contrato","Empleado sin contrato formal"),IF(I252="Trabajo de manera independiente","Trabajo independiente",""))</f>
        <v>Empleado con contrato</v>
      </c>
      <c r="K252" s="9" t="str">
        <f>IF(OR(I252="Trabajo actualmente como empleado",I252="Trabajo de manera independiente"),CHOOSE(MOD(COUNTIF($I$2:I252,I252)-1,4)+1,"Menos de 3 meses","De 3 a 6 meses","De 7 a 12 meses","Más de un año"),"")</f>
        <v>Más de un año</v>
      </c>
      <c r="L252" t="str">
        <f>IF(OR(I252="Trabajo actualmente como empleado",I252="Trabajo de manera independiente"),CHOOSE(MOD(COUNTIF($I$2:I252,I252)-1,3)+1,"Sí, completamente","Parcialmente","No"),"")</f>
        <v>Parcialmente</v>
      </c>
      <c r="M252" t="str">
        <f>IF(OR(I252="Trabajo actualmente como empleado",I252="Trabajo de manera independiente"),CHOOSE(MOD(INT((COUNTIF($I$2:I252,I252)-1)/3),4)+1,"1- Muy satisfecho/a","2- Satisfecho/a","3- Insatisfecho/a","4- Muy insatisfecho/a"),"")</f>
        <v>3- Insatisfecho/a</v>
      </c>
      <c r="N252" t="str">
        <f>IF(OR(I252="Trabajo actualmente como empleado",I252="Trabajo de manera independiente"),_xlfn.LET(_xlpm.opcion,MOD(INT((COUNTIF($I$2:I252,I252)-1)/5),6)+1,CHOOSE(IF(AND(_xlpm.opcion=6,L252="Sí, completamente"),5,_xlpm.opcion),"Salario","Estabilidad laboral","Horario","Acceso a prestaciones","Oportunidades de crecimiento","Trabajar en un área relacionada con mi formación")),"")</f>
        <v>Acceso a prestaciones</v>
      </c>
      <c r="O252" s="9" t="str">
        <f>IF(OR(I252="Trabajo actualmente como empleado",I252="Trabajo de manera independiente"),_xlfn.LET(_xlpm.turno,MOD(COUNTIF($I$2:I252,I252)-1,5),_xlpm.nivel,VALUE(LEFT(M252,1)),IF(_xlpm.turno=4,"No estoy seguro/a",IF(_xlpm.turno&lt;IF(_xlpm.nivel&lt;=2,1,3),"Sí","No"))),"")</f>
        <v>No estoy seguro/a</v>
      </c>
      <c r="P252" s="9" t="str">
        <f>_xlfn.LET(_xlpm.perfil,I252,_xlpm.turno,COUNTIF($I$2:I252,_xlpm.perfil)-1,_xlpm.busca,OR(_xlpm.perfil="Actualmente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trabajar"),IF(AND(_xlpm.trabaja,O252="No"),"Todavía no he iniciado una búsqueda activa",CHOOSE(MOD(_xlpm.turno*3,5)+1,"Menos de 1 mes","Entre 1 y 3 meses","Entre 4 y 6 meses","Más de 6 meses","Todavía no he iniciado una búsqueda activa")),"")))</f>
        <v>Entre 4 y 6 meses</v>
      </c>
      <c r="Q252" t="str">
        <f>IF(I252="Tengo un emprendimiento o quiero iniciar uno","",CHOOSE(MOD(INT((COUNTIF($I$2:I252,I252)-1)/7),3)+1,"Sí","No","Tengo una pero necesito actualizarla"))</f>
        <v>Tengo una pero necesito actualizarla</v>
      </c>
      <c r="R252" s="9" t="str">
        <f>IF(I252="Tengo un emprendimiento o quiero iniciar uno","",IF(I252="Busco mi primer empleo","No",IF(MOD(COUNTIF($I$2:I252,I252)-1,2)=0,"Sí","No")))</f>
        <v>No</v>
      </c>
      <c r="S252" t="str">
        <f>IF(I252="Tengo un emprendimiento o quiero iniciar uno","",CHOOSE(MOD(INT((COUNTIF($I$2:I252,I252)-1)/3),10)+1,"Portales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52" t="str">
        <f>IF(I252="Tengo un emprendimiento o quiero iniciar uno","",_xlfn.LET(_xlpm.opcion,MOD(INT((COUNTIF($I$2:I252,I252)-1)/4),6)+1,CHOOSE(IF(AND(_xlpm.opcion=3,Q252="Sí"),1,_xlpm.opcion),"Falta de experiencia","Falta de formación","Dificultades con la hoja de vida","Horarios disponibles","Transporte","Internet")))</f>
        <v>Falta de formación</v>
      </c>
      <c r="U252" s="9" t="str">
        <f>IF(I252="Tengo un emprendimiento o quiero iniciar uno","",IF(MOD(INT((COUNTIF($I$2:I252,I252)-1)/3),2)=0,"Sí","No"))</f>
        <v>Sí</v>
      </c>
      <c r="V252" s="9" t="str">
        <f>IF(I252="Tengo un emprendimiento o quiero iniciar uno",CHOOSE(MOD(COUNTIF($I$2:I252,I252)-1,3)+1,"Tengo un emprendimiento","Estoy iniciando un emprendimiento","Me interesa emprender"),"")</f>
        <v/>
      </c>
      <c r="W252" t="str">
        <f t="shared" si="59"/>
        <v/>
      </c>
      <c r="X252" s="9" t="str">
        <f>IF(I252="Tengo un emprendimiento o quiero iniciar uno",CHOOSE(MOD(COUNTIF($I$2:I252,I252)-1,5)+1,"Falta de financiación","Falta de conocimientos administrativos","Falta de conocimientos financieros","Falta de tiempo","Falta de herramientas"),"")</f>
        <v/>
      </c>
      <c r="Y252" s="9" t="str">
        <f t="shared" si="60"/>
        <v/>
      </c>
      <c r="Z252" t="str">
        <f>IF(I252="Tengo un emprendimiento o quiero iniciar uno",CHOOSE(INT(MOD((COUNTIF($I$2:I252,I252)-1)*7,39)/13)+1,"Sí","No","No conozco programas de ese tipo"),"")</f>
        <v/>
      </c>
      <c r="AA252" t="str">
        <f t="shared" si="61"/>
        <v>Puedo hacerlo con dificultad</v>
      </c>
      <c r="AB252" t="str">
        <f t="shared" si="61"/>
        <v>Puedo hacerlo con dificultad</v>
      </c>
      <c r="AC252" t="str">
        <f t="shared" si="62"/>
        <v>No puedo hacerlo</v>
      </c>
      <c r="AD252" s="9" t="str">
        <f t="shared" si="63"/>
        <v>Puedo hacerlo con dificultad</v>
      </c>
      <c r="AE252" t="str">
        <f t="shared" si="64"/>
        <v>Puedo hacerlo con ayuda</v>
      </c>
      <c r="AF252" s="9" t="str">
        <f t="shared" si="65"/>
        <v>Liderazgo</v>
      </c>
      <c r="AG252" s="9" t="str">
        <f t="shared" si="66"/>
        <v>Ninguna</v>
      </c>
      <c r="AH252" t="str">
        <f t="shared" si="67"/>
        <v>No conozco ninguno</v>
      </c>
      <c r="AI252" s="9" t="str">
        <f t="shared" si="68"/>
        <v>Virtual</v>
      </c>
      <c r="AJ252" s="9" t="str">
        <f t="shared" si="69"/>
        <v>Nocturno</v>
      </c>
      <c r="AK252" s="9" t="str">
        <f t="shared" si="70"/>
        <v>Redes sociales</v>
      </c>
    </row>
    <row r="253" spans="1:37">
      <c r="A253" t="str">
        <f t="shared" si="71"/>
        <v>SG252</v>
      </c>
      <c r="B253" t="s">
        <v>418</v>
      </c>
      <c r="C253" s="9" t="s">
        <v>427</v>
      </c>
      <c r="D253" t="str">
        <f t="shared" si="54"/>
        <v>Femenino</v>
      </c>
      <c r="E253" t="str">
        <f t="shared" si="55"/>
        <v>De 20 a 22 años</v>
      </c>
      <c r="F253">
        <f t="shared" si="56"/>
        <v>20</v>
      </c>
      <c r="G253" s="9" t="s">
        <v>428</v>
      </c>
      <c r="H253" s="9" t="str">
        <f t="shared" si="57"/>
        <v>Bachiller</v>
      </c>
      <c r="I253" s="9" t="str">
        <f t="shared" si="58"/>
        <v>Actualmente no trabajo y estoy buscando empleo</v>
      </c>
      <c r="J253" s="13" t="str">
        <f>IF(I253="Trabajo actualmente como empleado",IF(MOD((COUNTIF($I$2:I253,"Trabajo actualmente como empleado")-1)*37,150)&lt;100,"Empleado con contrato","Empleado sin contrato formal"),IF(I253="Trabajo de manera independiente","Trabajo independiente",""))</f>
        <v/>
      </c>
      <c r="K253" s="9" t="str">
        <f>IF(OR(I253="Trabajo actualmente como empleado",I253="Trabajo de manera independiente"),CHOOSE(MOD(COUNTIF($I$2:I253,I253)-1,4)+1,"Menos de 3 meses","De 3 a 6 meses","De 7 a 12 meses","Más de un año"),"")</f>
        <v/>
      </c>
      <c r="L253" t="str">
        <f>IF(OR(I253="Trabajo actualmente como empleado",I253="Trabajo de manera independiente"),CHOOSE(MOD(COUNTIF($I$2:I253,I253)-1,3)+1,"Sí, completamente","Parcialmente","No"),"")</f>
        <v/>
      </c>
      <c r="M253" t="str">
        <f>IF(OR(I253="Trabajo actualmente como empleado",I253="Trabajo de manera independiente"),CHOOSE(MOD(INT((COUNTIF($I$2:I253,I253)-1)/3),4)+1,"1- Muy satisfecho/a","2- Satisfecho/a","3- Insatisfecho/a","4- Muy insatisfecho/a"),"")</f>
        <v/>
      </c>
      <c r="N253" t="str">
        <f>IF(OR(I253="Trabajo actualmente como empleado",I253="Trabajo de manera independiente"),_xlfn.LET(_xlpm.opcion,MOD(INT((COUNTIF($I$2:I253,I253)-1)/5),6)+1,CHOOSE(IF(AND(_xlpm.opcion=6,L253="Sí, completamente"),5,_xlpm.opcion),"Salario","Estabilidad laboral","Horario","Acceso a prestaciones","Oportunidades de crecimiento","Trabajar en un área relacionada con mi formación")),"")</f>
        <v/>
      </c>
      <c r="O253" s="9" t="str">
        <f>IF(OR(I253="Trabajo actualmente como empleado",I253="Trabajo de manera independiente"),_xlfn.LET(_xlpm.turno,MOD(COUNTIF($I$2:I253,I253)-1,5),_xlpm.nivel,VALUE(LEFT(M253,1)),IF(_xlpm.turno=4,"No estoy seguro/a",IF(_xlpm.turno&lt;IF(_xlpm.nivel&lt;=2,1,3),"Sí","No"))),"")</f>
        <v/>
      </c>
      <c r="P253" s="9" t="str">
        <f>_xlfn.LET(_xlpm.perfil,I253,_xlpm.turno,COUNTIF($I$2:I253,_xlpm.perfil)-1,_xlpm.busca,OR(_xlpm.perfil="Actualmente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trabajar"),IF(AND(_xlpm.trabaja,O253="No"),"Todavía no he iniciado una búsqueda activa",CHOOSE(MOD(_xlpm.turno*3,5)+1,"Menos de 1 mes","Entre 1 y 3 meses","Entre 4 y 6 meses","Más de 6 meses","Todavía no he iniciado una búsqueda activa")),"")))</f>
        <v>Más de 6 meses</v>
      </c>
      <c r="Q253" t="str">
        <f>IF(I253="Tengo un emprendimiento o quiero iniciar uno","",CHOOSE(MOD(INT((COUNTIF($I$2:I253,I253)-1)/7),3)+1,"Sí","No","Tengo una pero necesito actualizarla"))</f>
        <v>Sí</v>
      </c>
      <c r="R253" s="9" t="str">
        <f>IF(I253="Tengo un emprendimiento o quiero iniciar uno","",IF(I253="Busco mi primer empleo","No",IF(MOD(COUNTIF($I$2:I253,I253)-1,2)=0,"Sí","No")))</f>
        <v>No</v>
      </c>
      <c r="S253" t="str">
        <f>IF(I253="Tengo un emprendimiento o quiero iniciar uno","",CHOOSE(MOD(INT((COUNTIF($I$2:I253,I253)-1)/3),10)+1,"Portales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53" t="str">
        <f>IF(I253="Tengo un emprendimiento o quiero iniciar uno","",_xlfn.LET(_xlpm.opcion,MOD(INT((COUNTIF($I$2:I253,I253)-1)/4),6)+1,CHOOSE(IF(AND(_xlpm.opcion=3,Q253="Sí"),1,_xlpm.opcion),"Falta de experiencia","Falta de formación","Dificultades con la hoja de vida","Horarios disponibles","Transporte","Internet")))</f>
        <v>Internet</v>
      </c>
      <c r="U253" s="9" t="str">
        <f>IF(I253="Tengo un emprendimiento o quiero iniciar uno","",IF(MOD(INT((COUNTIF($I$2:I253,I253)-1)/3),2)=0,"Sí","No"))</f>
        <v>No</v>
      </c>
      <c r="V253" s="9" t="str">
        <f>IF(I253="Tengo un emprendimiento o quiero iniciar uno",CHOOSE(MOD(COUNTIF($I$2:I253,I253)-1,3)+1,"Tengo un emprendimiento","Estoy iniciando un emprendimiento","Me interesa emprender"),"")</f>
        <v/>
      </c>
      <c r="W253" t="str">
        <f t="shared" si="59"/>
        <v/>
      </c>
      <c r="X253" s="9" t="str">
        <f>IF(I253="Tengo un emprendimiento o quiero iniciar uno",CHOOSE(MOD(COUNTIF($I$2:I253,I253)-1,5)+1,"Falta de financiación","Falta de conocimientos administrativos","Falta de conocimientos financieros","Falta de tiempo","Falta de herramientas"),"")</f>
        <v/>
      </c>
      <c r="Y253" s="9" t="str">
        <f t="shared" si="60"/>
        <v/>
      </c>
      <c r="Z253" t="str">
        <f>IF(I253="Tengo un emprendimiento o quiero iniciar uno",CHOOSE(INT(MOD((COUNTIF($I$2:I253,I253)-1)*7,39)/13)+1,"Sí","No","No conozco programas de ese tipo"),"")</f>
        <v/>
      </c>
      <c r="AA253" t="str">
        <f t="shared" si="61"/>
        <v>No puedo hacerlo</v>
      </c>
      <c r="AB253" t="str">
        <f t="shared" si="61"/>
        <v>No puedo hacerlo</v>
      </c>
      <c r="AC253" t="str">
        <f t="shared" si="62"/>
        <v>Puedo hacerlo con ayuda</v>
      </c>
      <c r="AD253" s="9" t="str">
        <f t="shared" si="63"/>
        <v>Puedo hacerlo sin ayuda</v>
      </c>
      <c r="AE253" t="str">
        <f t="shared" si="64"/>
        <v>Puedo hacerlo con dificultad</v>
      </c>
      <c r="AF253" s="9" t="str">
        <f t="shared" si="65"/>
        <v>Emprendimiento</v>
      </c>
      <c r="AG253" s="9" t="str">
        <f t="shared" si="66"/>
        <v>Ninguna</v>
      </c>
      <c r="AH253" t="str">
        <f t="shared" si="67"/>
        <v>Ferias de empleo</v>
      </c>
      <c r="AI253" s="9" t="str">
        <f t="shared" si="68"/>
        <v>Presencial y virtual</v>
      </c>
      <c r="AJ253" s="9" t="str">
        <f t="shared" si="69"/>
        <v>Mañana entre semana</v>
      </c>
      <c r="AK253" s="9" t="str">
        <f t="shared" si="70"/>
        <v>WhatsApp</v>
      </c>
    </row>
    <row r="254" spans="1:37">
      <c r="A254" t="str">
        <f t="shared" si="71"/>
        <v>SG253</v>
      </c>
      <c r="B254" t="s">
        <v>418</v>
      </c>
      <c r="C254" s="9" t="s">
        <v>427</v>
      </c>
      <c r="D254" t="str">
        <f t="shared" si="54"/>
        <v>Masculino</v>
      </c>
      <c r="E254" t="str">
        <f t="shared" si="55"/>
        <v>De 22 a 24 años</v>
      </c>
      <c r="F254">
        <f t="shared" si="56"/>
        <v>22</v>
      </c>
      <c r="G254" s="9" t="s">
        <v>428</v>
      </c>
      <c r="H254" s="9" t="str">
        <f t="shared" si="57"/>
        <v>Técnico</v>
      </c>
      <c r="I254" s="9" t="str">
        <f t="shared" si="58"/>
        <v>Trabajo actualmente como empleado</v>
      </c>
      <c r="J254" s="13" t="str">
        <f>IF(I254="Trabajo actualmente como empleado",IF(MOD((COUNTIF($I$2:I254,"Trabajo actualmente como empleado")-1)*37,150)&lt;100,"Empleado con contrato","Empleado sin contrato formal"),IF(I254="Trabajo de manera independiente","Trabajo independiente",""))</f>
        <v>Empleado sin contrato formal</v>
      </c>
      <c r="K254" s="9" t="str">
        <f>IF(OR(I254="Trabajo actualmente como empleado",I254="Trabajo de manera independiente"),CHOOSE(MOD(COUNTIF($I$2:I254,I254)-1,4)+1,"Menos de 3 meses","De 3 a 6 meses","De 7 a 12 meses","Más de un año"),"")</f>
        <v>Menos de 3 meses</v>
      </c>
      <c r="L254" t="str">
        <f>IF(OR(I254="Trabajo actualmente como empleado",I254="Trabajo de manera independiente"),CHOOSE(MOD(COUNTIF($I$2:I254,I254)-1,3)+1,"Sí, completamente","Parcialmente","No"),"")</f>
        <v>No</v>
      </c>
      <c r="M254" t="str">
        <f>IF(OR(I254="Trabajo actualmente como empleado",I254="Trabajo de manera independiente"),CHOOSE(MOD(INT((COUNTIF($I$2:I254,I254)-1)/3),4)+1,"1- Muy satisfecho/a","2- Satisfecho/a","3- Insatisfecho/a","4- Muy insatisfecho/a"),"")</f>
        <v>3- Insatisfecho/a</v>
      </c>
      <c r="N254" t="str">
        <f>IF(OR(I254="Trabajo actualmente como empleado",I254="Trabajo de manera independiente"),_xlfn.LET(_xlpm.opcion,MOD(INT((COUNTIF($I$2:I254,I254)-1)/5),6)+1,CHOOSE(IF(AND(_xlpm.opcion=6,L254="Sí, completamente"),5,_xlpm.opcion),"Salario","Estabilidad laboral","Horario","Acceso a prestaciones","Oportunidades de crecimiento","Trabajar en un área relacionada con mi formación")),"")</f>
        <v>Oportunidades de crecimiento</v>
      </c>
      <c r="O254" s="9" t="str">
        <f>IF(OR(I254="Trabajo actualmente como empleado",I254="Trabajo de manera independiente"),_xlfn.LET(_xlpm.turno,MOD(COUNTIF($I$2:I254,I254)-1,5),_xlpm.nivel,VALUE(LEFT(M254,1)),IF(_xlpm.turno=4,"No estoy seguro/a",IF(_xlpm.turno&lt;IF(_xlpm.nivel&lt;=2,1,3),"Sí","No"))),"")</f>
        <v>Sí</v>
      </c>
      <c r="P254" s="9" t="str">
        <f>_xlfn.LET(_xlpm.perfil,I254,_xlpm.turno,COUNTIF($I$2:I254,_xlpm.perfil)-1,_xlpm.busca,OR(_xlpm.perfil="Actualmente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trabajar"),IF(AND(_xlpm.trabaja,O254="No"),"Todavía no he iniciado una búsqueda activa",CHOOSE(MOD(_xlpm.turno*3,5)+1,"Menos de 1 mes","Entre 1 y 3 meses","Entre 4 y 6 meses","Más de 6 meses","Todavía no he iniciado una búsqueda activa")),"")))</f>
        <v>Menos de 1 mes</v>
      </c>
      <c r="Q254" t="str">
        <f>IF(I254="Tengo un emprendimiento o quiero iniciar uno","",CHOOSE(MOD(INT((COUNTIF($I$2:I254,I254)-1)/7),3)+1,"Sí","No","Tengo una pero necesito actualizarla"))</f>
        <v>Tengo una pero necesito actualizarla</v>
      </c>
      <c r="R254" s="9" t="str">
        <f>IF(I254="Tengo un emprendimiento o quiero iniciar uno","",IF(I254="Busco mi primer empleo","No",IF(MOD(COUNTIF($I$2:I254,I254)-1,2)=0,"Sí","No")))</f>
        <v>Sí</v>
      </c>
      <c r="S254" t="str">
        <f>IF(I254="Tengo un emprendimiento o quiero iniciar uno","",CHOOSE(MOD(INT((COUNTIF($I$2:I254,I254)-1)/3),10)+1,"Portales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54" t="str">
        <f>IF(I254="Tengo un emprendimiento o quiero iniciar uno","",_xlfn.LET(_xlpm.opcion,MOD(INT((COUNTIF($I$2:I254,I254)-1)/4),6)+1,CHOOSE(IF(AND(_xlpm.opcion=3,Q254="Sí"),1,_xlpm.opcion),"Falta de experiencia","Falta de formación","Dificultades con la hoja de vida","Horarios disponibles","Transporte","Internet")))</f>
        <v>Dificultades con la hoja de vida</v>
      </c>
      <c r="U254" s="9" t="str">
        <f>IF(I254="Tengo un emprendimiento o quiero iniciar uno","",IF(MOD(INT((COUNTIF($I$2:I254,I254)-1)/3),2)=0,"Sí","No"))</f>
        <v>Sí</v>
      </c>
      <c r="V254" s="9" t="str">
        <f>IF(I254="Tengo un emprendimiento o quiero iniciar uno",CHOOSE(MOD(COUNTIF($I$2:I254,I254)-1,3)+1,"Tengo un emprendimiento","Estoy iniciando un emprendimiento","Me interesa emprender"),"")</f>
        <v/>
      </c>
      <c r="W254" t="str">
        <f t="shared" si="59"/>
        <v/>
      </c>
      <c r="X254" s="9" t="str">
        <f>IF(I254="Tengo un emprendimiento o quiero iniciar uno",CHOOSE(MOD(COUNTIF($I$2:I254,I254)-1,5)+1,"Falta de financiación","Falta de conocimientos administrativos","Falta de conocimientos financieros","Falta de tiempo","Falta de herramientas"),"")</f>
        <v/>
      </c>
      <c r="Y254" s="9" t="str">
        <f t="shared" si="60"/>
        <v/>
      </c>
      <c r="Z254" t="str">
        <f>IF(I254="Tengo un emprendimiento o quiero iniciar uno",CHOOSE(INT(MOD((COUNTIF($I$2:I254,I254)-1)*7,39)/13)+1,"Sí","No","No conozco programas de ese tipo"),"")</f>
        <v/>
      </c>
      <c r="AA254" t="str">
        <f t="shared" si="61"/>
        <v>Puedo hacerlo con ayuda</v>
      </c>
      <c r="AB254" t="str">
        <f t="shared" si="61"/>
        <v>Puedo hacerlo con ayuda</v>
      </c>
      <c r="AC254" t="str">
        <f t="shared" si="62"/>
        <v>Puedo hacerlo sin ayuda</v>
      </c>
      <c r="AD254" s="9" t="str">
        <f t="shared" si="63"/>
        <v>No puedo hacerlo</v>
      </c>
      <c r="AE254" t="str">
        <f t="shared" si="64"/>
        <v>Puedo hacerlo sin ayuda</v>
      </c>
      <c r="AF254" s="9" t="str">
        <f t="shared" si="65"/>
        <v>Herramientas digitales</v>
      </c>
      <c r="AG254" s="9" t="str">
        <f t="shared" si="66"/>
        <v>Falta de experiencia</v>
      </c>
      <c r="AH254" t="str">
        <f t="shared" si="67"/>
        <v>No conozco ninguno</v>
      </c>
      <c r="AI254" s="9" t="str">
        <f t="shared" si="68"/>
        <v>Me es indiferente</v>
      </c>
      <c r="AJ254" s="9" t="str">
        <f t="shared" si="69"/>
        <v>Fines de semana</v>
      </c>
      <c r="AK254" s="9" t="str">
        <f t="shared" si="70"/>
        <v>Correo electrónico</v>
      </c>
    </row>
    <row r="255" spans="1:37">
      <c r="A255" t="str">
        <f t="shared" si="71"/>
        <v>SG254</v>
      </c>
      <c r="B255" t="s">
        <v>418</v>
      </c>
      <c r="C255" s="9" t="s">
        <v>427</v>
      </c>
      <c r="D255" t="str">
        <f t="shared" si="54"/>
        <v>Masculino</v>
      </c>
      <c r="E255" t="str">
        <f t="shared" si="55"/>
        <v>De 24 a 26 años</v>
      </c>
      <c r="F255">
        <f t="shared" si="56"/>
        <v>24</v>
      </c>
      <c r="G255" s="9" t="s">
        <v>428</v>
      </c>
      <c r="H255" s="9" t="str">
        <f t="shared" si="57"/>
        <v>Técnico</v>
      </c>
      <c r="I255" s="9" t="str">
        <f t="shared" si="58"/>
        <v>Trabajo de manera independiente</v>
      </c>
      <c r="J255" s="13" t="str">
        <f>IF(I255="Trabajo actualmente como empleado",IF(MOD((COUNTIF($I$2:I255,"Trabajo actualmente como empleado")-1)*37,150)&lt;100,"Empleado con contrato","Empleado sin contrato formal"),IF(I255="Trabajo de manera independiente","Trabajo independiente",""))</f>
        <v>Trabajo independiente</v>
      </c>
      <c r="K255" s="9" t="str">
        <f>IF(OR(I255="Trabajo actualmente como empleado",I255="Trabajo de manera independiente"),CHOOSE(MOD(COUNTIF($I$2:I255,I255)-1,4)+1,"Menos de 3 meses","De 3 a 6 meses","De 7 a 12 meses","Más de un año"),"")</f>
        <v>De 7 a 12 meses</v>
      </c>
      <c r="L255" t="str">
        <f>IF(OR(I255="Trabajo actualmente como empleado",I255="Trabajo de manera independiente"),CHOOSE(MOD(COUNTIF($I$2:I255,I255)-1,3)+1,"Sí, completamente","Parcialmente","No"),"")</f>
        <v>Sí, completamente</v>
      </c>
      <c r="M255" t="str">
        <f>IF(OR(I255="Trabajo actualmente como empleado",I255="Trabajo de manera independiente"),CHOOSE(MOD(INT((COUNTIF($I$2:I255,I255)-1)/3),4)+1,"1- Muy satisfecho/a","2- Satisfecho/a","3- Insatisfecho/a","4- Muy insatisfecho/a"),"")</f>
        <v>3- Insatisfecho/a</v>
      </c>
      <c r="N255" t="str">
        <f>IF(OR(I255="Trabajo actualmente como empleado",I255="Trabajo de manera independiente"),_xlfn.LET(_xlpm.opcion,MOD(INT((COUNTIF($I$2:I255,I255)-1)/5),6)+1,CHOOSE(IF(AND(_xlpm.opcion=6,L255="Sí, completamente"),5,_xlpm.opcion),"Salario","Estabilidad laboral","Horario","Acceso a prestaciones","Oportunidades de crecimiento","Trabajar en un área relacionada con mi formación")),"")</f>
        <v>Horario</v>
      </c>
      <c r="O255" s="9" t="str">
        <f>IF(OR(I255="Trabajo actualmente como empleado",I255="Trabajo de manera independiente"),_xlfn.LET(_xlpm.turno,MOD(COUNTIF($I$2:I255,I255)-1,5),_xlpm.nivel,VALUE(LEFT(M255,1)),IF(_xlpm.turno=4,"No estoy seguro/a",IF(_xlpm.turno&lt;IF(_xlpm.nivel&lt;=2,1,3),"Sí","No"))),"")</f>
        <v>Sí</v>
      </c>
      <c r="P255" s="9" t="str">
        <f>_xlfn.LET(_xlpm.perfil,I255,_xlpm.turno,COUNTIF($I$2:I255,_xlpm.perfil)-1,_xlpm.busca,OR(_xlpm.perfil="Actualmente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trabajar"),IF(AND(_xlpm.trabaja,O255="No"),"Todavía no he iniciado una búsqueda activa",CHOOSE(MOD(_xlpm.turno*3,5)+1,"Menos de 1 mes","Entre 1 y 3 meses","Entre 4 y 6 meses","Más de 6 meses","Todavía no he iniciado una búsqueda activa")),"")))</f>
        <v>Entre 1 y 3 meses</v>
      </c>
      <c r="Q255" t="str">
        <f>IF(I255="Tengo un emprendimiento o quiero iniciar uno","",CHOOSE(MOD(INT((COUNTIF($I$2:I255,I255)-1)/7),3)+1,"Sí","No","Tengo una pero necesito actualizarla"))</f>
        <v>Sí</v>
      </c>
      <c r="R255" s="9" t="str">
        <f>IF(I255="Tengo un emprendimiento o quiero iniciar uno","",IF(I255="Busco mi primer empleo","No",IF(MOD(COUNTIF($I$2:I255,I255)-1,2)=0,"Sí","No")))</f>
        <v>Sí</v>
      </c>
      <c r="S255" t="str">
        <f>IF(I255="Tengo un emprendimiento o quiero iniciar uno","",CHOOSE(MOD(INT((COUNTIF($I$2:I255,I255)-1)/3),10)+1,"Portales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55" t="str">
        <f>IF(I255="Tengo un emprendimiento o quiero iniciar uno","",_xlfn.LET(_xlpm.opcion,MOD(INT((COUNTIF($I$2:I255,I255)-1)/4),6)+1,CHOOSE(IF(AND(_xlpm.opcion=3,Q255="Sí"),1,_xlpm.opcion),"Falta de experiencia","Falta de formación","Dificultades con la hoja de vida","Horarios disponibles","Transporte","Internet")))</f>
        <v>Transporte</v>
      </c>
      <c r="U255" s="9" t="str">
        <f>IF(I255="Tengo un emprendimiento o quiero iniciar uno","",IF(MOD(INT((COUNTIF($I$2:I255,I255)-1)/3),2)=0,"Sí","No"))</f>
        <v>Sí</v>
      </c>
      <c r="V255" s="9" t="str">
        <f>IF(I255="Tengo un emprendimiento o quiero iniciar uno",CHOOSE(MOD(COUNTIF($I$2:I255,I255)-1,3)+1,"Tengo un emprendimiento","Estoy iniciando un emprendimiento","Me interesa emprender"),"")</f>
        <v/>
      </c>
      <c r="W255" t="str">
        <f t="shared" si="59"/>
        <v/>
      </c>
      <c r="X255" s="9" t="str">
        <f>IF(I255="Tengo un emprendimiento o quiero iniciar uno",CHOOSE(MOD(COUNTIF($I$2:I255,I255)-1,5)+1,"Falta de financiación","Falta de conocimientos administrativos","Falta de conocimientos financieros","Falta de tiempo","Falta de herramientas"),"")</f>
        <v/>
      </c>
      <c r="Y255" s="9" t="str">
        <f t="shared" si="60"/>
        <v/>
      </c>
      <c r="Z255" t="str">
        <f>IF(I255="Tengo un emprendimiento o quiero iniciar uno",CHOOSE(INT(MOD((COUNTIF($I$2:I255,I255)-1)*7,39)/13)+1,"Sí","No","No conozco programas de ese tipo"),"")</f>
        <v/>
      </c>
      <c r="AA255" t="str">
        <f t="shared" si="61"/>
        <v>Puedo hacerlo sin ayuda</v>
      </c>
      <c r="AB255" t="str">
        <f t="shared" si="61"/>
        <v>Puedo hacerlo sin ayuda</v>
      </c>
      <c r="AC255" t="str">
        <f t="shared" si="62"/>
        <v>No puedo hacerlo</v>
      </c>
      <c r="AD255" s="9" t="str">
        <f t="shared" si="63"/>
        <v>Puedo hacerlo con ayuda</v>
      </c>
      <c r="AE255" t="str">
        <f t="shared" si="64"/>
        <v>Puedo hacerlo sin ayuda</v>
      </c>
      <c r="AF255" s="9" t="str">
        <f t="shared" si="65"/>
        <v>Educación financiera</v>
      </c>
      <c r="AG255" s="9" t="str">
        <f t="shared" si="66"/>
        <v>Falta de experiencia</v>
      </c>
      <c r="AH255" t="str">
        <f t="shared" si="67"/>
        <v>Oficina de orientación laboral</v>
      </c>
      <c r="AI255" s="9" t="str">
        <f t="shared" si="68"/>
        <v>Presencial</v>
      </c>
      <c r="AJ255" s="9" t="str">
        <f t="shared" si="69"/>
        <v>Nocturno</v>
      </c>
      <c r="AK255" s="9" t="str">
        <f t="shared" si="70"/>
        <v>Celular</v>
      </c>
    </row>
    <row r="256" spans="1:37">
      <c r="A256" t="str">
        <f t="shared" si="71"/>
        <v>SG255</v>
      </c>
      <c r="B256" t="s">
        <v>418</v>
      </c>
      <c r="C256" s="9" t="s">
        <v>427</v>
      </c>
      <c r="D256" t="str">
        <f t="shared" si="54"/>
        <v>Femenino</v>
      </c>
      <c r="E256" t="str">
        <f t="shared" si="55"/>
        <v>De 26 a 28 años</v>
      </c>
      <c r="F256">
        <f t="shared" si="56"/>
        <v>28</v>
      </c>
      <c r="G256" s="9" t="s">
        <v>428</v>
      </c>
      <c r="H256" s="9" t="str">
        <f t="shared" si="57"/>
        <v>Profesional</v>
      </c>
      <c r="I256" s="9" t="str">
        <f t="shared" si="58"/>
        <v>Busco mi primer empleo</v>
      </c>
      <c r="J256" s="13" t="str">
        <f>IF(I256="Trabajo actualmente como empleado",IF(MOD((COUNTIF($I$2:I256,"Trabajo actualmente como empleado")-1)*37,150)&lt;100,"Empleado con contrato","Empleado sin contrato formal"),IF(I256="Trabajo de manera independiente","Trabajo independiente",""))</f>
        <v/>
      </c>
      <c r="K256" s="9" t="str">
        <f>IF(OR(I256="Trabajo actualmente como empleado",I256="Trabajo de manera independiente"),CHOOSE(MOD(COUNTIF($I$2:I256,I256)-1,4)+1,"Menos de 3 meses","De 3 a 6 meses","De 7 a 12 meses","Más de un año"),"")</f>
        <v/>
      </c>
      <c r="L256" t="str">
        <f>IF(OR(I256="Trabajo actualmente como empleado",I256="Trabajo de manera independiente"),CHOOSE(MOD(COUNTIF($I$2:I256,I256)-1,3)+1,"Sí, completamente","Parcialmente","No"),"")</f>
        <v/>
      </c>
      <c r="M256" t="str">
        <f>IF(OR(I256="Trabajo actualmente como empleado",I256="Trabajo de manera independiente"),CHOOSE(MOD(INT((COUNTIF($I$2:I256,I256)-1)/3),4)+1,"1- Muy satisfecho/a","2- Satisfecho/a","3- Insatisfecho/a","4- Muy insatisfecho/a"),"")</f>
        <v/>
      </c>
      <c r="N256" t="str">
        <f>IF(OR(I256="Trabajo actualmente como empleado",I256="Trabajo de manera independiente"),_xlfn.LET(_xlpm.opcion,MOD(INT((COUNTIF($I$2:I256,I256)-1)/5),6)+1,CHOOSE(IF(AND(_xlpm.opcion=6,L256="Sí, completamente"),5,_xlpm.opcion),"Salario","Estabilidad laboral","Horario","Acceso a prestaciones","Oportunidades de crecimiento","Trabajar en un área relacionada con mi formación")),"")</f>
        <v/>
      </c>
      <c r="O256" s="9" t="str">
        <f>IF(OR(I256="Trabajo actualmente como empleado",I256="Trabajo de manera independiente"),_xlfn.LET(_xlpm.turno,MOD(COUNTIF($I$2:I256,I256)-1,5),_xlpm.nivel,VALUE(LEFT(M256,1)),IF(_xlpm.turno=4,"No estoy seguro/a",IF(_xlpm.turno&lt;IF(_xlpm.nivel&lt;=2,1,3),"Sí","No"))),"")</f>
        <v/>
      </c>
      <c r="P256" s="9" t="str">
        <f>_xlfn.LET(_xlpm.perfil,I256,_xlpm.turno,COUNTIF($I$2:I256,_xlpm.perfil)-1,_xlpm.busca,OR(_xlpm.perfil="Actualmente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trabajar"),IF(AND(_xlpm.trabaja,O256="No"),"Todavía no he iniciado una búsqueda activa",CHOOSE(MOD(_xlpm.turno*3,5)+1,"Menos de 1 mes","Entre 1 y 3 meses","Entre 4 y 6 meses","Más de 6 meses","Todavía no he iniciado una búsqueda activa")),"")))</f>
        <v>Entre 1 y 3 meses</v>
      </c>
      <c r="Q256" t="str">
        <f>IF(I256="Tengo un emprendimiento o quiero iniciar uno","",CHOOSE(MOD(INT((COUNTIF($I$2:I256,I256)-1)/7),3)+1,"Sí","No","Tengo una pero necesito actualizarla"))</f>
        <v>Tengo una pero necesito actualizarla</v>
      </c>
      <c r="R256" s="9" t="str">
        <f>IF(I256="Tengo un emprendimiento o quiero iniciar uno","",IF(I256="Busco mi primer empleo","No",IF(MOD(COUNTIF($I$2:I256,I256)-1,2)=0,"Sí","No")))</f>
        <v>No</v>
      </c>
      <c r="S256" t="str">
        <f>IF(I256="Tengo un emprendimiento o quiero iniciar uno","",CHOOSE(MOD(INT((COUNTIF($I$2:I256,I256)-1)/3),10)+1,"Portales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56" t="str">
        <f>IF(I256="Tengo un emprendimiento o quiero iniciar uno","",_xlfn.LET(_xlpm.opcion,MOD(INT((COUNTIF($I$2:I256,I256)-1)/4),6)+1,CHOOSE(IF(AND(_xlpm.opcion=3,Q256="Sí"),1,_xlpm.opcion),"Falta de experiencia","Falta de formación","Dificultades con la hoja de vida","Horarios disponibles","Transporte","Internet")))</f>
        <v>Dificultades con la hoja de vida</v>
      </c>
      <c r="U256" s="9" t="str">
        <f>IF(I256="Tengo un emprendimiento o quiero iniciar uno","",IF(MOD(INT((COUNTIF($I$2:I256,I256)-1)/3),2)=0,"Sí","No"))</f>
        <v>No</v>
      </c>
      <c r="V256" s="9" t="str">
        <f>IF(I256="Tengo un emprendimiento o quiero iniciar uno",CHOOSE(MOD(COUNTIF($I$2:I256,I256)-1,3)+1,"Tengo un emprendimiento","Estoy iniciando un emprendimiento","Me interesa emprender"),"")</f>
        <v/>
      </c>
      <c r="W256" t="str">
        <f t="shared" si="59"/>
        <v/>
      </c>
      <c r="X256" s="9" t="str">
        <f>IF(I256="Tengo un emprendimiento o quiero iniciar uno",CHOOSE(MOD(COUNTIF($I$2:I256,I256)-1,5)+1,"Falta de financiación","Falta de conocimientos administrativos","Falta de conocimientos financieros","Falta de tiempo","Falta de herramientas"),"")</f>
        <v/>
      </c>
      <c r="Y256" s="9" t="str">
        <f t="shared" si="60"/>
        <v/>
      </c>
      <c r="Z256" t="str">
        <f>IF(I256="Tengo un emprendimiento o quiero iniciar uno",CHOOSE(INT(MOD((COUNTIF($I$2:I256,I256)-1)*7,39)/13)+1,"Sí","No","No conozco programas de ese tipo"),"")</f>
        <v/>
      </c>
      <c r="AA256" t="str">
        <f t="shared" si="61"/>
        <v>Puedo hacerlo con ayuda</v>
      </c>
      <c r="AB256" t="str">
        <f t="shared" si="61"/>
        <v>Puedo hacerlo con ayuda</v>
      </c>
      <c r="AC256" t="str">
        <f t="shared" si="62"/>
        <v>Puedo hacerlo con ayuda</v>
      </c>
      <c r="AD256" s="9" t="str">
        <f t="shared" si="63"/>
        <v>Puedo hacerlo con ayuda</v>
      </c>
      <c r="AE256" t="str">
        <f t="shared" si="64"/>
        <v>No puedo hacerlo</v>
      </c>
      <c r="AF256" s="9" t="str">
        <f t="shared" si="65"/>
        <v>Crear una hoja de vida;Preparación para entrevista</v>
      </c>
      <c r="AG256" s="9" t="str">
        <f t="shared" si="66"/>
        <v>Falta de experiencia</v>
      </c>
      <c r="AH256" t="str">
        <f t="shared" si="67"/>
        <v>Programas de emprendimiento</v>
      </c>
      <c r="AI256" s="9" t="str">
        <f t="shared" si="68"/>
        <v>Virtual</v>
      </c>
      <c r="AJ256" s="9" t="str">
        <f t="shared" si="69"/>
        <v>Mañana entre semana</v>
      </c>
      <c r="AK256" s="9" t="str">
        <f t="shared" si="70"/>
        <v>WhatsApp</v>
      </c>
    </row>
    <row r="257" spans="1:37">
      <c r="A257" t="str">
        <f t="shared" si="71"/>
        <v>SG256</v>
      </c>
      <c r="B257" t="s">
        <v>418</v>
      </c>
      <c r="C257" s="9" t="s">
        <v>427</v>
      </c>
      <c r="D257" t="str">
        <f t="shared" si="54"/>
        <v>Femenino</v>
      </c>
      <c r="E257" t="str">
        <f t="shared" si="55"/>
        <v>De 18 a 20 años</v>
      </c>
      <c r="F257">
        <f t="shared" si="56"/>
        <v>19</v>
      </c>
      <c r="G257" s="9" t="s">
        <v>428</v>
      </c>
      <c r="H257" s="9" t="str">
        <f t="shared" si="57"/>
        <v>Técnico</v>
      </c>
      <c r="I257" s="9" t="str">
        <f t="shared" si="58"/>
        <v>Trabajo actualmente como empleado</v>
      </c>
      <c r="J257" s="13" t="str">
        <f>IF(I257="Trabajo actualmente como empleado",IF(MOD((COUNTIF($I$2:I257,"Trabajo actualmente como empleado")-1)*37,150)&lt;100,"Empleado con contrato","Empleado sin contrato formal"),IF(I257="Trabajo de manera independiente","Trabajo independiente",""))</f>
        <v>Empleado sin contrato formal</v>
      </c>
      <c r="K257" s="9" t="str">
        <f>IF(OR(I257="Trabajo actualmente como empleado",I257="Trabajo de manera independiente"),CHOOSE(MOD(COUNTIF($I$2:I257,I257)-1,4)+1,"Menos de 3 meses","De 3 a 6 meses","De 7 a 12 meses","Más de un año"),"")</f>
        <v>De 3 a 6 meses</v>
      </c>
      <c r="L257" t="str">
        <f>IF(OR(I257="Trabajo actualmente como empleado",I257="Trabajo de manera independiente"),CHOOSE(MOD(COUNTIF($I$2:I257,I257)-1,3)+1,"Sí, completamente","Parcialmente","No"),"")</f>
        <v>Sí, completamente</v>
      </c>
      <c r="M257" t="str">
        <f>IF(OR(I257="Trabajo actualmente como empleado",I257="Trabajo de manera independiente"),CHOOSE(MOD(INT((COUNTIF($I$2:I257,I257)-1)/3),4)+1,"1- Muy satisfecho/a","2- Satisfecho/a","3- Insatisfecho/a","4- Muy insatisfecho/a"),"")</f>
        <v>4- Muy insatisfecho/a</v>
      </c>
      <c r="N257" t="str">
        <f>IF(OR(I257="Trabajo actualmente como empleado",I257="Trabajo de manera independiente"),_xlfn.LET(_xlpm.opcion,MOD(INT((COUNTIF($I$2:I257,I257)-1)/5),6)+1,CHOOSE(IF(AND(_xlpm.opcion=6,L257="Sí, completamente"),5,_xlpm.opcion),"Salario","Estabilidad laboral","Horario","Acceso a prestaciones","Oportunidades de crecimiento","Trabajar en un área relacionada con mi formación")),"")</f>
        <v>Oportunidades de crecimiento</v>
      </c>
      <c r="O257" s="9" t="str">
        <f>IF(OR(I257="Trabajo actualmente como empleado",I257="Trabajo de manera independiente"),_xlfn.LET(_xlpm.turno,MOD(COUNTIF($I$2:I257,I257)-1,5),_xlpm.nivel,VALUE(LEFT(M257,1)),IF(_xlpm.turno=4,"No estoy seguro/a",IF(_xlpm.turno&lt;IF(_xlpm.nivel&lt;=2,1,3),"Sí","No"))),"")</f>
        <v>Sí</v>
      </c>
      <c r="P257" s="9" t="str">
        <f>_xlfn.LET(_xlpm.perfil,I257,_xlpm.turno,COUNTIF($I$2:I257,_xlpm.perfil)-1,_xlpm.busca,OR(_xlpm.perfil="Actualmente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trabajar"),IF(AND(_xlpm.trabaja,O257="No"),"Todavía no he iniciado una búsqueda activa",CHOOSE(MOD(_xlpm.turno*3,5)+1,"Menos de 1 mes","Entre 1 y 3 meses","Entre 4 y 6 meses","Más de 6 meses","Todavía no he iniciado una búsqueda activa")),"")))</f>
        <v>Más de 6 meses</v>
      </c>
      <c r="Q257" t="str">
        <f>IF(I257="Tengo un emprendimiento o quiero iniciar uno","",CHOOSE(MOD(INT((COUNTIF($I$2:I257,I257)-1)/7),3)+1,"Sí","No","Tengo una pero necesito actualizarla"))</f>
        <v>Tengo una pero necesito actualizarla</v>
      </c>
      <c r="R257" s="9" t="str">
        <f>IF(I257="Tengo un emprendimiento o quiero iniciar uno","",IF(I257="Busco mi primer empleo","No",IF(MOD(COUNTIF($I$2:I257,I257)-1,2)=0,"Sí","No")))</f>
        <v>No</v>
      </c>
      <c r="S257" t="str">
        <f>IF(I257="Tengo un emprendimiento o quiero iniciar uno","",CHOOSE(MOD(INT((COUNTIF($I$2:I257,I257)-1)/3),10)+1,"Portales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57" t="str">
        <f>IF(I257="Tengo un emprendimiento o quiero iniciar uno","",_xlfn.LET(_xlpm.opcion,MOD(INT((COUNTIF($I$2:I257,I257)-1)/4),6)+1,CHOOSE(IF(AND(_xlpm.opcion=3,Q257="Sí"),1,_xlpm.opcion),"Falta de experiencia","Falta de formación","Dificultades con la hoja de vida","Horarios disponibles","Transporte","Internet")))</f>
        <v>Dificultades con la hoja de vida</v>
      </c>
      <c r="U257" s="9" t="str">
        <f>IF(I257="Tengo un emprendimiento o quiero iniciar uno","",IF(MOD(INT((COUNTIF($I$2:I257,I257)-1)/3),2)=0,"Sí","No"))</f>
        <v>No</v>
      </c>
      <c r="V257" s="9" t="str">
        <f>IF(I257="Tengo un emprendimiento o quiero iniciar uno",CHOOSE(MOD(COUNTIF($I$2:I257,I257)-1,3)+1,"Tengo un emprendimiento","Estoy iniciando un emprendimiento","Me interesa emprender"),"")</f>
        <v/>
      </c>
      <c r="W257" t="str">
        <f t="shared" si="59"/>
        <v/>
      </c>
      <c r="X257" s="9" t="str">
        <f>IF(I257="Tengo un emprendimiento o quiero iniciar uno",CHOOSE(MOD(COUNTIF($I$2:I257,I257)-1,5)+1,"Falta de financiación","Falta de conocimientos administrativos","Falta de conocimientos financieros","Falta de tiempo","Falta de herramientas"),"")</f>
        <v/>
      </c>
      <c r="Y257" s="9" t="str">
        <f t="shared" si="60"/>
        <v/>
      </c>
      <c r="Z257" t="str">
        <f>IF(I257="Tengo un emprendimiento o quiero iniciar uno",CHOOSE(INT(MOD((COUNTIF($I$2:I257,I257)-1)*7,39)/13)+1,"Sí","No","No conozco programas de ese tipo"),"")</f>
        <v/>
      </c>
      <c r="AA257" t="str">
        <f t="shared" si="61"/>
        <v>Puedo hacerlo con dificultad</v>
      </c>
      <c r="AB257" t="str">
        <f t="shared" si="61"/>
        <v>Puedo hacerlo con dificultad</v>
      </c>
      <c r="AC257" t="str">
        <f t="shared" si="62"/>
        <v>Puedo hacerlo sin ayuda</v>
      </c>
      <c r="AD257" s="9" t="str">
        <f t="shared" si="63"/>
        <v>Puedo hacerlo con dificultad</v>
      </c>
      <c r="AE257" t="str">
        <f t="shared" si="64"/>
        <v>No puedo hacerlo</v>
      </c>
      <c r="AF257" s="9" t="str">
        <f t="shared" si="65"/>
        <v>Comunicación;Liderazgo</v>
      </c>
      <c r="AG257" s="9" t="str">
        <f t="shared" si="66"/>
        <v>Distancia</v>
      </c>
      <c r="AH257" t="str">
        <f t="shared" si="67"/>
        <v>Oficina de orientación laboral</v>
      </c>
      <c r="AI257" s="9" t="str">
        <f t="shared" si="68"/>
        <v>Me es indiferente</v>
      </c>
      <c r="AJ257" s="9" t="str">
        <f t="shared" si="69"/>
        <v>Fines de semana</v>
      </c>
      <c r="AK257" s="9" t="str">
        <f t="shared" si="70"/>
        <v>Redes sociales</v>
      </c>
    </row>
    <row r="258" spans="1:37">
      <c r="A258" t="str">
        <f t="shared" si="71"/>
        <v>SG257</v>
      </c>
      <c r="B258" s="9" t="s">
        <v>419</v>
      </c>
      <c r="C258" s="9" t="s">
        <v>427</v>
      </c>
      <c r="D258" t="str">
        <f t="shared" ref="D258:D321" si="72">IF(MOD((ROW()-2)*137,479)&lt;230,"Masculino",IF(MOD((ROW()-2)*137,479)&lt;460,"Femenino",IF(MOD((ROW()-2)*137,479)&lt;470,"Otro","No quiero responder")))</f>
        <v>Masculino</v>
      </c>
      <c r="E258" t="str">
        <f t="shared" ref="E258:E321" si="73">CHOOSE(MOD(ROW()-2,5)+1,"De 18 a 20 años","De 20 a 22 años","De 22 a 24 años","De 24 a 26 años","De 26 a 28 años")</f>
        <v>De 20 a 22 años</v>
      </c>
      <c r="F258">
        <f t="shared" ref="F258:F321" si="74">CHOOSE(MOD(ROW()-2,5)+1,18,20,22,24,26)+MOD(INT((ROW()-2)/5),IF(MOD(ROW()-2,5)=4,3,2))</f>
        <v>21</v>
      </c>
      <c r="G258" s="9" t="s">
        <v>430</v>
      </c>
      <c r="H258" s="9" t="str">
        <f t="shared" ref="H258:H321" si="75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Técnico</v>
      </c>
      <c r="I258" s="9" t="str">
        <f t="shared" ref="I258:I321" si="76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Trabajo de manera independiente</v>
      </c>
      <c r="J258" s="13" t="str">
        <f>IF(I258="Trabajo actualmente como empleado",IF(MOD((COUNTIF($I$2:I258,"Trabajo actualmente como empleado")-1)*37,150)&lt;100,"Empleado con contrato","Empleado sin contrato formal"),IF(I258="Trabajo de manera independiente","Trabajo independiente",""))</f>
        <v>Trabajo independiente</v>
      </c>
      <c r="K258" s="9" t="str">
        <f>IF(OR(I258="Trabajo actualmente como empleado",I258="Trabajo de manera independiente"),CHOOSE(MOD(COUNTIF($I$2:I258,I258)-1,4)+1,"Menos de 3 meses","De 3 a 6 meses","De 7 a 12 meses","Más de un año"),"")</f>
        <v>Más de un año</v>
      </c>
      <c r="L258" t="str">
        <f>IF(OR(I258="Trabajo actualmente como empleado",I258="Trabajo de manera independiente"),CHOOSE(MOD(COUNTIF($I$2:I258,I258)-1,3)+1,"Sí, completamente","Parcialmente","No"),"")</f>
        <v>Parcialmente</v>
      </c>
      <c r="M258" t="str">
        <f>IF(OR(I258="Trabajo actualmente como empleado",I258="Trabajo de manera independiente"),CHOOSE(MOD(INT((COUNTIF($I$2:I258,I258)-1)/3),4)+1,"1- Muy satisfecho/a","2- Satisfecho/a","3- Insatisfecho/a","4- Muy insatisfecho/a"),"")</f>
        <v>3- Insatisfecho/a</v>
      </c>
      <c r="N258" t="str">
        <f>IF(OR(I258="Trabajo actualmente como empleado",I258="Trabajo de manera independiente"),_xlfn.LET(_xlpm.opcion,MOD(INT((COUNTIF($I$2:I258,I258)-1)/5),6)+1,CHOOSE(IF(AND(_xlpm.opcion=6,L258="Sí, completamente"),5,_xlpm.opcion),"Salario","Estabilidad laboral","Horario","Acceso a prestaciones","Oportunidades de crecimiento","Trabajar en un área relacionada con mi formación")),"")</f>
        <v>Horario</v>
      </c>
      <c r="O258" s="9" t="str">
        <f>IF(OR(I258="Trabajo actualmente como empleado",I258="Trabajo de manera independiente"),_xlfn.LET(_xlpm.turno,MOD(COUNTIF($I$2:I258,I258)-1,5),_xlpm.nivel,VALUE(LEFT(M258,1)),IF(_xlpm.turno=4,"No estoy seguro/a",IF(_xlpm.turno&lt;IF(_xlpm.nivel&lt;=2,1,3),"Sí","No"))),"")</f>
        <v>No</v>
      </c>
      <c r="P258" s="9" t="str">
        <f>_xlfn.LET(_xlpm.perfil,I258,_xlpm.turno,COUNTIF($I$2:I258,_xlpm.perfil)-1,_xlpm.busca,OR(_xlpm.perfil="Actualmente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58" t="str">
        <f>IF(I258="Tengo un emprendimiento o quiero iniciar uno","",CHOOSE(MOD(INT((COUNTIF($I$2:I258,I258)-1)/7),3)+1,"Sí","No","Tengo una pero necesito actualizarla"))</f>
        <v>Sí</v>
      </c>
      <c r="R258" s="9" t="str">
        <f>IF(I258="Tengo un emprendimiento o quiero iniciar uno","",IF(I258="Busco mi primer empleo","No",IF(MOD(COUNTIF($I$2:I258,I258)-1,2)=0,"Sí","No")))</f>
        <v>No</v>
      </c>
      <c r="S258" t="str">
        <f>IF(I258="Tengo un emprendimiento o quiero iniciar uno","",CHOOSE(MOD(INT((COUNTIF($I$2:I258,I258)-1)/3),10)+1,"Portales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58" t="str">
        <f>IF(I258="Tengo un emprendimiento o quiero iniciar uno","",_xlfn.LET(_xlpm.opcion,MOD(INT((COUNTIF($I$2:I258,I258)-1)/4),6)+1,CHOOSE(IF(AND(_xlpm.opcion=3,Q258="Sí"),1,_xlpm.opcion),"Falta de experiencia","Falta de formación","Dificultades con la hoja de vida","Horarios disponibles","Transporte","Internet")))</f>
        <v>Transporte</v>
      </c>
      <c r="U258" s="9" t="str">
        <f>IF(I258="Tengo un emprendimiento o quiero iniciar uno","",IF(MOD(INT((COUNTIF($I$2:I258,I258)-1)/3),2)=0,"Sí","No"))</f>
        <v>Sí</v>
      </c>
      <c r="V258" s="9" t="str">
        <f>IF(I258="Tengo un emprendimiento o quiero iniciar uno",CHOOSE(MOD(COUNTIF($I$2:I258,I258)-1,3)+1,"Tengo un emprendimiento","Estoy iniciando un emprendimiento","Me interesa emprender"),"")</f>
        <v/>
      </c>
      <c r="W258" t="str">
        <f t="shared" ref="W258:W321" si="77">IF(V258="Tengo un emprendimiento","Funcionamiento estable",IF(V258="Estoy iniciando un emprendimiento","Inicio",""))</f>
        <v/>
      </c>
      <c r="X258" s="9" t="str">
        <f>IF(I258="Tengo un emprendimiento o quiero iniciar uno",CHOOSE(MOD(COUNTIF($I$2:I258,I258)-1,5)+1,"Falta de financiación","Falta de conocimientos administrativos","Falta de conocimientos financieros","Falta de tiempo","Falta de herramientas"),"")</f>
        <v/>
      </c>
      <c r="Y258" s="9" t="str">
        <f t="shared" ref="Y258:Y321" si="78">IF(I258="Tengo un emprendimiento o quiero iniciar uno",X258,"")</f>
        <v/>
      </c>
      <c r="Z258" t="str">
        <f>IF(I258="Tengo un emprendimiento o quiero iniciar uno",CHOOSE(INT(MOD((COUNTIF($I$2:I258,I258)-1)*7,39)/13)+1,"Sí","No","No conozco programas de ese tipo"),"")</f>
        <v/>
      </c>
      <c r="AA258" t="str">
        <f t="shared" ref="AA258:AB321" si="79">CHOOSE(INT(MOD((ROW()-2)*191,479)/120)+1,"No puedo hacerlo","Puedo hacerlo con ayuda","Puedo hacerlo con dificultad","Puedo hacerlo sin ayuda")</f>
        <v>No puedo hacerlo</v>
      </c>
      <c r="AB258" t="str">
        <f t="shared" si="79"/>
        <v>No puedo hacerlo</v>
      </c>
      <c r="AC258" t="str">
        <f t="shared" ref="AC258:AC321" si="80">CHOOSE(INT(MOD((ROW()-2)*157+83,479)/120)+1,"No puedo hacerlo","Puedo hacerlo con ayuda","Puedo hacerlo con dificultad","Puedo hacerlo sin ayuda")</f>
        <v>No puedo hacerlo</v>
      </c>
      <c r="AD258" s="9" t="str">
        <f t="shared" ref="AD258:AD321" si="81">CHOOSE(INT(MOD((ROW()-2)*89+131,479)/120)+1,"No puedo hacerlo","Puedo hacerlo con ayuda","Puedo hacerlo con dificultad","Puedo hacerlo sin ayuda")</f>
        <v>Puedo hacerlo sin ayuda</v>
      </c>
      <c r="AE258" t="str">
        <f t="shared" ref="AE258:AE321" si="82">CHOOSE(INT(MOD((ROW()-2)*73+179,479)/120)+1,"No puedo hacerlo","Puedo hacerlo con ayuda","Puedo hacerlo con dificultad","Puedo hacerlo sin ayuda")</f>
        <v>Puedo hacerlo con ayuda</v>
      </c>
      <c r="AF258" s="9" t="str">
        <f t="shared" ref="AF258:AF321" si="83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Herramientas digitales;Educación financiera</v>
      </c>
      <c r="AG258" s="9" t="str">
        <f t="shared" ref="AG258:AG321" si="84">CHOOSE(MOD(INT((ROW()-2)/3)*7,9)+1,"Costos de transporte","Distancia","Horarios","Falta de experiencia","Falta de información","Ninguna","Costos de transporte;Distancia","Horarios;Falta de información","Falta de experiencia;Falta de información")</f>
        <v>Distancia</v>
      </c>
      <c r="AH258" t="str">
        <f t="shared" ref="AH258:AH321" si="85">CHOOSE(INT(MOD((ROW()-2)*199+59,479)/120)+1,"Oficina de orientación laboral","Ferias de empleo","Programas de emprendimiento","No conozco ninguno")</f>
        <v>Ferias de empleo</v>
      </c>
      <c r="AI258" s="9" t="str">
        <f t="shared" ref="AI258:AI321" si="86">CHOOSE(INT(MOD((ROW()-2)*127+71,479)/120)+1,"Presencial","Virtual","Presencial y virtual","Me es indiferente")</f>
        <v>Presencial</v>
      </c>
      <c r="AJ258" s="9" t="str">
        <f t="shared" ref="AJ258:AJ321" si="87">CHOOSE(INT(MOD((ROW()-2)*163+97,479)/120)+1,"Diurno","Nocturno","Mañana entre semana","Fines de semana")</f>
        <v>Nocturno</v>
      </c>
      <c r="AK258" s="9" t="str">
        <f t="shared" ref="AK258:AK321" si="88">CHOOSE(INT(MOD((ROW()-2)*181+109,479)/120)+1,"WhatsApp","Correo electrónico","Redes sociales","Celular")</f>
        <v>Celular</v>
      </c>
    </row>
    <row r="259" spans="1:37">
      <c r="A259" t="str">
        <f t="shared" ref="A259:A322" si="89">"SG"&amp;TEXT(ROW()-1,"000")</f>
        <v>SG258</v>
      </c>
      <c r="B259" s="9" t="s">
        <v>419</v>
      </c>
      <c r="C259" s="9" t="s">
        <v>427</v>
      </c>
      <c r="D259" t="str">
        <f t="shared" si="72"/>
        <v>Femenino</v>
      </c>
      <c r="E259" t="str">
        <f t="shared" si="73"/>
        <v>De 22 a 24 años</v>
      </c>
      <c r="F259">
        <f t="shared" si="74"/>
        <v>23</v>
      </c>
      <c r="G259" s="9" t="s">
        <v>430</v>
      </c>
      <c r="H259" s="9" t="str">
        <f t="shared" si="75"/>
        <v>Tecnólogo</v>
      </c>
      <c r="I259" s="9" t="str">
        <f t="shared" si="76"/>
        <v>Estudio y quiero comenzar a trabajar</v>
      </c>
      <c r="J259" s="13" t="str">
        <f>IF(I259="Trabajo actualmente como empleado",IF(MOD((COUNTIF($I$2:I259,"Trabajo actualmente como empleado")-1)*37,150)&lt;100,"Empleado con contrato","Empleado sin contrato formal"),IF(I259="Trabajo de manera independiente","Trabajo independiente",""))</f>
        <v/>
      </c>
      <c r="K259" s="9" t="str">
        <f>IF(OR(I259="Trabajo actualmente como empleado",I259="Trabajo de manera independiente"),CHOOSE(MOD(COUNTIF($I$2:I259,I259)-1,4)+1,"Menos de 3 meses","De 3 a 6 meses","De 7 a 12 meses","Más de un año"),"")</f>
        <v/>
      </c>
      <c r="L259" t="str">
        <f>IF(OR(I259="Trabajo actualmente como empleado",I259="Trabajo de manera independiente"),CHOOSE(MOD(COUNTIF($I$2:I259,I259)-1,3)+1,"Sí, completamente","Parcialmente","No"),"")</f>
        <v/>
      </c>
      <c r="M259" t="str">
        <f>IF(OR(I259="Trabajo actualmente como empleado",I259="Trabajo de manera independiente"),CHOOSE(MOD(INT((COUNTIF($I$2:I259,I259)-1)/3),4)+1,"1- Muy satisfecho/a","2- Satisfecho/a","3- Insatisfecho/a","4- Muy insatisfecho/a"),"")</f>
        <v/>
      </c>
      <c r="N259" t="str">
        <f>IF(OR(I259="Trabajo actualmente como empleado",I259="Trabajo de manera independiente"),_xlfn.LET(_xlpm.opcion,MOD(INT((COUNTIF($I$2:I259,I259)-1)/5),6)+1,CHOOSE(IF(AND(_xlpm.opcion=6,L259="Sí, completamente"),5,_xlpm.opcion),"Salario","Estabilidad laboral","Horario","Acceso a prestaciones","Oportunidades de crecimiento","Trabajar en un área relacionada con mi formación")),"")</f>
        <v/>
      </c>
      <c r="O259" s="9" t="str">
        <f>IF(OR(I259="Trabajo actualmente como empleado",I259="Trabajo de manera independiente"),_xlfn.LET(_xlpm.turno,MOD(COUNTIF($I$2:I259,I259)-1,5),_xlpm.nivel,VALUE(LEFT(M259,1)),IF(_xlpm.turno=4,"No estoy seguro/a",IF(_xlpm.turno&lt;IF(_xlpm.nivel&lt;=2,1,3),"Sí","No"))),"")</f>
        <v/>
      </c>
      <c r="P259" s="9" t="str">
        <f>_xlfn.LET(_xlpm.perfil,I259,_xlpm.turno,COUNTIF($I$2:I259,_xlpm.perfil)-1,_xlpm.busca,OR(_xlpm.perfil="Actualmente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trabajar"),IF(AND(_xlpm.trabaja,O259="No"),"Todavía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59" t="str">
        <f>IF(I259="Tengo un emprendimiento o quiero iniciar uno","",CHOOSE(MOD(INT((COUNTIF($I$2:I259,I259)-1)/7),3)+1,"Sí","No","Tengo una pero necesito actualizarla"))</f>
        <v>No</v>
      </c>
      <c r="R259" s="9" t="str">
        <f>IF(I259="Tengo un emprendimiento o quiero iniciar uno","",IF(I259="Busco mi primer empleo","No",IF(MOD(COUNTIF($I$2:I259,I259)-1,2)=0,"Sí","No")))</f>
        <v>Sí</v>
      </c>
      <c r="S259" t="str">
        <f>IF(I259="Tengo un emprendimiento o quiero iniciar uno","",CHOOSE(MOD(INT((COUNTIF($I$2:I259,I259)-1)/3),10)+1,"Portales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59" t="str">
        <f>IF(I259="Tengo un emprendimiento o quiero iniciar uno","",_xlfn.LET(_xlpm.opcion,MOD(INT((COUNTIF($I$2:I259,I259)-1)/4),6)+1,CHOOSE(IF(AND(_xlpm.opcion=3,Q259="Sí"),1,_xlpm.opcion),"Falta de experiencia","Falta de formación","Dificultades con la hoja de vida","Horarios disponibles","Transporte","Internet")))</f>
        <v>Falta de formación</v>
      </c>
      <c r="U259" s="9" t="str">
        <f>IF(I259="Tengo un emprendimiento o quiero iniciar uno","",IF(MOD(INT((COUNTIF($I$2:I259,I259)-1)/3),2)=0,"Sí","No"))</f>
        <v>No</v>
      </c>
      <c r="V259" s="9" t="str">
        <f>IF(I259="Tengo un emprendimiento o quiero iniciar uno",CHOOSE(MOD(COUNTIF($I$2:I259,I259)-1,3)+1,"Tengo un emprendimiento","Estoy iniciando un emprendimiento","Me interesa emprender"),"")</f>
        <v/>
      </c>
      <c r="W259" t="str">
        <f t="shared" si="77"/>
        <v/>
      </c>
      <c r="X259" s="9" t="str">
        <f>IF(I259="Tengo un emprendimiento o quiero iniciar uno",CHOOSE(MOD(COUNTIF($I$2:I259,I259)-1,5)+1,"Falta de financiación","Falta de conocimientos administrativos","Falta de conocimientos financieros","Falta de tiempo","Falta de herramientas"),"")</f>
        <v/>
      </c>
      <c r="Y259" s="9" t="str">
        <f t="shared" si="78"/>
        <v/>
      </c>
      <c r="Z259" t="str">
        <f>IF(I259="Tengo un emprendimiento o quiero iniciar uno",CHOOSE(INT(MOD((COUNTIF($I$2:I259,I259)-1)*7,39)/13)+1,"Sí","No","No conozco programas de ese tipo"),"")</f>
        <v/>
      </c>
      <c r="AA259" t="str">
        <f t="shared" si="79"/>
        <v>Puedo hacerlo con ayuda</v>
      </c>
      <c r="AB259" t="str">
        <f t="shared" si="79"/>
        <v>Puedo hacerlo con ayuda</v>
      </c>
      <c r="AC259" t="str">
        <f t="shared" si="80"/>
        <v>Puedo hacerlo con ayuda</v>
      </c>
      <c r="AD259" s="9" t="str">
        <f t="shared" si="81"/>
        <v>No puedo hacerlo</v>
      </c>
      <c r="AE259" t="str">
        <f t="shared" si="82"/>
        <v>Puedo hacerlo con dificultad</v>
      </c>
      <c r="AF259" s="9" t="str">
        <f t="shared" si="83"/>
        <v>Crear una hoja de vida</v>
      </c>
      <c r="AG259" s="9" t="str">
        <f t="shared" si="84"/>
        <v>Distancia</v>
      </c>
      <c r="AH259" t="str">
        <f t="shared" si="85"/>
        <v>No conozco ninguno</v>
      </c>
      <c r="AI259" s="9" t="str">
        <f t="shared" si="86"/>
        <v>Virtual</v>
      </c>
      <c r="AJ259" s="9" t="str">
        <f t="shared" si="87"/>
        <v>Mañana entre semana</v>
      </c>
      <c r="AK259" s="9" t="str">
        <f t="shared" si="88"/>
        <v>Correo electrónico</v>
      </c>
    </row>
    <row r="260" spans="1:37">
      <c r="A260" t="str">
        <f t="shared" si="89"/>
        <v>SG259</v>
      </c>
      <c r="B260" s="9" t="s">
        <v>419</v>
      </c>
      <c r="C260" s="9" t="s">
        <v>427</v>
      </c>
      <c r="D260" t="str">
        <f t="shared" si="72"/>
        <v>Femenino</v>
      </c>
      <c r="E260" t="str">
        <f t="shared" si="73"/>
        <v>De 24 a 26 años</v>
      </c>
      <c r="F260">
        <f t="shared" si="74"/>
        <v>25</v>
      </c>
      <c r="G260" s="9" t="s">
        <v>430</v>
      </c>
      <c r="H260" s="9" t="str">
        <f t="shared" si="75"/>
        <v>Profesional</v>
      </c>
      <c r="I260" s="9" t="str">
        <f t="shared" si="76"/>
        <v>Trabajo actualmente como empleado</v>
      </c>
      <c r="J260" s="13" t="str">
        <f>IF(I260="Trabajo actualmente como empleado",IF(MOD((COUNTIF($I$2:I260,"Trabajo actualmente como empleado")-1)*37,150)&lt;100,"Empleado con contrato","Empleado sin contrato formal"),IF(I260="Trabajo de manera independiente","Trabajo independiente",""))</f>
        <v>Empleado con contrato</v>
      </c>
      <c r="K260" s="9" t="str">
        <f>IF(OR(I260="Trabajo actualmente como empleado",I260="Trabajo de manera independiente"),CHOOSE(MOD(COUNTIF($I$2:I260,I260)-1,4)+1,"Menos de 3 meses","De 3 a 6 meses","De 7 a 12 meses","Más de un año"),"")</f>
        <v>De 7 a 12 meses</v>
      </c>
      <c r="L260" t="str">
        <f>IF(OR(I260="Trabajo actualmente como empleado",I260="Trabajo de manera independiente"),CHOOSE(MOD(COUNTIF($I$2:I260,I260)-1,3)+1,"Sí, completamente","Parcialmente","No"),"")</f>
        <v>Parcialmente</v>
      </c>
      <c r="M260" t="str">
        <f>IF(OR(I260="Trabajo actualmente como empleado",I260="Trabajo de manera independiente"),CHOOSE(MOD(INT((COUNTIF($I$2:I260,I260)-1)/3),4)+1,"1- Muy satisfecho/a","2- Satisfecho/a","3- Insatisfecho/a","4- Muy insatisfecho/a"),"")</f>
        <v>4- Muy insatisfecho/a</v>
      </c>
      <c r="N260" t="str">
        <f>IF(OR(I260="Trabajo actualmente como empleado",I260="Trabajo de manera independiente"),_xlfn.LET(_xlpm.opcion,MOD(INT((COUNTIF($I$2:I260,I260)-1)/5),6)+1,CHOOSE(IF(AND(_xlpm.opcion=6,L260="Sí, completamente"),5,_xlpm.opcion),"Salario","Estabilidad laboral","Horario","Acceso a prestaciones","Oportunidades de crecimiento","Trabajar en un área relacionada con mi formación")),"")</f>
        <v>Oportunidades de crecimiento</v>
      </c>
      <c r="O260" s="9" t="str">
        <f>IF(OR(I260="Trabajo actualmente como empleado",I260="Trabajo de manera independiente"),_xlfn.LET(_xlpm.turno,MOD(COUNTIF($I$2:I260,I260)-1,5),_xlpm.nivel,VALUE(LEFT(M260,1)),IF(_xlpm.turno=4,"No estoy seguro/a",IF(_xlpm.turno&lt;IF(_xlpm.nivel&lt;=2,1,3),"Sí","No"))),"")</f>
        <v>Sí</v>
      </c>
      <c r="P260" s="9" t="str">
        <f>_xlfn.LET(_xlpm.perfil,I260,_xlpm.turno,COUNTIF($I$2:I260,_xlpm.perfil)-1,_xlpm.busca,OR(_xlpm.perfil="Actualmente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trabajar"),IF(AND(_xlpm.trabaja,O260="No"),"Todavía no he iniciado una búsqueda activa",CHOOSE(MOD(_xlpm.turno*3,5)+1,"Menos de 1 mes","Entre 1 y 3 meses","Entre 4 y 6 meses","Más de 6 meses","Todavía no he iniciado una búsqueda activa")),"")))</f>
        <v>Entre 1 y 3 meses</v>
      </c>
      <c r="Q260" t="str">
        <f>IF(I260="Tengo un emprendimiento o quiero iniciar uno","",CHOOSE(MOD(INT((COUNTIF($I$2:I260,I260)-1)/7),3)+1,"Sí","No","Tengo una pero necesito actualizarla"))</f>
        <v>Tengo una pero necesito actualizarla</v>
      </c>
      <c r="R260" s="9" t="str">
        <f>IF(I260="Tengo un emprendimiento o quiero iniciar uno","",IF(I260="Busco mi primer empleo","No",IF(MOD(COUNTIF($I$2:I260,I260)-1,2)=0,"Sí","No")))</f>
        <v>Sí</v>
      </c>
      <c r="S260" t="str">
        <f>IF(I260="Tengo un emprendimiento o quiero iniciar uno","",CHOOSE(MOD(INT((COUNTIF($I$2:I260,I260)-1)/3),10)+1,"Portales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60" t="str">
        <f>IF(I260="Tengo un emprendimiento o quiero iniciar uno","",_xlfn.LET(_xlpm.opcion,MOD(INT((COUNTIF($I$2:I260,I260)-1)/4),6)+1,CHOOSE(IF(AND(_xlpm.opcion=3,Q260="Sí"),1,_xlpm.opcion),"Falta de experiencia","Falta de formación","Dificultades con la hoja de vida","Horarios disponibles","Transporte","Internet")))</f>
        <v>Dificultades con la hoja de vida</v>
      </c>
      <c r="U260" s="9" t="str">
        <f>IF(I260="Tengo un emprendimiento o quiero iniciar uno","",IF(MOD(INT((COUNTIF($I$2:I260,I260)-1)/3),2)=0,"Sí","No"))</f>
        <v>No</v>
      </c>
      <c r="V260" s="9" t="str">
        <f>IF(I260="Tengo un emprendimiento o quiero iniciar uno",CHOOSE(MOD(COUNTIF($I$2:I260,I260)-1,3)+1,"Tengo un emprendimiento","Estoy iniciando un emprendimiento","Me interesa emprender"),"")</f>
        <v/>
      </c>
      <c r="W260" t="str">
        <f t="shared" si="77"/>
        <v/>
      </c>
      <c r="X260" s="9" t="str">
        <f>IF(I260="Tengo un emprendimiento o quiero iniciar uno",CHOOSE(MOD(COUNTIF($I$2:I260,I260)-1,5)+1,"Falta de financiación","Falta de conocimientos administrativos","Falta de conocimientos financieros","Falta de tiempo","Falta de herramientas"),"")</f>
        <v/>
      </c>
      <c r="Y260" s="9" t="str">
        <f t="shared" si="78"/>
        <v/>
      </c>
      <c r="Z260" t="str">
        <f>IF(I260="Tengo un emprendimiento o quiero iniciar uno",CHOOSE(INT(MOD((COUNTIF($I$2:I260,I260)-1)*7,39)/13)+1,"Sí","No","No conozco programas de ese tipo"),"")</f>
        <v/>
      </c>
      <c r="AA260" t="str">
        <f t="shared" si="79"/>
        <v>Puedo hacerlo sin ayuda</v>
      </c>
      <c r="AB260" t="str">
        <f t="shared" si="79"/>
        <v>Puedo hacerlo sin ayuda</v>
      </c>
      <c r="AC260" t="str">
        <f t="shared" si="80"/>
        <v>Puedo hacerlo con dificultad</v>
      </c>
      <c r="AD260" s="9" t="str">
        <f t="shared" si="81"/>
        <v>No puedo hacerlo</v>
      </c>
      <c r="AE260" t="str">
        <f t="shared" si="82"/>
        <v>Puedo hacerlo con dificultad</v>
      </c>
      <c r="AF260" s="9" t="str">
        <f t="shared" si="83"/>
        <v>Preparación para entrevista</v>
      </c>
      <c r="AG260" s="9" t="str">
        <f t="shared" si="84"/>
        <v>Falta de experiencia;Falta de información</v>
      </c>
      <c r="AH260" t="str">
        <f t="shared" si="85"/>
        <v>Ferias de empleo</v>
      </c>
      <c r="AI260" s="9" t="str">
        <f t="shared" si="86"/>
        <v>Presencial y virtual</v>
      </c>
      <c r="AJ260" s="9" t="str">
        <f t="shared" si="87"/>
        <v>Fines de semana</v>
      </c>
      <c r="AK260" s="9" t="str">
        <f t="shared" si="88"/>
        <v>Redes sociales</v>
      </c>
    </row>
    <row r="261" spans="1:37">
      <c r="A261" t="str">
        <f t="shared" si="89"/>
        <v>SG260</v>
      </c>
      <c r="B261" s="9" t="s">
        <v>419</v>
      </c>
      <c r="C261" s="9" t="s">
        <v>427</v>
      </c>
      <c r="D261" t="str">
        <f t="shared" si="72"/>
        <v>Masculino</v>
      </c>
      <c r="E261" t="str">
        <f t="shared" si="73"/>
        <v>De 26 a 28 años</v>
      </c>
      <c r="F261">
        <f t="shared" si="74"/>
        <v>26</v>
      </c>
      <c r="G261" s="9" t="s">
        <v>430</v>
      </c>
      <c r="H261" s="9" t="str">
        <f t="shared" si="75"/>
        <v>Profesional</v>
      </c>
      <c r="I261" s="9" t="str">
        <f t="shared" si="76"/>
        <v>Actualmente no trabajo y estoy buscando empleo</v>
      </c>
      <c r="J261" s="13" t="str">
        <f>IF(I261="Trabajo actualmente como empleado",IF(MOD((COUNTIF($I$2:I261,"Trabajo actualmente como empleado")-1)*37,150)&lt;100,"Empleado con contrato","Empleado sin contrato formal"),IF(I261="Trabajo de manera independiente","Trabajo independiente",""))</f>
        <v/>
      </c>
      <c r="K261" s="9" t="str">
        <f>IF(OR(I261="Trabajo actualmente como empleado",I261="Trabajo de manera independiente"),CHOOSE(MOD(COUNTIF($I$2:I261,I261)-1,4)+1,"Menos de 3 meses","De 3 a 6 meses","De 7 a 12 meses","Más de un año"),"")</f>
        <v/>
      </c>
      <c r="L261" t="str">
        <f>IF(OR(I261="Trabajo actualmente como empleado",I261="Trabajo de manera independiente"),CHOOSE(MOD(COUNTIF($I$2:I261,I261)-1,3)+1,"Sí, completamente","Parcialmente","No"),"")</f>
        <v/>
      </c>
      <c r="M261" t="str">
        <f>IF(OR(I261="Trabajo actualmente como empleado",I261="Trabajo de manera independiente"),CHOOSE(MOD(INT((COUNTIF($I$2:I261,I261)-1)/3),4)+1,"1- Muy satisfecho/a","2- Satisfecho/a","3- Insatisfecho/a","4- Muy insatisfecho/a"),"")</f>
        <v/>
      </c>
      <c r="N261" t="str">
        <f>IF(OR(I261="Trabajo actualmente como empleado",I261="Trabajo de manera independiente"),_xlfn.LET(_xlpm.opcion,MOD(INT((COUNTIF($I$2:I261,I261)-1)/5),6)+1,CHOOSE(IF(AND(_xlpm.opcion=6,L261="Sí, completamente"),5,_xlpm.opcion),"Salario","Estabilidad laboral","Horario","Acceso a prestaciones","Oportunidades de crecimiento","Trabajar en un área relacionada con mi formación")),"")</f>
        <v/>
      </c>
      <c r="O261" s="9" t="str">
        <f>IF(OR(I261="Trabajo actualmente como empleado",I261="Trabajo de manera independiente"),_xlfn.LET(_xlpm.turno,MOD(COUNTIF($I$2:I261,I261)-1,5),_xlpm.nivel,VALUE(LEFT(M261,1)),IF(_xlpm.turno=4,"No estoy seguro/a",IF(_xlpm.turno&lt;IF(_xlpm.nivel&lt;=2,1,3),"Sí","No"))),"")</f>
        <v/>
      </c>
      <c r="P261" s="9" t="str">
        <f>_xlfn.LET(_xlpm.perfil,I261,_xlpm.turno,COUNTIF($I$2:I261,_xlpm.perfil)-1,_xlpm.busca,OR(_xlpm.perfil="Actualmente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trabajar"),IF(AND(_xlpm.trabaja,O261="No"),"Todavía no he iniciado una búsqueda activa",CHOOSE(MOD(_xlpm.turno*3,5)+1,"Menos de 1 mes","Entre 1 y 3 meses","Entre 4 y 6 meses","Más de 6 meses","Todavía no he iniciado una búsqueda activa")),"")))</f>
        <v>Entre 4 y 6 meses</v>
      </c>
      <c r="Q261" t="str">
        <f>IF(I261="Tengo un emprendimiento o quiero iniciar uno","",CHOOSE(MOD(INT((COUNTIF($I$2:I261,I261)-1)/7),3)+1,"Sí","No","Tengo una pero necesito actualizarla"))</f>
        <v>Sí</v>
      </c>
      <c r="R261" s="9" t="str">
        <f>IF(I261="Tengo un emprendimiento o quiero iniciar uno","",IF(I261="Busco mi primer empleo","No",IF(MOD(COUNTIF($I$2:I261,I261)-1,2)=0,"Sí","No")))</f>
        <v>Sí</v>
      </c>
      <c r="S261" t="str">
        <f>IF(I261="Tengo un emprendimiento o quiero iniciar uno","",CHOOSE(MOD(INT((COUNTIF($I$2:I261,I261)-1)/3),10)+1,"Portales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61" t="str">
        <f>IF(I261="Tengo un emprendimiento o quiero iniciar uno","",_xlfn.LET(_xlpm.opcion,MOD(INT((COUNTIF($I$2:I261,I261)-1)/4),6)+1,CHOOSE(IF(AND(_xlpm.opcion=3,Q261="Sí"),1,_xlpm.opcion),"Falta de experiencia","Falta de formación","Dificultades con la hoja de vida","Horarios disponibles","Transporte","Internet")))</f>
        <v>Internet</v>
      </c>
      <c r="U261" s="9" t="str">
        <f>IF(I261="Tengo un emprendimiento o quiero iniciar uno","",IF(MOD(INT((COUNTIF($I$2:I261,I261)-1)/3),2)=0,"Sí","No"))</f>
        <v>No</v>
      </c>
      <c r="V261" s="9" t="str">
        <f>IF(I261="Tengo un emprendimiento o quiero iniciar uno",CHOOSE(MOD(COUNTIF($I$2:I261,I261)-1,3)+1,"Tengo un emprendimiento","Estoy iniciando un emprendimiento","Me interesa emprender"),"")</f>
        <v/>
      </c>
      <c r="W261" t="str">
        <f t="shared" si="77"/>
        <v/>
      </c>
      <c r="X261" s="9" t="str">
        <f>IF(I261="Tengo un emprendimiento o quiero iniciar uno",CHOOSE(MOD(COUNTIF($I$2:I261,I261)-1,5)+1,"Falta de financiación","Falta de conocimientos administrativos","Falta de conocimientos financieros","Falta de tiempo","Falta de herramientas"),"")</f>
        <v/>
      </c>
      <c r="Y261" s="9" t="str">
        <f t="shared" si="78"/>
        <v/>
      </c>
      <c r="Z261" t="str">
        <f>IF(I261="Tengo un emprendimiento o quiero iniciar uno",CHOOSE(INT(MOD((COUNTIF($I$2:I261,I261)-1)*7,39)/13)+1,"Sí","No","No conozco programas de ese tipo"),"")</f>
        <v/>
      </c>
      <c r="AA261" t="str">
        <f t="shared" si="79"/>
        <v>Puedo hacerlo con ayuda</v>
      </c>
      <c r="AB261" t="str">
        <f t="shared" si="79"/>
        <v>Puedo hacerlo con ayuda</v>
      </c>
      <c r="AC261" t="str">
        <f t="shared" si="80"/>
        <v>No puedo hacerlo</v>
      </c>
      <c r="AD261" s="9" t="str">
        <f t="shared" si="81"/>
        <v>Puedo hacerlo con ayuda</v>
      </c>
      <c r="AE261" t="str">
        <f t="shared" si="82"/>
        <v>Puedo hacerlo sin ayuda</v>
      </c>
      <c r="AF261" s="9" t="str">
        <f t="shared" si="83"/>
        <v>Comunicación</v>
      </c>
      <c r="AG261" s="9" t="str">
        <f t="shared" si="84"/>
        <v>Falta de experiencia;Falta de información</v>
      </c>
      <c r="AH261" t="str">
        <f t="shared" si="85"/>
        <v>Programas de emprendimiento</v>
      </c>
      <c r="AI261" s="9" t="str">
        <f t="shared" si="86"/>
        <v>Me es indiferente</v>
      </c>
      <c r="AJ261" s="9" t="str">
        <f t="shared" si="87"/>
        <v>Nocturno</v>
      </c>
      <c r="AK261" s="9" t="str">
        <f t="shared" si="88"/>
        <v>WhatsApp</v>
      </c>
    </row>
    <row r="262" spans="1:37">
      <c r="A262" t="str">
        <f t="shared" si="89"/>
        <v>SG261</v>
      </c>
      <c r="B262" s="9" t="s">
        <v>419</v>
      </c>
      <c r="C262" s="9" t="s">
        <v>427</v>
      </c>
      <c r="D262" t="str">
        <f t="shared" si="72"/>
        <v>Masculino</v>
      </c>
      <c r="E262" t="str">
        <f t="shared" si="73"/>
        <v>De 18 a 20 años</v>
      </c>
      <c r="F262">
        <f t="shared" si="74"/>
        <v>18</v>
      </c>
      <c r="G262" s="9" t="s">
        <v>430</v>
      </c>
      <c r="H262" s="9" t="str">
        <f t="shared" si="75"/>
        <v>Bachiller</v>
      </c>
      <c r="I262" s="9" t="str">
        <f t="shared" si="76"/>
        <v>Estudio y quiero comenzar a trabajar</v>
      </c>
      <c r="J262" s="13" t="str">
        <f>IF(I262="Trabajo actualmente como empleado",IF(MOD((COUNTIF($I$2:I262,"Trabajo actualmente como empleado")-1)*37,150)&lt;100,"Empleado con contrato","Empleado sin contrato formal"),IF(I262="Trabajo de manera independiente","Trabajo independiente",""))</f>
        <v/>
      </c>
      <c r="K262" s="9" t="str">
        <f>IF(OR(I262="Trabajo actualmente como empleado",I262="Trabajo de manera independiente"),CHOOSE(MOD(COUNTIF($I$2:I262,I262)-1,4)+1,"Menos de 3 meses","De 3 a 6 meses","De 7 a 12 meses","Más de un año"),"")</f>
        <v/>
      </c>
      <c r="L262" t="str">
        <f>IF(OR(I262="Trabajo actualmente como empleado",I262="Trabajo de manera independiente"),CHOOSE(MOD(COUNTIF($I$2:I262,I262)-1,3)+1,"Sí, completamente","Parcialmente","No"),"")</f>
        <v/>
      </c>
      <c r="M262" t="str">
        <f>IF(OR(I262="Trabajo actualmente como empleado",I262="Trabajo de manera independiente"),CHOOSE(MOD(INT((COUNTIF($I$2:I262,I262)-1)/3),4)+1,"1- Muy satisfecho/a","2- Satisfecho/a","3- Insatisfecho/a","4- Muy insatisfecho/a"),"")</f>
        <v/>
      </c>
      <c r="N262" t="str">
        <f>IF(OR(I262="Trabajo actualmente como empleado",I262="Trabajo de manera independiente"),_xlfn.LET(_xlpm.opcion,MOD(INT((COUNTIF($I$2:I262,I262)-1)/5),6)+1,CHOOSE(IF(AND(_xlpm.opcion=6,L262="Sí, completamente"),5,_xlpm.opcion),"Salario","Estabilidad laboral","Horario","Acceso a prestaciones","Oportunidades de crecimiento","Trabajar en un área relacionada con mi formación")),"")</f>
        <v/>
      </c>
      <c r="O262" s="9" t="str">
        <f>IF(OR(I262="Trabajo actualmente como empleado",I262="Trabajo de manera independiente"),_xlfn.LET(_xlpm.turno,MOD(COUNTIF($I$2:I262,I262)-1,5),_xlpm.nivel,VALUE(LEFT(M262,1)),IF(_xlpm.turno=4,"No estoy seguro/a",IF(_xlpm.turno&lt;IF(_xlpm.nivel&lt;=2,1,3),"Sí","No"))),"")</f>
        <v/>
      </c>
      <c r="P262" s="9" t="str">
        <f>_xlfn.LET(_xlpm.perfil,I262,_xlpm.turno,COUNTIF($I$2:I262,_xlpm.perfil)-1,_xlpm.busca,OR(_xlpm.perfil="Actualmente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trabajar"),IF(AND(_xlpm.trabaja,O262="No"),"Todavía no he iniciado una búsqueda activa",CHOOSE(MOD(_xlpm.turno*3,5)+1,"Menos de 1 mes","Entre 1 y 3 meses","Entre 4 y 6 meses","Más de 6 meses","Todavía no he iniciado una búsqueda activa")),"")))</f>
        <v>Entre 4 y 6 meses</v>
      </c>
      <c r="Q262" t="str">
        <f>IF(I262="Tengo un emprendimiento o quiero iniciar uno","",CHOOSE(MOD(INT((COUNTIF($I$2:I262,I262)-1)/7),3)+1,"Sí","No","Tengo una pero necesito actualizarla"))</f>
        <v>No</v>
      </c>
      <c r="R262" s="9" t="str">
        <f>IF(I262="Tengo un emprendimiento o quiero iniciar uno","",IF(I262="Busco mi primer empleo","No",IF(MOD(COUNTIF($I$2:I262,I262)-1,2)=0,"Sí","No")))</f>
        <v>No</v>
      </c>
      <c r="S262" t="str">
        <f>IF(I262="Tengo un emprendimiento o quiero iniciar uno","",CHOOSE(MOD(INT((COUNTIF($I$2:I262,I262)-1)/3),10)+1,"Portales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62" t="str">
        <f>IF(I262="Tengo un emprendimiento o quiero iniciar uno","",_xlfn.LET(_xlpm.opcion,MOD(INT((COUNTIF($I$2:I262,I262)-1)/4),6)+1,CHOOSE(IF(AND(_xlpm.opcion=3,Q262="Sí"),1,_xlpm.opcion),"Falta de experiencia","Falta de formación","Dificultades con la hoja de vida","Horarios disponibles","Transporte","Internet")))</f>
        <v>Falta de formación</v>
      </c>
      <c r="U262" s="9" t="str">
        <f>IF(I262="Tengo un emprendimiento o quiero iniciar uno","",IF(MOD(INT((COUNTIF($I$2:I262,I262)-1)/3),2)=0,"Sí","No"))</f>
        <v>No</v>
      </c>
      <c r="V262" s="9" t="str">
        <f>IF(I262="Tengo un emprendimiento o quiero iniciar uno",CHOOSE(MOD(COUNTIF($I$2:I262,I262)-1,3)+1,"Tengo un emprendimiento","Estoy iniciando un emprendimiento","Me interesa emprender"),"")</f>
        <v/>
      </c>
      <c r="W262" t="str">
        <f t="shared" si="77"/>
        <v/>
      </c>
      <c r="X262" s="9" t="str">
        <f>IF(I262="Tengo un emprendimiento o quiero iniciar uno",CHOOSE(MOD(COUNTIF($I$2:I262,I262)-1,5)+1,"Falta de financiación","Falta de conocimientos administrativos","Falta de conocimientos financieros","Falta de tiempo","Falta de herramientas"),"")</f>
        <v/>
      </c>
      <c r="Y262" s="9" t="str">
        <f t="shared" si="78"/>
        <v/>
      </c>
      <c r="Z262" t="str">
        <f>IF(I262="Tengo un emprendimiento o quiero iniciar uno",CHOOSE(INT(MOD((COUNTIF($I$2:I262,I262)-1)*7,39)/13)+1,"Sí","No","No conozco programas de ese tipo"),"")</f>
        <v/>
      </c>
      <c r="AA262" t="str">
        <f t="shared" si="79"/>
        <v>Puedo hacerlo con dificultad</v>
      </c>
      <c r="AB262" t="str">
        <f t="shared" si="79"/>
        <v>Puedo hacerlo con dificultad</v>
      </c>
      <c r="AC262" t="str">
        <f t="shared" si="80"/>
        <v>Puedo hacerlo con ayuda</v>
      </c>
      <c r="AD262" s="9" t="str">
        <f t="shared" si="81"/>
        <v>Puedo hacerlo con dificultad</v>
      </c>
      <c r="AE262" t="str">
        <f t="shared" si="82"/>
        <v>Puedo hacerlo sin ayuda</v>
      </c>
      <c r="AF262" s="9" t="str">
        <f t="shared" si="83"/>
        <v>Liderazgo</v>
      </c>
      <c r="AG262" s="9" t="str">
        <f t="shared" si="84"/>
        <v>Falta de experiencia;Falta de información</v>
      </c>
      <c r="AH262" t="str">
        <f t="shared" si="85"/>
        <v>Oficina de orientación laboral</v>
      </c>
      <c r="AI262" s="9" t="str">
        <f t="shared" si="86"/>
        <v>Presencial</v>
      </c>
      <c r="AJ262" s="9" t="str">
        <f t="shared" si="87"/>
        <v>Mañana entre semana</v>
      </c>
      <c r="AK262" s="9" t="str">
        <f t="shared" si="88"/>
        <v>Correo electrónico</v>
      </c>
    </row>
    <row r="263" spans="1:37">
      <c r="A263" t="str">
        <f t="shared" si="89"/>
        <v>SG262</v>
      </c>
      <c r="B263" s="9" t="s">
        <v>419</v>
      </c>
      <c r="C263" s="9" t="s">
        <v>427</v>
      </c>
      <c r="D263" t="str">
        <f t="shared" si="72"/>
        <v>Femenino</v>
      </c>
      <c r="E263" t="str">
        <f t="shared" si="73"/>
        <v>De 20 a 22 años</v>
      </c>
      <c r="F263">
        <f t="shared" si="74"/>
        <v>20</v>
      </c>
      <c r="G263" s="9" t="s">
        <v>430</v>
      </c>
      <c r="H263" s="9" t="str">
        <f t="shared" si="75"/>
        <v>Bachiller</v>
      </c>
      <c r="I263" s="9" t="str">
        <f t="shared" si="76"/>
        <v>Trabajo actualmente como empleado</v>
      </c>
      <c r="J263" s="13" t="str">
        <f>IF(I263="Trabajo actualmente como empleado",IF(MOD((COUNTIF($I$2:I263,"Trabajo actualmente como empleado")-1)*37,150)&lt;100,"Empleado con contrato","Empleado sin contrato formal"),IF(I263="Trabajo de manera independiente","Trabajo independiente",""))</f>
        <v>Empleado con contrato</v>
      </c>
      <c r="K263" s="9" t="str">
        <f>IF(OR(I263="Trabajo actualmente como empleado",I263="Trabajo de manera independiente"),CHOOSE(MOD(COUNTIF($I$2:I263,I263)-1,4)+1,"Menos de 3 meses","De 3 a 6 meses","De 7 a 12 meses","Más de un año"),"")</f>
        <v>Más de un año</v>
      </c>
      <c r="L263" t="str">
        <f>IF(OR(I263="Trabajo actualmente como empleado",I263="Trabajo de manera independiente"),CHOOSE(MOD(COUNTIF($I$2:I263,I263)-1,3)+1,"Sí, completamente","Parcialmente","No"),"")</f>
        <v>No</v>
      </c>
      <c r="M263" t="str">
        <f>IF(OR(I263="Trabajo actualmente como empleado",I263="Trabajo de manera independiente"),CHOOSE(MOD(INT((COUNTIF($I$2:I263,I263)-1)/3),4)+1,"1- Muy satisfecho/a","2- Satisfecho/a","3- Insatisfecho/a","4- Muy insatisfecho/a"),"")</f>
        <v>4- Muy insatisfecho/a</v>
      </c>
      <c r="N263" t="str">
        <f>IF(OR(I263="Trabajo actualmente como empleado",I263="Trabajo de manera independiente"),_xlfn.LET(_xlpm.opcion,MOD(INT((COUNTIF($I$2:I263,I263)-1)/5),6)+1,CHOOSE(IF(AND(_xlpm.opcion=6,L263="Sí, completamente"),5,_xlpm.opcion),"Salario","Estabilidad laboral","Horario","Acceso a prestaciones","Oportunidades de crecimiento","Trabajar en un área relacionada con mi formación")),"")</f>
        <v>Oportunidades de crecimiento</v>
      </c>
      <c r="O263" s="9" t="str">
        <f>IF(OR(I263="Trabajo actualmente como empleado",I263="Trabajo de manera independiente"),_xlfn.LET(_xlpm.turno,MOD(COUNTIF($I$2:I263,I263)-1,5),_xlpm.nivel,VALUE(LEFT(M263,1)),IF(_xlpm.turno=4,"No estoy seguro/a",IF(_xlpm.turno&lt;IF(_xlpm.nivel&lt;=2,1,3),"Sí","No"))),"")</f>
        <v>No</v>
      </c>
      <c r="P263" s="9" t="str">
        <f>_xlfn.LET(_xlpm.perfil,I263,_xlpm.turno,COUNTIF($I$2:I263,_xlpm.perfil)-1,_xlpm.busca,OR(_xlpm.perfil="Actualmente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63" t="str">
        <f>IF(I263="Tengo un emprendimiento o quiero iniciar uno","",CHOOSE(MOD(INT((COUNTIF($I$2:I263,I263)-1)/7),3)+1,"Sí","No","Tengo una pero necesito actualizarla"))</f>
        <v>Tengo una pero necesito actualizarla</v>
      </c>
      <c r="R263" s="9" t="str">
        <f>IF(I263="Tengo un emprendimiento o quiero iniciar uno","",IF(I263="Busco mi primer empleo","No",IF(MOD(COUNTIF($I$2:I263,I263)-1,2)=0,"Sí","No")))</f>
        <v>No</v>
      </c>
      <c r="S263" t="str">
        <f>IF(I263="Tengo un emprendimiento o quiero iniciar uno","",CHOOSE(MOD(INT((COUNTIF($I$2:I263,I263)-1)/3),10)+1,"Portales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63" t="str">
        <f>IF(I263="Tengo un emprendimiento o quiero iniciar uno","",_xlfn.LET(_xlpm.opcion,MOD(INT((COUNTIF($I$2:I263,I263)-1)/4),6)+1,CHOOSE(IF(AND(_xlpm.opcion=3,Q263="Sí"),1,_xlpm.opcion),"Falta de experiencia","Falta de formación","Dificultades con la hoja de vida","Horarios disponibles","Transporte","Internet")))</f>
        <v>Dificultades con la hoja de vida</v>
      </c>
      <c r="U263" s="9" t="str">
        <f>IF(I263="Tengo un emprendimiento o quiero iniciar uno","",IF(MOD(INT((COUNTIF($I$2:I263,I263)-1)/3),2)=0,"Sí","No"))</f>
        <v>No</v>
      </c>
      <c r="V263" s="9" t="str">
        <f>IF(I263="Tengo un emprendimiento o quiero iniciar uno",CHOOSE(MOD(COUNTIF($I$2:I263,I263)-1,3)+1,"Tengo un emprendimiento","Estoy iniciando un emprendimiento","Me interesa emprender"),"")</f>
        <v/>
      </c>
      <c r="W263" t="str">
        <f t="shared" si="77"/>
        <v/>
      </c>
      <c r="X263" s="9" t="str">
        <f>IF(I263="Tengo un emprendimiento o quiero iniciar uno",CHOOSE(MOD(COUNTIF($I$2:I263,I263)-1,5)+1,"Falta de financiación","Falta de conocimientos administrativos","Falta de conocimientos financieros","Falta de tiempo","Falta de herramientas"),"")</f>
        <v/>
      </c>
      <c r="Y263" s="9" t="str">
        <f t="shared" si="78"/>
        <v/>
      </c>
      <c r="Z263" t="str">
        <f>IF(I263="Tengo un emprendimiento o quiero iniciar uno",CHOOSE(INT(MOD((COUNTIF($I$2:I263,I263)-1)*7,39)/13)+1,"Sí","No","No conozco programas de ese tipo"),"")</f>
        <v/>
      </c>
      <c r="AA263" t="str">
        <f t="shared" si="79"/>
        <v>No puedo hacerlo</v>
      </c>
      <c r="AB263" t="str">
        <f t="shared" si="79"/>
        <v>No puedo hacerlo</v>
      </c>
      <c r="AC263" t="str">
        <f t="shared" si="80"/>
        <v>Puedo hacerlo con dificultad</v>
      </c>
      <c r="AD263" s="9" t="str">
        <f t="shared" si="81"/>
        <v>Puedo hacerlo sin ayuda</v>
      </c>
      <c r="AE263" t="str">
        <f t="shared" si="82"/>
        <v>No puedo hacerlo</v>
      </c>
      <c r="AF263" s="9" t="str">
        <f t="shared" si="83"/>
        <v>Emprendimiento</v>
      </c>
      <c r="AG263" s="9" t="str">
        <f t="shared" si="84"/>
        <v>Costos de transporte;Distancia</v>
      </c>
      <c r="AH263" t="str">
        <f t="shared" si="85"/>
        <v>Programas de emprendimiento</v>
      </c>
      <c r="AI263" s="9" t="str">
        <f t="shared" si="86"/>
        <v>Virtual</v>
      </c>
      <c r="AJ263" s="9" t="str">
        <f t="shared" si="87"/>
        <v>Diurno</v>
      </c>
      <c r="AK263" s="9" t="str">
        <f t="shared" si="88"/>
        <v>Celular</v>
      </c>
    </row>
    <row r="264" spans="1:37">
      <c r="A264" t="str">
        <f t="shared" si="89"/>
        <v>SG263</v>
      </c>
      <c r="B264" s="9" t="s">
        <v>419</v>
      </c>
      <c r="C264" s="9" t="s">
        <v>427</v>
      </c>
      <c r="D264" t="str">
        <f t="shared" si="72"/>
        <v>Femenino</v>
      </c>
      <c r="E264" t="str">
        <f t="shared" si="73"/>
        <v>De 22 a 24 años</v>
      </c>
      <c r="F264">
        <f t="shared" si="74"/>
        <v>22</v>
      </c>
      <c r="G264" s="9" t="s">
        <v>430</v>
      </c>
      <c r="H264" s="9" t="str">
        <f t="shared" si="75"/>
        <v>Bachiller</v>
      </c>
      <c r="I264" s="9" t="str">
        <f t="shared" si="76"/>
        <v>Actualmente no trabajo y estoy buscando empleo</v>
      </c>
      <c r="J264" s="13" t="str">
        <f>IF(I264="Trabajo actualmente como empleado",IF(MOD((COUNTIF($I$2:I264,"Trabajo actualmente como empleado")-1)*37,150)&lt;100,"Empleado con contrato","Empleado sin contrato formal"),IF(I264="Trabajo de manera independiente","Trabajo independiente",""))</f>
        <v/>
      </c>
      <c r="K264" s="9" t="str">
        <f>IF(OR(I264="Trabajo actualmente como empleado",I264="Trabajo de manera independiente"),CHOOSE(MOD(COUNTIF($I$2:I264,I264)-1,4)+1,"Menos de 3 meses","De 3 a 6 meses","De 7 a 12 meses","Más de un año"),"")</f>
        <v/>
      </c>
      <c r="L264" t="str">
        <f>IF(OR(I264="Trabajo actualmente como empleado",I264="Trabajo de manera independiente"),CHOOSE(MOD(COUNTIF($I$2:I264,I264)-1,3)+1,"Sí, completamente","Parcialmente","No"),"")</f>
        <v/>
      </c>
      <c r="M264" t="str">
        <f>IF(OR(I264="Trabajo actualmente como empleado",I264="Trabajo de manera independiente"),CHOOSE(MOD(INT((COUNTIF($I$2:I264,I264)-1)/3),4)+1,"1- Muy satisfecho/a","2- Satisfecho/a","3- Insatisfecho/a","4- Muy insatisfecho/a"),"")</f>
        <v/>
      </c>
      <c r="N264" t="str">
        <f>IF(OR(I264="Trabajo actualmente como empleado",I264="Trabajo de manera independiente"),_xlfn.LET(_xlpm.opcion,MOD(INT((COUNTIF($I$2:I264,I264)-1)/5),6)+1,CHOOSE(IF(AND(_xlpm.opcion=6,L264="Sí, completamente"),5,_xlpm.opcion),"Salario","Estabilidad laboral","Horario","Acceso a prestaciones","Oportunidades de crecimiento","Trabajar en un área relacionada con mi formación")),"")</f>
        <v/>
      </c>
      <c r="O264" s="9" t="str">
        <f>IF(OR(I264="Trabajo actualmente como empleado",I264="Trabajo de manera independiente"),_xlfn.LET(_xlpm.turno,MOD(COUNTIF($I$2:I264,I264)-1,5),_xlpm.nivel,VALUE(LEFT(M264,1)),IF(_xlpm.turno=4,"No estoy seguro/a",IF(_xlpm.turno&lt;IF(_xlpm.nivel&lt;=2,1,3),"Sí","No"))),"")</f>
        <v/>
      </c>
      <c r="P264" s="9" t="str">
        <f>_xlfn.LET(_xlpm.perfil,I264,_xlpm.turno,COUNTIF($I$2:I264,_xlpm.perfil)-1,_xlpm.busca,OR(_xlpm.perfil="Actualmente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trabajar"),IF(AND(_xlpm.trabaja,O264="No"),"Todavía no he iniciado una búsqueda activa",CHOOSE(MOD(_xlpm.turno*3,5)+1,"Menos de 1 mes","Entre 1 y 3 meses","Entre 4 y 6 meses","Más de 6 meses","Todavía no he iniciado una búsqueda activa")),"")))</f>
        <v>Entre 1 y 3 meses</v>
      </c>
      <c r="Q264" t="str">
        <f>IF(I264="Tengo un emprendimiento o quiero iniciar uno","",CHOOSE(MOD(INT((COUNTIF($I$2:I264,I264)-1)/7),3)+1,"Sí","No","Tengo una pero necesito actualizarla"))</f>
        <v>Sí</v>
      </c>
      <c r="R264" s="9" t="str">
        <f>IF(I264="Tengo un emprendimiento o quiero iniciar uno","",IF(I264="Busco mi primer empleo","No",IF(MOD(COUNTIF($I$2:I264,I264)-1,2)=0,"Sí","No")))</f>
        <v>No</v>
      </c>
      <c r="S264" t="str">
        <f>IF(I264="Tengo un emprendimiento o quiero iniciar uno","",CHOOSE(MOD(INT((COUNTIF($I$2:I264,I264)-1)/3),10)+1,"Portales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64" t="str">
        <f>IF(I264="Tengo un emprendimiento o quiero iniciar uno","",_xlfn.LET(_xlpm.opcion,MOD(INT((COUNTIF($I$2:I264,I264)-1)/4),6)+1,CHOOSE(IF(AND(_xlpm.opcion=3,Q264="Sí"),1,_xlpm.opcion),"Falta de experiencia","Falta de formación","Dificultades con la hoja de vida","Horarios disponibles","Transporte","Internet")))</f>
        <v>Internet</v>
      </c>
      <c r="U264" s="9" t="str">
        <f>IF(I264="Tengo un emprendimiento o quiero iniciar uno","",IF(MOD(INT((COUNTIF($I$2:I264,I264)-1)/3),2)=0,"Sí","No"))</f>
        <v>No</v>
      </c>
      <c r="V264" s="9" t="str">
        <f>IF(I264="Tengo un emprendimiento o quiero iniciar uno",CHOOSE(MOD(COUNTIF($I$2:I264,I264)-1,3)+1,"Tengo un emprendimiento","Estoy iniciando un emprendimiento","Me interesa emprender"),"")</f>
        <v/>
      </c>
      <c r="W264" t="str">
        <f t="shared" si="77"/>
        <v/>
      </c>
      <c r="X264" s="9" t="str">
        <f>IF(I264="Tengo un emprendimiento o quiero iniciar uno",CHOOSE(MOD(COUNTIF($I$2:I264,I264)-1,5)+1,"Falta de financiación","Falta de conocimientos administrativos","Falta de conocimientos financieros","Falta de tiempo","Falta de herramientas"),"")</f>
        <v/>
      </c>
      <c r="Y264" s="9" t="str">
        <f t="shared" si="78"/>
        <v/>
      </c>
      <c r="Z264" t="str">
        <f>IF(I264="Tengo un emprendimiento o quiero iniciar uno",CHOOSE(INT(MOD((COUNTIF($I$2:I264,I264)-1)*7,39)/13)+1,"Sí","No","No conozco programas de ese tipo"),"")</f>
        <v/>
      </c>
      <c r="AA264" t="str">
        <f t="shared" si="79"/>
        <v>Puedo hacerlo con ayuda</v>
      </c>
      <c r="AB264" t="str">
        <f t="shared" si="79"/>
        <v>Puedo hacerlo con ayuda</v>
      </c>
      <c r="AC264" t="str">
        <f t="shared" si="80"/>
        <v>No puedo hacerlo</v>
      </c>
      <c r="AD264" s="9" t="str">
        <f t="shared" si="81"/>
        <v>Puedo hacerlo sin ayuda</v>
      </c>
      <c r="AE264" t="str">
        <f t="shared" si="82"/>
        <v>Puedo hacerlo con ayuda</v>
      </c>
      <c r="AF264" s="9" t="str">
        <f t="shared" si="83"/>
        <v>Herramientas digitales</v>
      </c>
      <c r="AG264" s="9" t="str">
        <f t="shared" si="84"/>
        <v>Costos de transporte;Distancia</v>
      </c>
      <c r="AH264" t="str">
        <f t="shared" si="85"/>
        <v>No conozco ninguno</v>
      </c>
      <c r="AI264" s="9" t="str">
        <f t="shared" si="86"/>
        <v>Presencial y virtual</v>
      </c>
      <c r="AJ264" s="9" t="str">
        <f t="shared" si="87"/>
        <v>Nocturno</v>
      </c>
      <c r="AK264" s="9" t="str">
        <f t="shared" si="88"/>
        <v>WhatsApp</v>
      </c>
    </row>
    <row r="265" spans="1:37">
      <c r="A265" t="str">
        <f t="shared" si="89"/>
        <v>SG264</v>
      </c>
      <c r="B265" s="9" t="s">
        <v>419</v>
      </c>
      <c r="C265" s="9" t="s">
        <v>427</v>
      </c>
      <c r="D265" t="str">
        <f t="shared" si="72"/>
        <v>Masculino</v>
      </c>
      <c r="E265" t="str">
        <f t="shared" si="73"/>
        <v>De 24 a 26 años</v>
      </c>
      <c r="F265">
        <f t="shared" si="74"/>
        <v>24</v>
      </c>
      <c r="G265" s="9" t="s">
        <v>430</v>
      </c>
      <c r="H265" s="9" t="str">
        <f t="shared" si="75"/>
        <v>Bachiller</v>
      </c>
      <c r="I265" s="9" t="str">
        <f t="shared" si="76"/>
        <v>Tengo un emprendimiento o quiero iniciar uno</v>
      </c>
      <c r="J265" s="13" t="str">
        <f>IF(I265="Trabajo actualmente como empleado",IF(MOD((COUNTIF($I$2:I265,"Trabajo actualmente como empleado")-1)*37,150)&lt;100,"Empleado con contrato","Empleado sin contrato formal"),IF(I265="Trabajo de manera independiente","Trabajo independiente",""))</f>
        <v/>
      </c>
      <c r="K265" s="9" t="str">
        <f>IF(OR(I265="Trabajo actualmente como empleado",I265="Trabajo de manera independiente"),CHOOSE(MOD(COUNTIF($I$2:I265,I265)-1,4)+1,"Menos de 3 meses","De 3 a 6 meses","De 7 a 12 meses","Más de un año"),"")</f>
        <v/>
      </c>
      <c r="L265" t="str">
        <f>IF(OR(I265="Trabajo actualmente como empleado",I265="Trabajo de manera independiente"),CHOOSE(MOD(COUNTIF($I$2:I265,I265)-1,3)+1,"Sí, completamente","Parcialmente","No"),"")</f>
        <v/>
      </c>
      <c r="M265" t="str">
        <f>IF(OR(I265="Trabajo actualmente como empleado",I265="Trabajo de manera independiente"),CHOOSE(MOD(INT((COUNTIF($I$2:I265,I265)-1)/3),4)+1,"1- Muy satisfecho/a","2- Satisfecho/a","3- Insatisfecho/a","4- Muy insatisfecho/a"),"")</f>
        <v/>
      </c>
      <c r="N265" t="str">
        <f>IF(OR(I265="Trabajo actualmente como empleado",I265="Trabajo de manera independiente"),_xlfn.LET(_xlpm.opcion,MOD(INT((COUNTIF($I$2:I265,I265)-1)/5),6)+1,CHOOSE(IF(AND(_xlpm.opcion=6,L265="Sí, completamente"),5,_xlpm.opcion),"Salario","Estabilidad laboral","Horario","Acceso a prestaciones","Oportunidades de crecimiento","Trabajar en un área relacionada con mi formación")),"")</f>
        <v/>
      </c>
      <c r="O265" s="9" t="str">
        <f>IF(OR(I265="Trabajo actualmente como empleado",I265="Trabajo de manera independiente"),_xlfn.LET(_xlpm.turno,MOD(COUNTIF($I$2:I265,I265)-1,5),_xlpm.nivel,VALUE(LEFT(M265,1)),IF(_xlpm.turno=4,"No estoy seguro/a",IF(_xlpm.turno&lt;IF(_xlpm.nivel&lt;=2,1,3),"Sí","No"))),"")</f>
        <v/>
      </c>
      <c r="P265" s="9" t="str">
        <f>_xlfn.LET(_xlpm.perfil,I265,_xlpm.turno,COUNTIF($I$2:I265,_xlpm.perfil)-1,_xlpm.busca,OR(_xlpm.perfil="Actualmente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trabajar"),IF(AND(_xlpm.trabaja,O265="No"),"Todavía no he iniciado una búsqueda activa",CHOOSE(MOD(_xlpm.turno*3,5)+1,"Menos de 1 mes","Entre 1 y 3 meses","Entre 4 y 6 meses","Más de 6 meses","Todavía no he iniciado una búsqueda activa")),"")))</f>
        <v/>
      </c>
      <c r="Q265" t="str">
        <f>IF(I265="Tengo un emprendimiento o quiero iniciar uno","",CHOOSE(MOD(INT((COUNTIF($I$2:I265,I265)-1)/7),3)+1,"Sí","No","Tengo una pero necesito actualizarla"))</f>
        <v/>
      </c>
      <c r="R265" s="9" t="str">
        <f>IF(I265="Tengo un emprendimiento o quiero iniciar uno","",IF(I265="Busco mi primer empleo","No",IF(MOD(COUNTIF($I$2:I265,I265)-1,2)=0,"Sí","No")))</f>
        <v/>
      </c>
      <c r="S265" t="str">
        <f>IF(I265="Tengo un emprendimiento o quiero iniciar uno","",CHOOSE(MOD(INT((COUNTIF($I$2:I265,I265)-1)/3),10)+1,"Portales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65" t="str">
        <f>IF(I265="Tengo un emprendimiento o quiero iniciar uno","",_xlfn.LET(_xlpm.opcion,MOD(INT((COUNTIF($I$2:I265,I265)-1)/4),6)+1,CHOOSE(IF(AND(_xlpm.opcion=3,Q265="Sí"),1,_xlpm.opcion),"Falta de experiencia","Falta de formación","Dificultades con la hoja de vida","Horarios disponibles","Transporte","Internet")))</f>
        <v/>
      </c>
      <c r="U265" s="9" t="str">
        <f>IF(I265="Tengo un emprendimiento o quiero iniciar uno","",IF(MOD(INT((COUNTIF($I$2:I265,I265)-1)/3),2)=0,"Sí","No"))</f>
        <v/>
      </c>
      <c r="V265" s="9" t="str">
        <f>IF(I265="Tengo un emprendimiento o quiero iniciar uno",CHOOSE(MOD(COUNTIF($I$2:I265,I265)-1,3)+1,"Tengo un emprendimiento","Estoy iniciando un emprendimiento","Me interesa emprender"),"")</f>
        <v>Tengo un emprendimiento</v>
      </c>
      <c r="W265" t="str">
        <f t="shared" si="77"/>
        <v>Funcionamiento estable</v>
      </c>
      <c r="X265" s="9" t="str">
        <f>IF(I265="Tengo un emprendimiento o quiero iniciar uno",CHOOSE(MOD(COUNTIF($I$2:I265,I265)-1,5)+1,"Falta de financiación","Falta de conocimientos administrativos","Falta de conocimientos financieros","Falta de tiempo","Falta de herramientas"),"")</f>
        <v>Falta de conocimientos administrativos</v>
      </c>
      <c r="Y265" s="9" t="str">
        <f t="shared" si="78"/>
        <v>Falta de conocimientos administrativos</v>
      </c>
      <c r="Z265" t="str">
        <f>IF(I265="Tengo un emprendimiento o quiero iniciar uno",CHOOSE(INT(MOD((COUNTIF($I$2:I265,I265)-1)*7,39)/13)+1,"Sí","No","No conozco programas de ese tipo"),"")</f>
        <v>No conozco programas de ese tipo</v>
      </c>
      <c r="AA265" t="str">
        <f t="shared" si="79"/>
        <v>Puedo hacerlo sin ayuda</v>
      </c>
      <c r="AB265" t="str">
        <f t="shared" si="79"/>
        <v>Puedo hacerlo sin ayuda</v>
      </c>
      <c r="AC265" t="str">
        <f t="shared" si="80"/>
        <v>Puedo hacerlo con ayuda</v>
      </c>
      <c r="AD265" s="9" t="str">
        <f t="shared" si="81"/>
        <v>No puedo hacerlo</v>
      </c>
      <c r="AE265" t="str">
        <f t="shared" si="82"/>
        <v>Puedo hacerlo con ayuda</v>
      </c>
      <c r="AF265" s="9" t="str">
        <f t="shared" si="83"/>
        <v>Educación financiera</v>
      </c>
      <c r="AG265" s="9" t="str">
        <f t="shared" si="84"/>
        <v>Costos de transporte;Distancia</v>
      </c>
      <c r="AH265" t="str">
        <f t="shared" si="85"/>
        <v>Ferias de empleo</v>
      </c>
      <c r="AI265" s="9" t="str">
        <f t="shared" si="86"/>
        <v>Me es indiferente</v>
      </c>
      <c r="AJ265" s="9" t="str">
        <f t="shared" si="87"/>
        <v>Mañana entre semana</v>
      </c>
      <c r="AK265" s="9" t="str">
        <f t="shared" si="88"/>
        <v>Redes sociales</v>
      </c>
    </row>
    <row r="266" spans="1:37">
      <c r="A266" t="str">
        <f t="shared" si="89"/>
        <v>SG265</v>
      </c>
      <c r="B266" s="9" t="s">
        <v>419</v>
      </c>
      <c r="C266" s="9" t="s">
        <v>427</v>
      </c>
      <c r="D266" t="str">
        <f t="shared" si="72"/>
        <v>Femenino</v>
      </c>
      <c r="E266" t="str">
        <f t="shared" si="73"/>
        <v>De 26 a 28 años</v>
      </c>
      <c r="F266">
        <f t="shared" si="74"/>
        <v>27</v>
      </c>
      <c r="G266" s="9" t="s">
        <v>430</v>
      </c>
      <c r="H266" s="9" t="str">
        <f t="shared" si="75"/>
        <v>Técnico</v>
      </c>
      <c r="I266" s="9" t="str">
        <f t="shared" si="76"/>
        <v>Trabajo de manera independiente</v>
      </c>
      <c r="J266" s="13" t="str">
        <f>IF(I266="Trabajo actualmente como empleado",IF(MOD((COUNTIF($I$2:I266,"Trabajo actualmente como empleado")-1)*37,150)&lt;100,"Empleado con contrato","Empleado sin contrato formal"),IF(I266="Trabajo de manera independiente","Trabajo independiente",""))</f>
        <v>Trabajo independiente</v>
      </c>
      <c r="K266" s="9" t="str">
        <f>IF(OR(I266="Trabajo actualmente como empleado",I266="Trabajo de manera independiente"),CHOOSE(MOD(COUNTIF($I$2:I266,I266)-1,4)+1,"Menos de 3 meses","De 3 a 6 meses","De 7 a 12 meses","Más de un año"),"")</f>
        <v>Menos de 3 meses</v>
      </c>
      <c r="L266" t="str">
        <f>IF(OR(I266="Trabajo actualmente como empleado",I266="Trabajo de manera independiente"),CHOOSE(MOD(COUNTIF($I$2:I266,I266)-1,3)+1,"Sí, completamente","Parcialmente","No"),"")</f>
        <v>No</v>
      </c>
      <c r="M266" t="str">
        <f>IF(OR(I266="Trabajo actualmente como empleado",I266="Trabajo de manera independiente"),CHOOSE(MOD(INT((COUNTIF($I$2:I266,I266)-1)/3),4)+1,"1- Muy satisfecho/a","2- Satisfecho/a","3- Insatisfecho/a","4- Muy insatisfecho/a"),"")</f>
        <v>3- Insatisfecho/a</v>
      </c>
      <c r="N266" t="str">
        <f>IF(OR(I266="Trabajo actualmente como empleado",I266="Trabajo de manera independiente"),_xlfn.LET(_xlpm.opcion,MOD(INT((COUNTIF($I$2:I266,I266)-1)/5),6)+1,CHOOSE(IF(AND(_xlpm.opcion=6,L266="Sí, completamente"),5,_xlpm.opcion),"Salario","Estabilidad laboral","Horario","Acceso a prestaciones","Oportunidades de crecimiento","Trabajar en un área relacionada con mi formación")),"")</f>
        <v>Horario</v>
      </c>
      <c r="O266" s="9" t="str">
        <f>IF(OR(I266="Trabajo actualmente como empleado",I266="Trabajo de manera independiente"),_xlfn.LET(_xlpm.turno,MOD(COUNTIF($I$2:I266,I266)-1,5),_xlpm.nivel,VALUE(LEFT(M266,1)),IF(_xlpm.turno=4,"No estoy seguro/a",IF(_xlpm.turno&lt;IF(_xlpm.nivel&lt;=2,1,3),"Sí","No"))),"")</f>
        <v>No estoy seguro/a</v>
      </c>
      <c r="P266" s="9" t="str">
        <f>_xlfn.LET(_xlpm.perfil,I266,_xlpm.turno,COUNTIF($I$2:I266,_xlpm.perfil)-1,_xlpm.busca,OR(_xlpm.perfil="Actualmente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trabajar"),IF(AND(_xlpm.trabaja,O266="No"),"Todavía no he iniciado una búsqueda activa",CHOOSE(MOD(_xlpm.turno*3,5)+1,"Menos de 1 mes","Entre 1 y 3 meses","Entre 4 y 6 meses","Más de 6 meses","Todavía no he iniciado una búsqueda activa")),"")))</f>
        <v>Entre 4 y 6 meses</v>
      </c>
      <c r="Q266" t="str">
        <f>IF(I266="Tengo un emprendimiento o quiero iniciar uno","",CHOOSE(MOD(INT((COUNTIF($I$2:I266,I266)-1)/7),3)+1,"Sí","No","Tengo una pero necesito actualizarla"))</f>
        <v>Sí</v>
      </c>
      <c r="R266" s="9" t="str">
        <f>IF(I266="Tengo un emprendimiento o quiero iniciar uno","",IF(I266="Busco mi primer empleo","No",IF(MOD(COUNTIF($I$2:I266,I266)-1,2)=0,"Sí","No")))</f>
        <v>Sí</v>
      </c>
      <c r="S266" t="str">
        <f>IF(I266="Tengo un emprendimiento o quiero iniciar uno","",CHOOSE(MOD(INT((COUNTIF($I$2:I266,I266)-1)/3),10)+1,"Portales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266" t="str">
        <f>IF(I266="Tengo un emprendimiento o quiero iniciar uno","",_xlfn.LET(_xlpm.opcion,MOD(INT((COUNTIF($I$2:I266,I266)-1)/4),6)+1,CHOOSE(IF(AND(_xlpm.opcion=3,Q266="Sí"),1,_xlpm.opcion),"Falta de experiencia","Falta de formación","Dificultades con la hoja de vida","Horarios disponibles","Transporte","Internet")))</f>
        <v>Internet</v>
      </c>
      <c r="U266" s="9" t="str">
        <f>IF(I266="Tengo un emprendimiento o quiero iniciar uno","",IF(MOD(INT((COUNTIF($I$2:I266,I266)-1)/3),2)=0,"Sí","No"))</f>
        <v>Sí</v>
      </c>
      <c r="V266" s="9" t="str">
        <f>IF(I266="Tengo un emprendimiento o quiero iniciar uno",CHOOSE(MOD(COUNTIF($I$2:I266,I266)-1,3)+1,"Tengo un emprendimiento","Estoy iniciando un emprendimiento","Me interesa emprender"),"")</f>
        <v/>
      </c>
      <c r="W266" t="str">
        <f t="shared" si="77"/>
        <v/>
      </c>
      <c r="X266" s="9" t="str">
        <f>IF(I266="Tengo un emprendimiento o quiero iniciar uno",CHOOSE(MOD(COUNTIF($I$2:I266,I266)-1,5)+1,"Falta de financiación","Falta de conocimientos administrativos","Falta de conocimientos financieros","Falta de tiempo","Falta de herramientas"),"")</f>
        <v/>
      </c>
      <c r="Y266" s="9" t="str">
        <f t="shared" si="78"/>
        <v/>
      </c>
      <c r="Z266" t="str">
        <f>IF(I266="Tengo un emprendimiento o quiero iniciar uno",CHOOSE(INT(MOD((COUNTIF($I$2:I266,I266)-1)*7,39)/13)+1,"Sí","No","No conozco programas de ese tipo"),"")</f>
        <v/>
      </c>
      <c r="AA266" t="str">
        <f t="shared" si="79"/>
        <v>Puedo hacerlo con ayuda</v>
      </c>
      <c r="AB266" t="str">
        <f t="shared" si="79"/>
        <v>Puedo hacerlo con ayuda</v>
      </c>
      <c r="AC266" t="str">
        <f t="shared" si="80"/>
        <v>Puedo hacerlo con dificultad</v>
      </c>
      <c r="AD266" s="9" t="str">
        <f t="shared" si="81"/>
        <v>Puedo hacerlo con ayuda</v>
      </c>
      <c r="AE266" t="str">
        <f t="shared" si="82"/>
        <v>Puedo hacerlo con dificultad</v>
      </c>
      <c r="AF266" s="9" t="str">
        <f t="shared" si="83"/>
        <v>Crear una hoja de vida;Preparación para entrevista</v>
      </c>
      <c r="AG266" s="9" t="str">
        <f t="shared" si="84"/>
        <v>Falta de información</v>
      </c>
      <c r="AH266" t="str">
        <f t="shared" si="85"/>
        <v>No conozco ninguno</v>
      </c>
      <c r="AI266" s="9" t="str">
        <f t="shared" si="86"/>
        <v>Presencial</v>
      </c>
      <c r="AJ266" s="9" t="str">
        <f t="shared" si="87"/>
        <v>Diurno</v>
      </c>
      <c r="AK266" s="9" t="str">
        <f t="shared" si="88"/>
        <v>Celular</v>
      </c>
    </row>
    <row r="267" spans="1:37">
      <c r="A267" t="str">
        <f t="shared" si="89"/>
        <v>SG266</v>
      </c>
      <c r="B267" s="9" t="s">
        <v>419</v>
      </c>
      <c r="C267" s="9" t="s">
        <v>427</v>
      </c>
      <c r="D267" t="str">
        <f t="shared" si="72"/>
        <v>Femenino</v>
      </c>
      <c r="E267" t="str">
        <f t="shared" si="73"/>
        <v>De 18 a 20 años</v>
      </c>
      <c r="F267">
        <f t="shared" si="74"/>
        <v>19</v>
      </c>
      <c r="G267" s="9" t="s">
        <v>430</v>
      </c>
      <c r="H267" s="9" t="str">
        <f t="shared" si="75"/>
        <v>Bachiller</v>
      </c>
      <c r="I267" s="9" t="str">
        <f t="shared" si="76"/>
        <v>Busco mi primer empleo</v>
      </c>
      <c r="J267" s="13" t="str">
        <f>IF(I267="Trabajo actualmente como empleado",IF(MOD((COUNTIF($I$2:I267,"Trabajo actualmente como empleado")-1)*37,150)&lt;100,"Empleado con contrato","Empleado sin contrato formal"),IF(I267="Trabajo de manera independiente","Trabajo independiente",""))</f>
        <v/>
      </c>
      <c r="K267" s="9" t="str">
        <f>IF(OR(I267="Trabajo actualmente como empleado",I267="Trabajo de manera independiente"),CHOOSE(MOD(COUNTIF($I$2:I267,I267)-1,4)+1,"Menos de 3 meses","De 3 a 6 meses","De 7 a 12 meses","Más de un año"),"")</f>
        <v/>
      </c>
      <c r="L267" t="str">
        <f>IF(OR(I267="Trabajo actualmente como empleado",I267="Trabajo de manera independiente"),CHOOSE(MOD(COUNTIF($I$2:I267,I267)-1,3)+1,"Sí, completamente","Parcialmente","No"),"")</f>
        <v/>
      </c>
      <c r="M267" t="str">
        <f>IF(OR(I267="Trabajo actualmente como empleado",I267="Trabajo de manera independiente"),CHOOSE(MOD(INT((COUNTIF($I$2:I267,I267)-1)/3),4)+1,"1- Muy satisfecho/a","2- Satisfecho/a","3- Insatisfecho/a","4- Muy insatisfecho/a"),"")</f>
        <v/>
      </c>
      <c r="N267" t="str">
        <f>IF(OR(I267="Trabajo actualmente como empleado",I267="Trabajo de manera independiente"),_xlfn.LET(_xlpm.opcion,MOD(INT((COUNTIF($I$2:I267,I267)-1)/5),6)+1,CHOOSE(IF(AND(_xlpm.opcion=6,L267="Sí, completamente"),5,_xlpm.opcion),"Salario","Estabilidad laboral","Horario","Acceso a prestaciones","Oportunidades de crecimiento","Trabajar en un área relacionada con mi formación")),"")</f>
        <v/>
      </c>
      <c r="O267" s="9" t="str">
        <f>IF(OR(I267="Trabajo actualmente como empleado",I267="Trabajo de manera independiente"),_xlfn.LET(_xlpm.turno,MOD(COUNTIF($I$2:I267,I267)-1,5),_xlpm.nivel,VALUE(LEFT(M267,1)),IF(_xlpm.turno=4,"No estoy seguro/a",IF(_xlpm.turno&lt;IF(_xlpm.nivel&lt;=2,1,3),"Sí","No"))),"")</f>
        <v/>
      </c>
      <c r="P267" s="9" t="str">
        <f>_xlfn.LET(_xlpm.perfil,I267,_xlpm.turno,COUNTIF($I$2:I267,_xlpm.perfil)-1,_xlpm.busca,OR(_xlpm.perfil="Actualmente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trabajar"),IF(AND(_xlpm.trabaja,O267="No"),"Todavía no he iniciado una búsqueda activa",CHOOSE(MOD(_xlpm.turno*3,5)+1,"Menos de 1 mes","Entre 1 y 3 meses","Entre 4 y 6 meses","Más de 6 meses","Todavía no he iniciado una búsqueda activa")),"")))</f>
        <v>Menos de 1 mes</v>
      </c>
      <c r="Q267" t="str">
        <f>IF(I267="Tengo un emprendimiento o quiero iniciar uno","",CHOOSE(MOD(INT((COUNTIF($I$2:I267,I267)-1)/7),3)+1,"Sí","No","Tengo una pero necesito actualizarla"))</f>
        <v>Tengo una pero necesito actualizarla</v>
      </c>
      <c r="R267" s="9" t="str">
        <f>IF(I267="Tengo un emprendimiento o quiero iniciar uno","",IF(I267="Busco mi primer empleo","No",IF(MOD(COUNTIF($I$2:I267,I267)-1,2)=0,"Sí","No")))</f>
        <v>No</v>
      </c>
      <c r="S267" t="str">
        <f>IF(I267="Tengo un emprendimiento o quiero iniciar uno","",CHOOSE(MOD(INT((COUNTIF($I$2:I267,I267)-1)/3),10)+1,"Portales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67" t="str">
        <f>IF(I267="Tengo un emprendimiento o quiero iniciar uno","",_xlfn.LET(_xlpm.opcion,MOD(INT((COUNTIF($I$2:I267,I267)-1)/4),6)+1,CHOOSE(IF(AND(_xlpm.opcion=3,Q267="Sí"),1,_xlpm.opcion),"Falta de experiencia","Falta de formación","Dificultades con la hoja de vida","Horarios disponibles","Transporte","Internet")))</f>
        <v>Horarios disponibles</v>
      </c>
      <c r="U267" s="9" t="str">
        <f>IF(I267="Tengo un emprendimiento o quiero iniciar uno","",IF(MOD(INT((COUNTIF($I$2:I267,I267)-1)/3),2)=0,"Sí","No"))</f>
        <v>Sí</v>
      </c>
      <c r="V267" s="9" t="str">
        <f>IF(I267="Tengo un emprendimiento o quiero iniciar uno",CHOOSE(MOD(COUNTIF($I$2:I267,I267)-1,3)+1,"Tengo un emprendimiento","Estoy iniciando un emprendimiento","Me interesa emprender"),"")</f>
        <v/>
      </c>
      <c r="W267" t="str">
        <f t="shared" si="77"/>
        <v/>
      </c>
      <c r="X267" s="9" t="str">
        <f>IF(I267="Tengo un emprendimiento o quiero iniciar uno",CHOOSE(MOD(COUNTIF($I$2:I267,I267)-1,5)+1,"Falta de financiación","Falta de conocimientos administrativos","Falta de conocimientos financieros","Falta de tiempo","Falta de herramientas"),"")</f>
        <v/>
      </c>
      <c r="Y267" s="9" t="str">
        <f t="shared" si="78"/>
        <v/>
      </c>
      <c r="Z267" t="str">
        <f>IF(I267="Tengo un emprendimiento o quiero iniciar uno",CHOOSE(INT(MOD((COUNTIF($I$2:I267,I267)-1)*7,39)/13)+1,"Sí","No","No conozco programas de ese tipo"),"")</f>
        <v/>
      </c>
      <c r="AA267" t="str">
        <f t="shared" si="79"/>
        <v>Puedo hacerlo con dificultad</v>
      </c>
      <c r="AB267" t="str">
        <f t="shared" si="79"/>
        <v>Puedo hacerlo con dificultad</v>
      </c>
      <c r="AC267" t="str">
        <f t="shared" si="80"/>
        <v>No puedo hacerlo</v>
      </c>
      <c r="AD267" s="9" t="str">
        <f t="shared" si="81"/>
        <v>Puedo hacerlo con dificultad</v>
      </c>
      <c r="AE267" t="str">
        <f t="shared" si="82"/>
        <v>Puedo hacerlo sin ayuda</v>
      </c>
      <c r="AF267" s="9" t="str">
        <f t="shared" si="83"/>
        <v>Comunicación;Liderazgo</v>
      </c>
      <c r="AG267" s="9" t="str">
        <f t="shared" si="84"/>
        <v>Falta de información</v>
      </c>
      <c r="AH267" t="str">
        <f t="shared" si="85"/>
        <v>Oficina de orientación laboral</v>
      </c>
      <c r="AI267" s="9" t="str">
        <f t="shared" si="86"/>
        <v>Virtual</v>
      </c>
      <c r="AJ267" s="9" t="str">
        <f t="shared" si="87"/>
        <v>Nocturno</v>
      </c>
      <c r="AK267" s="9" t="str">
        <f t="shared" si="88"/>
        <v>Correo electrónico</v>
      </c>
    </row>
    <row r="268" spans="1:37">
      <c r="A268" t="str">
        <f t="shared" si="89"/>
        <v>SG267</v>
      </c>
      <c r="B268" s="9" t="s">
        <v>419</v>
      </c>
      <c r="C268" s="9" t="s">
        <v>427</v>
      </c>
      <c r="D268" t="str">
        <f t="shared" si="72"/>
        <v>Masculino</v>
      </c>
      <c r="E268" t="str">
        <f t="shared" si="73"/>
        <v>De 20 a 22 años</v>
      </c>
      <c r="F268">
        <f t="shared" si="74"/>
        <v>21</v>
      </c>
      <c r="G268" s="9" t="s">
        <v>430</v>
      </c>
      <c r="H268" s="9" t="str">
        <f t="shared" si="75"/>
        <v>Técnico</v>
      </c>
      <c r="I268" s="9" t="str">
        <f t="shared" si="76"/>
        <v>Trabajo actualmente como empleado</v>
      </c>
      <c r="J268" s="13" t="str">
        <f>IF(I268="Trabajo actualmente como empleado",IF(MOD((COUNTIF($I$2:I268,"Trabajo actualmente como empleado")-1)*37,150)&lt;100,"Empleado con contrato","Empleado sin contrato formal"),IF(I268="Trabajo de manera independiente","Trabajo independiente",""))</f>
        <v>Empleado sin contrato formal</v>
      </c>
      <c r="K268" s="9" t="str">
        <f>IF(OR(I268="Trabajo actualmente como empleado",I268="Trabajo de manera independiente"),CHOOSE(MOD(COUNTIF($I$2:I268,I268)-1,4)+1,"Menos de 3 meses","De 3 a 6 meses","De 7 a 12 meses","Más de un año"),"")</f>
        <v>Menos de 3 meses</v>
      </c>
      <c r="L268" t="str">
        <f>IF(OR(I268="Trabajo actualmente como empleado",I268="Trabajo de manera independiente"),CHOOSE(MOD(COUNTIF($I$2:I268,I268)-1,3)+1,"Sí, completamente","Parcialmente","No"),"")</f>
        <v>Sí, completamente</v>
      </c>
      <c r="M268" t="str">
        <f>IF(OR(I268="Trabajo actualmente como empleado",I268="Trabajo de manera independiente"),CHOOSE(MOD(INT((COUNTIF($I$2:I268,I268)-1)/3),4)+1,"1- Muy satisfecho/a","2- Satisfecho/a","3- Insatisfecho/a","4- Muy insatisfecho/a"),"")</f>
        <v>1- Muy satisfecho/a</v>
      </c>
      <c r="N268" t="str">
        <f>IF(OR(I268="Trabajo actualmente como empleado",I268="Trabajo de manera independiente"),_xlfn.LET(_xlpm.opcion,MOD(INT((COUNTIF($I$2:I268,I268)-1)/5),6)+1,CHOOSE(IF(AND(_xlpm.opcion=6,L268="Sí, completamente"),5,_xlpm.opcion),"Salario","Estabilidad laboral","Horario","Acceso a prestaciones","Oportunidades de crecimiento","Trabajar en un área relacionada con mi formación")),"")</f>
        <v>Oportunidades de crecimiento</v>
      </c>
      <c r="O268" s="9" t="str">
        <f>IF(OR(I268="Trabajo actualmente como empleado",I268="Trabajo de manera independiente"),_xlfn.LET(_xlpm.turno,MOD(COUNTIF($I$2:I268,I268)-1,5),_xlpm.nivel,VALUE(LEFT(M268,1)),IF(_xlpm.turno=4,"No estoy seguro/a",IF(_xlpm.turno&lt;IF(_xlpm.nivel&lt;=2,1,3),"Sí","No"))),"")</f>
        <v>No estoy seguro/a</v>
      </c>
      <c r="P268" s="9" t="str">
        <f>_xlfn.LET(_xlpm.perfil,I268,_xlpm.turno,COUNTIF($I$2:I268,_xlpm.perfil)-1,_xlpm.busca,OR(_xlpm.perfil="Actualmente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trabajar"),IF(AND(_xlpm.trabaja,O268="No"),"Todavía no he iniciado una búsqueda activa",CHOOSE(MOD(_xlpm.turno*3,5)+1,"Menos de 1 mes","Entre 1 y 3 meses","Entre 4 y 6 meses","Más de 6 meses","Todavía no he iniciado una búsqueda activa")),"")))</f>
        <v>Entre 4 y 6 meses</v>
      </c>
      <c r="Q268" t="str">
        <f>IF(I268="Tengo un emprendimiento o quiero iniciar uno","",CHOOSE(MOD(INT((COUNTIF($I$2:I268,I268)-1)/7),3)+1,"Sí","No","Tengo una pero necesito actualizarla"))</f>
        <v>Sí</v>
      </c>
      <c r="R268" s="9" t="str">
        <f>IF(I268="Tengo un emprendimiento o quiero iniciar uno","",IF(I268="Busco mi primer empleo","No",IF(MOD(COUNTIF($I$2:I268,I268)-1,2)=0,"Sí","No")))</f>
        <v>Sí</v>
      </c>
      <c r="S268" t="str">
        <f>IF(I268="Tengo un emprendimiento o quiero iniciar uno","",CHOOSE(MOD(INT((COUNTIF($I$2:I268,I268)-1)/3),10)+1,"Portales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268" t="str">
        <f>IF(I268="Tengo un emprendimiento o quiero iniciar uno","",_xlfn.LET(_xlpm.opcion,MOD(INT((COUNTIF($I$2:I268,I268)-1)/4),6)+1,CHOOSE(IF(AND(_xlpm.opcion=3,Q268="Sí"),1,_xlpm.opcion),"Falta de experiencia","Falta de formación","Dificultades con la hoja de vida","Horarios disponibles","Transporte","Internet")))</f>
        <v>Horarios disponibles</v>
      </c>
      <c r="U268" s="9" t="str">
        <f>IF(I268="Tengo un emprendimiento o quiero iniciar uno","",IF(MOD(INT((COUNTIF($I$2:I268,I268)-1)/3),2)=0,"Sí","No"))</f>
        <v>Sí</v>
      </c>
      <c r="V268" s="9" t="str">
        <f>IF(I268="Tengo un emprendimiento o quiero iniciar uno",CHOOSE(MOD(COUNTIF($I$2:I268,I268)-1,3)+1,"Tengo un emprendimiento","Estoy iniciando un emprendimiento","Me interesa emprender"),"")</f>
        <v/>
      </c>
      <c r="W268" t="str">
        <f t="shared" si="77"/>
        <v/>
      </c>
      <c r="X268" s="9" t="str">
        <f>IF(I268="Tengo un emprendimiento o quiero iniciar uno",CHOOSE(MOD(COUNTIF($I$2:I268,I268)-1,5)+1,"Falta de financiación","Falta de conocimientos administrativos","Falta de conocimientos financieros","Falta de tiempo","Falta de herramientas"),"")</f>
        <v/>
      </c>
      <c r="Y268" s="9" t="str">
        <f t="shared" si="78"/>
        <v/>
      </c>
      <c r="Z268" t="str">
        <f>IF(I268="Tengo un emprendimiento o quiero iniciar uno",CHOOSE(INT(MOD((COUNTIF($I$2:I268,I268)-1)*7,39)/13)+1,"Sí","No","No conozco programas de ese tipo"),"")</f>
        <v/>
      </c>
      <c r="AA268" t="str">
        <f t="shared" si="79"/>
        <v>No puedo hacerlo</v>
      </c>
      <c r="AB268" t="str">
        <f t="shared" si="79"/>
        <v>No puedo hacerlo</v>
      </c>
      <c r="AC268" t="str">
        <f t="shared" si="80"/>
        <v>Puedo hacerlo con ayuda</v>
      </c>
      <c r="AD268" s="9" t="str">
        <f t="shared" si="81"/>
        <v>Puedo hacerlo con dificultad</v>
      </c>
      <c r="AE268" t="str">
        <f t="shared" si="82"/>
        <v>Puedo hacerlo sin ayuda</v>
      </c>
      <c r="AF268" s="9" t="str">
        <f t="shared" si="83"/>
        <v>Herramientas digitales;Educación financiera</v>
      </c>
      <c r="AG268" s="9" t="str">
        <f t="shared" si="84"/>
        <v>Falta de información</v>
      </c>
      <c r="AH268" t="str">
        <f t="shared" si="85"/>
        <v>Programas de emprendimiento</v>
      </c>
      <c r="AI268" s="9" t="str">
        <f t="shared" si="86"/>
        <v>Presencial y virtual</v>
      </c>
      <c r="AJ268" s="9" t="str">
        <f t="shared" si="87"/>
        <v>Mañana entre semana</v>
      </c>
      <c r="AK268" s="9" t="str">
        <f t="shared" si="88"/>
        <v>Redes sociales</v>
      </c>
    </row>
    <row r="269" spans="1:37">
      <c r="A269" t="str">
        <f t="shared" si="89"/>
        <v>SG268</v>
      </c>
      <c r="B269" s="9" t="s">
        <v>419</v>
      </c>
      <c r="C269" s="9" t="s">
        <v>427</v>
      </c>
      <c r="D269" t="str">
        <f t="shared" si="72"/>
        <v>Masculino</v>
      </c>
      <c r="E269" t="str">
        <f t="shared" si="73"/>
        <v>De 22 a 24 años</v>
      </c>
      <c r="F269">
        <f t="shared" si="74"/>
        <v>23</v>
      </c>
      <c r="G269" s="9" t="s">
        <v>430</v>
      </c>
      <c r="H269" s="9" t="str">
        <f t="shared" si="75"/>
        <v>Técnico</v>
      </c>
      <c r="I269" s="9" t="str">
        <f t="shared" si="76"/>
        <v>Trabajo de manera independiente</v>
      </c>
      <c r="J269" s="13" t="str">
        <f>IF(I269="Trabajo actualmente como empleado",IF(MOD((COUNTIF($I$2:I269,"Trabajo actualmente como empleado")-1)*37,150)&lt;100,"Empleado con contrato","Empleado sin contrato formal"),IF(I269="Trabajo de manera independiente","Trabajo independiente",""))</f>
        <v>Trabajo independiente</v>
      </c>
      <c r="K269" s="9" t="str">
        <f>IF(OR(I269="Trabajo actualmente como empleado",I269="Trabajo de manera independiente"),CHOOSE(MOD(COUNTIF($I$2:I269,I269)-1,4)+1,"Menos de 3 meses","De 3 a 6 meses","De 7 a 12 meses","Más de un año"),"")</f>
        <v>De 3 a 6 meses</v>
      </c>
      <c r="L269" t="str">
        <f>IF(OR(I269="Trabajo actualmente como empleado",I269="Trabajo de manera independiente"),CHOOSE(MOD(COUNTIF($I$2:I269,I269)-1,3)+1,"Sí, completamente","Parcialmente","No"),"")</f>
        <v>Sí, completamente</v>
      </c>
      <c r="M269" t="str">
        <f>IF(OR(I269="Trabajo actualmente como empleado",I269="Trabajo de manera independiente"),CHOOSE(MOD(INT((COUNTIF($I$2:I269,I269)-1)/3),4)+1,"1- Muy satisfecho/a","2- Satisfecho/a","3- Insatisfecho/a","4- Muy insatisfecho/a"),"")</f>
        <v>4- Muy insatisfecho/a</v>
      </c>
      <c r="N269" t="str">
        <f>IF(OR(I269="Trabajo actualmente como empleado",I269="Trabajo de manera independiente"),_xlfn.LET(_xlpm.opcion,MOD(INT((COUNTIF($I$2:I269,I269)-1)/5),6)+1,CHOOSE(IF(AND(_xlpm.opcion=6,L269="Sí, completamente"),5,_xlpm.opcion),"Salario","Estabilidad laboral","Horario","Acceso a prestaciones","Oportunidades de crecimiento","Trabajar en un área relacionada con mi formación")),"")</f>
        <v>Acceso a prestaciones</v>
      </c>
      <c r="O269" s="9" t="str">
        <f>IF(OR(I269="Trabajo actualmente como empleado",I269="Trabajo de manera independiente"),_xlfn.LET(_xlpm.turno,MOD(COUNTIF($I$2:I269,I269)-1,5),_xlpm.nivel,VALUE(LEFT(M269,1)),IF(_xlpm.turno=4,"No estoy seguro/a",IF(_xlpm.turno&lt;IF(_xlpm.nivel&lt;=2,1,3),"Sí","No"))),"")</f>
        <v>Sí</v>
      </c>
      <c r="P269" s="9" t="str">
        <f>_xlfn.LET(_xlpm.perfil,I269,_xlpm.turno,COUNTIF($I$2:I269,_xlpm.perfil)-1,_xlpm.busca,OR(_xlpm.perfil="Actualmente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trabajar"),IF(AND(_xlpm.trabaja,O269="No"),"Todavía no he iniciado una búsqueda activa",CHOOSE(MOD(_xlpm.turno*3,5)+1,"Menos de 1 mes","Entre 1 y 3 meses","Entre 4 y 6 meses","Más de 6 meses","Todavía no he iniciado una búsqueda activa")),"")))</f>
        <v>Menos de 1 mes</v>
      </c>
      <c r="Q269" t="str">
        <f>IF(I269="Tengo un emprendimiento o quiero iniciar uno","",CHOOSE(MOD(INT((COUNTIF($I$2:I269,I269)-1)/7),3)+1,"Sí","No","Tengo una pero necesito actualizarla"))</f>
        <v>Sí</v>
      </c>
      <c r="R269" s="9" t="str">
        <f>IF(I269="Tengo un emprendimiento o quiero iniciar uno","",IF(I269="Busco mi primer empleo","No",IF(MOD(COUNTIF($I$2:I269,I269)-1,2)=0,"Sí","No")))</f>
        <v>No</v>
      </c>
      <c r="S269" t="str">
        <f>IF(I269="Tengo un emprendimiento o quiero iniciar uno","",CHOOSE(MOD(INT((COUNTIF($I$2:I269,I269)-1)/3),10)+1,"Portales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69" t="str">
        <f>IF(I269="Tengo un emprendimiento o quiero iniciar uno","",_xlfn.LET(_xlpm.opcion,MOD(INT((COUNTIF($I$2:I269,I269)-1)/4),6)+1,CHOOSE(IF(AND(_xlpm.opcion=3,Q269="Sí"),1,_xlpm.opcion),"Falta de experiencia","Falta de formación","Dificultades con la hoja de vida","Horarios disponibles","Transporte","Internet")))</f>
        <v>Internet</v>
      </c>
      <c r="U269" s="9" t="str">
        <f>IF(I269="Tengo un emprendimiento o quiero iniciar uno","",IF(MOD(INT((COUNTIF($I$2:I269,I269)-1)/3),2)=0,"Sí","No"))</f>
        <v>No</v>
      </c>
      <c r="V269" s="9" t="str">
        <f>IF(I269="Tengo un emprendimiento o quiero iniciar uno",CHOOSE(MOD(COUNTIF($I$2:I269,I269)-1,3)+1,"Tengo un emprendimiento","Estoy iniciando un emprendimiento","Me interesa emprender"),"")</f>
        <v/>
      </c>
      <c r="W269" t="str">
        <f t="shared" si="77"/>
        <v/>
      </c>
      <c r="X269" s="9" t="str">
        <f>IF(I269="Tengo un emprendimiento o quiero iniciar uno",CHOOSE(MOD(COUNTIF($I$2:I269,I269)-1,5)+1,"Falta de financiación","Falta de conocimientos administrativos","Falta de conocimientos financieros","Falta de tiempo","Falta de herramientas"),"")</f>
        <v/>
      </c>
      <c r="Y269" s="9" t="str">
        <f t="shared" si="78"/>
        <v/>
      </c>
      <c r="Z269" t="str">
        <f>IF(I269="Tengo un emprendimiento o quiero iniciar uno",CHOOSE(INT(MOD((COUNTIF($I$2:I269,I269)-1)*7,39)/13)+1,"Sí","No","No conozco programas de ese tipo"),"")</f>
        <v/>
      </c>
      <c r="AA269" t="str">
        <f t="shared" si="79"/>
        <v>Puedo hacerlo con ayuda</v>
      </c>
      <c r="AB269" t="str">
        <f t="shared" si="79"/>
        <v>Puedo hacerlo con ayuda</v>
      </c>
      <c r="AC269" t="str">
        <f t="shared" si="80"/>
        <v>Puedo hacerlo con dificultad</v>
      </c>
      <c r="AD269" s="9" t="str">
        <f t="shared" si="81"/>
        <v>Puedo hacerlo sin ayuda</v>
      </c>
      <c r="AE269" t="str">
        <f t="shared" si="82"/>
        <v>No puedo hacerlo</v>
      </c>
      <c r="AF269" s="9" t="str">
        <f t="shared" si="83"/>
        <v>Crear una hoja de vida</v>
      </c>
      <c r="AG269" s="9" t="str">
        <f t="shared" si="84"/>
        <v>Horarios</v>
      </c>
      <c r="AH269" t="str">
        <f t="shared" si="85"/>
        <v>Oficina de orientación laboral</v>
      </c>
      <c r="AI269" s="9" t="str">
        <f t="shared" si="86"/>
        <v>Me es indiferente</v>
      </c>
      <c r="AJ269" s="9" t="str">
        <f t="shared" si="87"/>
        <v>Diurno</v>
      </c>
      <c r="AK269" s="9" t="str">
        <f t="shared" si="88"/>
        <v>WhatsApp</v>
      </c>
    </row>
    <row r="270" spans="1:37">
      <c r="A270" t="str">
        <f t="shared" si="89"/>
        <v>SG269</v>
      </c>
      <c r="B270" s="9" t="s">
        <v>419</v>
      </c>
      <c r="C270" s="9" t="s">
        <v>427</v>
      </c>
      <c r="D270" t="str">
        <f t="shared" si="72"/>
        <v>Femenino</v>
      </c>
      <c r="E270" t="str">
        <f t="shared" si="73"/>
        <v>De 24 a 26 años</v>
      </c>
      <c r="F270">
        <f t="shared" si="74"/>
        <v>25</v>
      </c>
      <c r="G270" s="9" t="s">
        <v>430</v>
      </c>
      <c r="H270" s="9" t="str">
        <f t="shared" si="75"/>
        <v>Tecnólogo</v>
      </c>
      <c r="I270" s="9" t="str">
        <f t="shared" si="76"/>
        <v>Estudio y quiero comenzar a trabajar</v>
      </c>
      <c r="J270" s="13" t="str">
        <f>IF(I270="Trabajo actualmente como empleado",IF(MOD((COUNTIF($I$2:I270,"Trabajo actualmente como empleado")-1)*37,150)&lt;100,"Empleado con contrato","Empleado sin contrato formal"),IF(I270="Trabajo de manera independiente","Trabajo independiente",""))</f>
        <v/>
      </c>
      <c r="K270" s="9" t="str">
        <f>IF(OR(I270="Trabajo actualmente como empleado",I270="Trabajo de manera independiente"),CHOOSE(MOD(COUNTIF($I$2:I270,I270)-1,4)+1,"Menos de 3 meses","De 3 a 6 meses","De 7 a 12 meses","Más de un año"),"")</f>
        <v/>
      </c>
      <c r="L270" t="str">
        <f>IF(OR(I270="Trabajo actualmente como empleado",I270="Trabajo de manera independiente"),CHOOSE(MOD(COUNTIF($I$2:I270,I270)-1,3)+1,"Sí, completamente","Parcialmente","No"),"")</f>
        <v/>
      </c>
      <c r="M270" t="str">
        <f>IF(OR(I270="Trabajo actualmente como empleado",I270="Trabajo de manera independiente"),CHOOSE(MOD(INT((COUNTIF($I$2:I270,I270)-1)/3),4)+1,"1- Muy satisfecho/a","2- Satisfecho/a","3- Insatisfecho/a","4- Muy insatisfecho/a"),"")</f>
        <v/>
      </c>
      <c r="N270" t="str">
        <f>IF(OR(I270="Trabajo actualmente como empleado",I270="Trabajo de manera independiente"),_xlfn.LET(_xlpm.opcion,MOD(INT((COUNTIF($I$2:I270,I270)-1)/5),6)+1,CHOOSE(IF(AND(_xlpm.opcion=6,L270="Sí, completamente"),5,_xlpm.opcion),"Salario","Estabilidad laboral","Horario","Acceso a prestaciones","Oportunidades de crecimiento","Trabajar en un área relacionada con mi formación")),"")</f>
        <v/>
      </c>
      <c r="O270" s="9" t="str">
        <f>IF(OR(I270="Trabajo actualmente como empleado",I270="Trabajo de manera independiente"),_xlfn.LET(_xlpm.turno,MOD(COUNTIF($I$2:I270,I270)-1,5),_xlpm.nivel,VALUE(LEFT(M270,1)),IF(_xlpm.turno=4,"No estoy seguro/a",IF(_xlpm.turno&lt;IF(_xlpm.nivel&lt;=2,1,3),"Sí","No"))),"")</f>
        <v/>
      </c>
      <c r="P270" s="9" t="str">
        <f>_xlfn.LET(_xlpm.perfil,I270,_xlpm.turno,COUNTIF($I$2:I270,_xlpm.perfil)-1,_xlpm.busca,OR(_xlpm.perfil="Actualmente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trabajar"),IF(AND(_xlpm.trabaja,O270="No"),"Todavía no he iniciado una búsqueda activa",CHOOSE(MOD(_xlpm.turno*3,5)+1,"Menos de 1 mes","Entre 1 y 3 meses","Entre 4 y 6 meses","Más de 6 meses","Todavía no he iniciado una búsqueda activa")),"")))</f>
        <v>Menos de 1 mes</v>
      </c>
      <c r="Q270" t="str">
        <f>IF(I270="Tengo un emprendimiento o quiero iniciar uno","",CHOOSE(MOD(INT((COUNTIF($I$2:I270,I270)-1)/7),3)+1,"Sí","No","Tengo una pero necesito actualizarla"))</f>
        <v>No</v>
      </c>
      <c r="R270" s="9" t="str">
        <f>IF(I270="Tengo un emprendimiento o quiero iniciar uno","",IF(I270="Busco mi primer empleo","No",IF(MOD(COUNTIF($I$2:I270,I270)-1,2)=0,"Sí","No")))</f>
        <v>Sí</v>
      </c>
      <c r="S270" t="str">
        <f>IF(I270="Tengo un emprendimiento o quiero iniciar uno","",CHOOSE(MOD(INT((COUNTIF($I$2:I270,I270)-1)/3),10)+1,"Portales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70" t="str">
        <f>IF(I270="Tengo un emprendimiento o quiero iniciar uno","",_xlfn.LET(_xlpm.opcion,MOD(INT((COUNTIF($I$2:I270,I270)-1)/4),6)+1,CHOOSE(IF(AND(_xlpm.opcion=3,Q270="Sí"),1,_xlpm.opcion),"Falta de experiencia","Falta de formación","Dificultades con la hoja de vida","Horarios disponibles","Transporte","Internet")))</f>
        <v>Falta de formación</v>
      </c>
      <c r="U270" s="9" t="str">
        <f>IF(I270="Tengo un emprendimiento o quiero iniciar uno","",IF(MOD(INT((COUNTIF($I$2:I270,I270)-1)/3),2)=0,"Sí","No"))</f>
        <v>Sí</v>
      </c>
      <c r="V270" s="9" t="str">
        <f>IF(I270="Tengo un emprendimiento o quiero iniciar uno",CHOOSE(MOD(COUNTIF($I$2:I270,I270)-1,3)+1,"Tengo un emprendimiento","Estoy iniciando un emprendimiento","Me interesa emprender"),"")</f>
        <v/>
      </c>
      <c r="W270" t="str">
        <f t="shared" si="77"/>
        <v/>
      </c>
      <c r="X270" s="9" t="str">
        <f>IF(I270="Tengo un emprendimiento o quiero iniciar uno",CHOOSE(MOD(COUNTIF($I$2:I270,I270)-1,5)+1,"Falta de financiación","Falta de conocimientos administrativos","Falta de conocimientos financieros","Falta de tiempo","Falta de herramientas"),"")</f>
        <v/>
      </c>
      <c r="Y270" s="9" t="str">
        <f t="shared" si="78"/>
        <v/>
      </c>
      <c r="Z270" t="str">
        <f>IF(I270="Tengo un emprendimiento o quiero iniciar uno",CHOOSE(INT(MOD((COUNTIF($I$2:I270,I270)-1)*7,39)/13)+1,"Sí","No","No conozco programas de ese tipo"),"")</f>
        <v/>
      </c>
      <c r="AA270" t="str">
        <f t="shared" si="79"/>
        <v>Puedo hacerlo sin ayuda</v>
      </c>
      <c r="AB270" t="str">
        <f t="shared" si="79"/>
        <v>Puedo hacerlo sin ayuda</v>
      </c>
      <c r="AC270" t="str">
        <f t="shared" si="80"/>
        <v>No puedo hacerlo</v>
      </c>
      <c r="AD270" s="9" t="str">
        <f t="shared" si="81"/>
        <v>No puedo hacerlo</v>
      </c>
      <c r="AE270" t="str">
        <f t="shared" si="82"/>
        <v>No puedo hacerlo</v>
      </c>
      <c r="AF270" s="9" t="str">
        <f t="shared" si="83"/>
        <v>Preparación para entrevista</v>
      </c>
      <c r="AG270" s="9" t="str">
        <f t="shared" si="84"/>
        <v>Horarios</v>
      </c>
      <c r="AH270" t="str">
        <f t="shared" si="85"/>
        <v>Ferias de empleo</v>
      </c>
      <c r="AI270" s="9" t="str">
        <f t="shared" si="86"/>
        <v>Presencial</v>
      </c>
      <c r="AJ270" s="9" t="str">
        <f t="shared" si="87"/>
        <v>Nocturno</v>
      </c>
      <c r="AK270" s="9" t="str">
        <f t="shared" si="88"/>
        <v>Correo electrónico</v>
      </c>
    </row>
    <row r="271" spans="1:37">
      <c r="A271" t="str">
        <f t="shared" si="89"/>
        <v>SG270</v>
      </c>
      <c r="B271" s="9" t="s">
        <v>419</v>
      </c>
      <c r="C271" s="9" t="s">
        <v>427</v>
      </c>
      <c r="D271" t="str">
        <f t="shared" si="72"/>
        <v>Femenino</v>
      </c>
      <c r="E271" t="str">
        <f t="shared" si="73"/>
        <v>De 26 a 28 años</v>
      </c>
      <c r="F271">
        <f t="shared" si="74"/>
        <v>28</v>
      </c>
      <c r="G271" s="9" t="s">
        <v>430</v>
      </c>
      <c r="H271" s="9" t="str">
        <f t="shared" si="75"/>
        <v>Profesional</v>
      </c>
      <c r="I271" s="9" t="str">
        <f t="shared" si="76"/>
        <v>Trabajo actualmente como empleado</v>
      </c>
      <c r="J271" s="13" t="str">
        <f>IF(I271="Trabajo actualmente como empleado",IF(MOD((COUNTIF($I$2:I271,"Trabajo actualmente como empleado")-1)*37,150)&lt;100,"Empleado con contrato","Empleado sin contrato formal"),IF(I271="Trabajo de manera independiente","Trabajo independiente",""))</f>
        <v>Empleado sin contrato formal</v>
      </c>
      <c r="K271" s="9" t="str">
        <f>IF(OR(I271="Trabajo actualmente como empleado",I271="Trabajo de manera independiente"),CHOOSE(MOD(COUNTIF($I$2:I271,I271)-1,4)+1,"Menos de 3 meses","De 3 a 6 meses","De 7 a 12 meses","Más de un año"),"")</f>
        <v>De 3 a 6 meses</v>
      </c>
      <c r="L271" t="str">
        <f>IF(OR(I271="Trabajo actualmente como empleado",I271="Trabajo de manera independiente"),CHOOSE(MOD(COUNTIF($I$2:I271,I271)-1,3)+1,"Sí, completamente","Parcialmente","No"),"")</f>
        <v>Parcialmente</v>
      </c>
      <c r="M271" t="str">
        <f>IF(OR(I271="Trabajo actualmente como empleado",I271="Trabajo de manera independiente"),CHOOSE(MOD(INT((COUNTIF($I$2:I271,I271)-1)/3),4)+1,"1- Muy satisfecho/a","2- Satisfecho/a","3- Insatisfecho/a","4- Muy insatisfecho/a"),"")</f>
        <v>1- Muy satisfecho/a</v>
      </c>
      <c r="N271" t="str">
        <f>IF(OR(I271="Trabajo actualmente como empleado",I271="Trabajo de manera independiente"),_xlfn.LET(_xlpm.opcion,MOD(INT((COUNTIF($I$2:I271,I271)-1)/5),6)+1,CHOOSE(IF(AND(_xlpm.opcion=6,L271="Sí,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271" s="9" t="str">
        <f>IF(OR(I271="Trabajo actualmente como empleado",I271="Trabajo de manera independiente"),_xlfn.LET(_xlpm.turno,MOD(COUNTIF($I$2:I271,I271)-1,5),_xlpm.nivel,VALUE(LEFT(M271,1)),IF(_xlpm.turno=4,"No estoy seguro/a",IF(_xlpm.turno&lt;IF(_xlpm.nivel&lt;=2,1,3),"Sí","No"))),"")</f>
        <v>Sí</v>
      </c>
      <c r="P271" s="9" t="str">
        <f>_xlfn.LET(_xlpm.perfil,I271,_xlpm.turno,COUNTIF($I$2:I271,_xlpm.perfil)-1,_xlpm.busca,OR(_xlpm.perfil="Actualmente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trabajar"),IF(AND(_xlpm.trabaja,O271="No"),"Todavía no he iniciado una búsqueda activa",CHOOSE(MOD(_xlpm.turno*3,5)+1,"Menos de 1 mes","Entre 1 y 3 meses","Entre 4 y 6 meses","Más de 6 meses","Todavía no he iniciado una búsqueda activa")),"")))</f>
        <v>Menos de 1 mes</v>
      </c>
      <c r="Q271" t="str">
        <f>IF(I271="Tengo un emprendimiento o quiero iniciar uno","",CHOOSE(MOD(INT((COUNTIF($I$2:I271,I271)-1)/7),3)+1,"Sí","No","Tengo una pero necesito actualizarla"))</f>
        <v>Sí</v>
      </c>
      <c r="R271" s="9" t="str">
        <f>IF(I271="Tengo un emprendimiento o quiero iniciar uno","",IF(I271="Busco mi primer empleo","No",IF(MOD(COUNTIF($I$2:I271,I271)-1,2)=0,"Sí","No")))</f>
        <v>No</v>
      </c>
      <c r="S271" t="str">
        <f>IF(I271="Tengo un emprendimiento o quiero iniciar uno","",CHOOSE(MOD(INT((COUNTIF($I$2:I271,I271)-1)/3),10)+1,"Portales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271" t="str">
        <f>IF(I271="Tengo un emprendimiento o quiero iniciar uno","",_xlfn.LET(_xlpm.opcion,MOD(INT((COUNTIF($I$2:I271,I271)-1)/4),6)+1,CHOOSE(IF(AND(_xlpm.opcion=3,Q271="Sí"),1,_xlpm.opcion),"Falta de experiencia","Falta de formación","Dificultades con la hoja de vida","Horarios disponibles","Transporte","Internet")))</f>
        <v>Horarios disponibles</v>
      </c>
      <c r="U271" s="9" t="str">
        <f>IF(I271="Tengo un emprendimiento o quiero iniciar uno","",IF(MOD(INT((COUNTIF($I$2:I271,I271)-1)/3),2)=0,"Sí","No"))</f>
        <v>Sí</v>
      </c>
      <c r="V271" s="9" t="str">
        <f>IF(I271="Tengo un emprendimiento o quiero iniciar uno",CHOOSE(MOD(COUNTIF($I$2:I271,I271)-1,3)+1,"Tengo un emprendimiento","Estoy iniciando un emprendimiento","Me interesa emprender"),"")</f>
        <v/>
      </c>
      <c r="W271" t="str">
        <f t="shared" si="77"/>
        <v/>
      </c>
      <c r="X271" s="9" t="str">
        <f>IF(I271="Tengo un emprendimiento o quiero iniciar uno",CHOOSE(MOD(COUNTIF($I$2:I271,I271)-1,5)+1,"Falta de financiación","Falta de conocimientos administrativos","Falta de conocimientos financieros","Falta de tiempo","Falta de herramientas"),"")</f>
        <v/>
      </c>
      <c r="Y271" s="9" t="str">
        <f t="shared" si="78"/>
        <v/>
      </c>
      <c r="Z271" t="str">
        <f>IF(I271="Tengo un emprendimiento o quiero iniciar uno",CHOOSE(INT(MOD((COUNTIF($I$2:I271,I271)-1)*7,39)/13)+1,"Sí","No","No conozco programas de ese tipo"),"")</f>
        <v/>
      </c>
      <c r="AA271" t="str">
        <f t="shared" si="79"/>
        <v>Puedo hacerlo con ayuda</v>
      </c>
      <c r="AB271" t="str">
        <f t="shared" si="79"/>
        <v>Puedo hacerlo con ayuda</v>
      </c>
      <c r="AC271" t="str">
        <f t="shared" si="80"/>
        <v>Puedo hacerlo con ayuda</v>
      </c>
      <c r="AD271" s="9" t="str">
        <f t="shared" si="81"/>
        <v>Puedo hacerlo con ayuda</v>
      </c>
      <c r="AE271" t="str">
        <f t="shared" si="82"/>
        <v>Puedo hacerlo con ayuda</v>
      </c>
      <c r="AF271" s="9" t="str">
        <f t="shared" si="83"/>
        <v>Comunicación</v>
      </c>
      <c r="AG271" s="9" t="str">
        <f t="shared" si="84"/>
        <v>Horarios</v>
      </c>
      <c r="AH271" t="str">
        <f t="shared" si="85"/>
        <v>No conozco ninguno</v>
      </c>
      <c r="AI271" s="9" t="str">
        <f t="shared" si="86"/>
        <v>Virtual</v>
      </c>
      <c r="AJ271" s="9" t="str">
        <f t="shared" si="87"/>
        <v>Mañana entre semana</v>
      </c>
      <c r="AK271" s="9" t="str">
        <f t="shared" si="88"/>
        <v>Celular</v>
      </c>
    </row>
    <row r="272" spans="1:37">
      <c r="A272" t="str">
        <f t="shared" si="89"/>
        <v>SG271</v>
      </c>
      <c r="B272" s="9" t="s">
        <v>419</v>
      </c>
      <c r="C272" s="9" t="s">
        <v>427</v>
      </c>
      <c r="D272" t="str">
        <f t="shared" si="72"/>
        <v>Masculino</v>
      </c>
      <c r="E272" t="str">
        <f t="shared" si="73"/>
        <v>De 18 a 20 años</v>
      </c>
      <c r="F272">
        <f t="shared" si="74"/>
        <v>18</v>
      </c>
      <c r="G272" s="9" t="s">
        <v>430</v>
      </c>
      <c r="H272" s="9" t="str">
        <f t="shared" si="75"/>
        <v>Técnico</v>
      </c>
      <c r="I272" s="9" t="str">
        <f t="shared" si="76"/>
        <v>Actualmente no trabajo y estoy buscando empleo</v>
      </c>
      <c r="J272" s="13" t="str">
        <f>IF(I272="Trabajo actualmente como empleado",IF(MOD((COUNTIF($I$2:I272,"Trabajo actualmente como empleado")-1)*37,150)&lt;100,"Empleado con contrato","Empleado sin contrato formal"),IF(I272="Trabajo de manera independiente","Trabajo independiente",""))</f>
        <v/>
      </c>
      <c r="K272" s="9" t="str">
        <f>IF(OR(I272="Trabajo actualmente como empleado",I272="Trabajo de manera independiente"),CHOOSE(MOD(COUNTIF($I$2:I272,I272)-1,4)+1,"Menos de 3 meses","De 3 a 6 meses","De 7 a 12 meses","Más de un año"),"")</f>
        <v/>
      </c>
      <c r="L272" t="str">
        <f>IF(OR(I272="Trabajo actualmente como empleado",I272="Trabajo de manera independiente"),CHOOSE(MOD(COUNTIF($I$2:I272,I272)-1,3)+1,"Sí, completamente","Parcialmente","No"),"")</f>
        <v/>
      </c>
      <c r="M272" t="str">
        <f>IF(OR(I272="Trabajo actualmente como empleado",I272="Trabajo de manera independiente"),CHOOSE(MOD(INT((COUNTIF($I$2:I272,I272)-1)/3),4)+1,"1- Muy satisfecho/a","2- Satisfecho/a","3- Insatisfecho/a","4- Muy insatisfecho/a"),"")</f>
        <v/>
      </c>
      <c r="N272" t="str">
        <f>IF(OR(I272="Trabajo actualmente como empleado",I272="Trabajo de manera independiente"),_xlfn.LET(_xlpm.opcion,MOD(INT((COUNTIF($I$2:I272,I272)-1)/5),6)+1,CHOOSE(IF(AND(_xlpm.opcion=6,L272="Sí, completamente"),5,_xlpm.opcion),"Salario","Estabilidad laboral","Horario","Acceso a prestaciones","Oportunidades de crecimiento","Trabajar en un área relacionada con mi formación")),"")</f>
        <v/>
      </c>
      <c r="O272" s="9" t="str">
        <f>IF(OR(I272="Trabajo actualmente como empleado",I272="Trabajo de manera independiente"),_xlfn.LET(_xlpm.turno,MOD(COUNTIF($I$2:I272,I272)-1,5),_xlpm.nivel,VALUE(LEFT(M272,1)),IF(_xlpm.turno=4,"No estoy seguro/a",IF(_xlpm.turno&lt;IF(_xlpm.nivel&lt;=2,1,3),"Sí","No"))),"")</f>
        <v/>
      </c>
      <c r="P272" s="9" t="str">
        <f>_xlfn.LET(_xlpm.perfil,I272,_xlpm.turno,COUNTIF($I$2:I272,_xlpm.perfil)-1,_xlpm.busca,OR(_xlpm.perfil="Actualmente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trabajar"),IF(AND(_xlpm.trabaja,O272="No"),"Todavía no he iniciado una búsqueda activa",CHOOSE(MOD(_xlpm.turno*3,5)+1,"Menos de 1 mes","Entre 1 y 3 meses","Entre 4 y 6 meses","Más de 6 meses","Todavía no he iniciado una búsqueda activa")),"")))</f>
        <v>Menos de 1 mes</v>
      </c>
      <c r="Q272" t="str">
        <f>IF(I272="Tengo un emprendimiento o quiero iniciar uno","",CHOOSE(MOD(INT((COUNTIF($I$2:I272,I272)-1)/7),3)+1,"Sí","No","Tengo una pero necesito actualizarla"))</f>
        <v>Sí</v>
      </c>
      <c r="R272" s="9" t="str">
        <f>IF(I272="Tengo un emprendimiento o quiero iniciar uno","",IF(I272="Busco mi primer empleo","No",IF(MOD(COUNTIF($I$2:I272,I272)-1,2)=0,"Sí","No")))</f>
        <v>Sí</v>
      </c>
      <c r="S272" t="str">
        <f>IF(I272="Tengo un emprendimiento o quiero iniciar uno","",CHOOSE(MOD(INT((COUNTIF($I$2:I272,I272)-1)/3),10)+1,"Portales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72" t="str">
        <f>IF(I272="Tengo un emprendimiento o quiero iniciar uno","",_xlfn.LET(_xlpm.opcion,MOD(INT((COUNTIF($I$2:I272,I272)-1)/4),6)+1,CHOOSE(IF(AND(_xlpm.opcion=3,Q272="Sí"),1,_xlpm.opcion),"Falta de experiencia","Falta de formación","Dificultades con la hoja de vida","Horarios disponibles","Transporte","Internet")))</f>
        <v>Falta de experiencia</v>
      </c>
      <c r="U272" s="9" t="str">
        <f>IF(I272="Tengo un emprendimiento o quiero iniciar uno","",IF(MOD(INT((COUNTIF($I$2:I272,I272)-1)/3),2)=0,"Sí","No"))</f>
        <v>Sí</v>
      </c>
      <c r="V272" s="9" t="str">
        <f>IF(I272="Tengo un emprendimiento o quiero iniciar uno",CHOOSE(MOD(COUNTIF($I$2:I272,I272)-1,3)+1,"Tengo un emprendimiento","Estoy iniciando un emprendimiento","Me interesa emprender"),"")</f>
        <v/>
      </c>
      <c r="W272" t="str">
        <f t="shared" si="77"/>
        <v/>
      </c>
      <c r="X272" s="9" t="str">
        <f>IF(I272="Tengo un emprendimiento o quiero iniciar uno",CHOOSE(MOD(COUNTIF($I$2:I272,I272)-1,5)+1,"Falta de financiación","Falta de conocimientos administrativos","Falta de conocimientos financieros","Falta de tiempo","Falta de herramientas"),"")</f>
        <v/>
      </c>
      <c r="Y272" s="9" t="str">
        <f t="shared" si="78"/>
        <v/>
      </c>
      <c r="Z272" t="str">
        <f>IF(I272="Tengo un emprendimiento o quiero iniciar uno",CHOOSE(INT(MOD((COUNTIF($I$2:I272,I272)-1)*7,39)/13)+1,"Sí","No","No conozco programas de ese tipo"),"")</f>
        <v/>
      </c>
      <c r="AA272" t="str">
        <f t="shared" si="79"/>
        <v>Puedo hacerlo con dificultad</v>
      </c>
      <c r="AB272" t="str">
        <f t="shared" si="79"/>
        <v>Puedo hacerlo con dificultad</v>
      </c>
      <c r="AC272" t="str">
        <f t="shared" si="80"/>
        <v>Puedo hacerlo con dificultad</v>
      </c>
      <c r="AD272" s="9" t="str">
        <f t="shared" si="81"/>
        <v>Puedo hacerlo con ayuda</v>
      </c>
      <c r="AE272" t="str">
        <f t="shared" si="82"/>
        <v>Puedo hacerlo con dificultad</v>
      </c>
      <c r="AF272" s="9" t="str">
        <f t="shared" si="83"/>
        <v>Liderazgo</v>
      </c>
      <c r="AG272" s="9" t="str">
        <f t="shared" si="84"/>
        <v>Costos de transporte</v>
      </c>
      <c r="AH272" t="str">
        <f t="shared" si="85"/>
        <v>Ferias de empleo</v>
      </c>
      <c r="AI272" s="9" t="str">
        <f t="shared" si="86"/>
        <v>Presencial y virtual</v>
      </c>
      <c r="AJ272" s="9" t="str">
        <f t="shared" si="87"/>
        <v>Diurno</v>
      </c>
      <c r="AK272" s="9" t="str">
        <f t="shared" si="88"/>
        <v>Correo electrónico</v>
      </c>
    </row>
    <row r="273" spans="1:37">
      <c r="A273" t="str">
        <f t="shared" si="89"/>
        <v>SG272</v>
      </c>
      <c r="B273" s="9" t="s">
        <v>419</v>
      </c>
      <c r="C273" s="9" t="s">
        <v>427</v>
      </c>
      <c r="D273" t="str">
        <f t="shared" si="72"/>
        <v>Femenino</v>
      </c>
      <c r="E273" t="str">
        <f t="shared" si="73"/>
        <v>De 20 a 22 años</v>
      </c>
      <c r="F273">
        <f t="shared" si="74"/>
        <v>20</v>
      </c>
      <c r="G273" s="9" t="s">
        <v>430</v>
      </c>
      <c r="H273" s="9" t="str">
        <f t="shared" si="75"/>
        <v>Tecnólogo</v>
      </c>
      <c r="I273" s="9" t="str">
        <f t="shared" si="76"/>
        <v>Estudio y quiero comenzar a trabajar</v>
      </c>
      <c r="J273" s="13" t="str">
        <f>IF(I273="Trabajo actualmente como empleado",IF(MOD((COUNTIF($I$2:I273,"Trabajo actualmente como empleado")-1)*37,150)&lt;100,"Empleado con contrato","Empleado sin contrato formal"),IF(I273="Trabajo de manera independiente","Trabajo independiente",""))</f>
        <v/>
      </c>
      <c r="K273" s="9" t="str">
        <f>IF(OR(I273="Trabajo actualmente como empleado",I273="Trabajo de manera independiente"),CHOOSE(MOD(COUNTIF($I$2:I273,I273)-1,4)+1,"Menos de 3 meses","De 3 a 6 meses","De 7 a 12 meses","Más de un año"),"")</f>
        <v/>
      </c>
      <c r="L273" t="str">
        <f>IF(OR(I273="Trabajo actualmente como empleado",I273="Trabajo de manera independiente"),CHOOSE(MOD(COUNTIF($I$2:I273,I273)-1,3)+1,"Sí, completamente","Parcialmente","No"),"")</f>
        <v/>
      </c>
      <c r="M273" t="str">
        <f>IF(OR(I273="Trabajo actualmente como empleado",I273="Trabajo de manera independiente"),CHOOSE(MOD(INT((COUNTIF($I$2:I273,I273)-1)/3),4)+1,"1- Muy satisfecho/a","2- Satisfecho/a","3- Insatisfecho/a","4- Muy insatisfecho/a"),"")</f>
        <v/>
      </c>
      <c r="N273" t="str">
        <f>IF(OR(I273="Trabajo actualmente como empleado",I273="Trabajo de manera independiente"),_xlfn.LET(_xlpm.opcion,MOD(INT((COUNTIF($I$2:I273,I273)-1)/5),6)+1,CHOOSE(IF(AND(_xlpm.opcion=6,L273="Sí, completamente"),5,_xlpm.opcion),"Salario","Estabilidad laboral","Horario","Acceso a prestaciones","Oportunidades de crecimiento","Trabajar en un área relacionada con mi formación")),"")</f>
        <v/>
      </c>
      <c r="O273" s="9" t="str">
        <f>IF(OR(I273="Trabajo actualmente como empleado",I273="Trabajo de manera independiente"),_xlfn.LET(_xlpm.turno,MOD(COUNTIF($I$2:I273,I273)-1,5),_xlpm.nivel,VALUE(LEFT(M273,1)),IF(_xlpm.turno=4,"No estoy seguro/a",IF(_xlpm.turno&lt;IF(_xlpm.nivel&lt;=2,1,3),"Sí","No"))),"")</f>
        <v/>
      </c>
      <c r="P273" s="9" t="str">
        <f>_xlfn.LET(_xlpm.perfil,I273,_xlpm.turno,COUNTIF($I$2:I273,_xlpm.perfil)-1,_xlpm.busca,OR(_xlpm.perfil="Actualmente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trabajar"),IF(AND(_xlpm.trabaja,O273="No"),"Todavía no he iniciado una búsqueda activa",CHOOSE(MOD(_xlpm.turno*3,5)+1,"Menos de 1 mes","Entre 1 y 3 meses","Entre 4 y 6 meses","Más de 6 meses","Todavía no he iniciado una búsqueda activa")),"")))</f>
        <v>Más de 6 meses</v>
      </c>
      <c r="Q273" t="str">
        <f>IF(I273="Tengo un emprendimiento o quiero iniciar uno","",CHOOSE(MOD(INT((COUNTIF($I$2:I273,I273)-1)/7),3)+1,"Sí","No","Tengo una pero necesito actualizarla"))</f>
        <v>No</v>
      </c>
      <c r="R273" s="9" t="str">
        <f>IF(I273="Tengo un emprendimiento o quiero iniciar uno","",IF(I273="Busco mi primer empleo","No",IF(MOD(COUNTIF($I$2:I273,I273)-1,2)=0,"Sí","No")))</f>
        <v>No</v>
      </c>
      <c r="S273" t="str">
        <f>IF(I273="Tengo un emprendimiento o quiero iniciar uno","",CHOOSE(MOD(INT((COUNTIF($I$2:I273,I273)-1)/3),10)+1,"Portales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73" t="str">
        <f>IF(I273="Tengo un emprendimiento o quiero iniciar uno","",_xlfn.LET(_xlpm.opcion,MOD(INT((COUNTIF($I$2:I273,I273)-1)/4),6)+1,CHOOSE(IF(AND(_xlpm.opcion=3,Q273="Sí"),1,_xlpm.opcion),"Falta de experiencia","Falta de formación","Dificultades con la hoja de vida","Horarios disponibles","Transporte","Internet")))</f>
        <v>Falta de formación</v>
      </c>
      <c r="U273" s="9" t="str">
        <f>IF(I273="Tengo un emprendimiento o quiero iniciar uno","",IF(MOD(INT((COUNTIF($I$2:I273,I273)-1)/3),2)=0,"Sí","No"))</f>
        <v>Sí</v>
      </c>
      <c r="V273" s="9" t="str">
        <f>IF(I273="Tengo un emprendimiento o quiero iniciar uno",CHOOSE(MOD(COUNTIF($I$2:I273,I273)-1,3)+1,"Tengo un emprendimiento","Estoy iniciando un emprendimiento","Me interesa emprender"),"")</f>
        <v/>
      </c>
      <c r="W273" t="str">
        <f t="shared" si="77"/>
        <v/>
      </c>
      <c r="X273" s="9" t="str">
        <f>IF(I273="Tengo un emprendimiento o quiero iniciar uno",CHOOSE(MOD(COUNTIF($I$2:I273,I273)-1,5)+1,"Falta de financiación","Falta de conocimientos administrativos","Falta de conocimientos financieros","Falta de tiempo","Falta de herramientas"),"")</f>
        <v/>
      </c>
      <c r="Y273" s="9" t="str">
        <f t="shared" si="78"/>
        <v/>
      </c>
      <c r="Z273" t="str">
        <f>IF(I273="Tengo un emprendimiento o quiero iniciar uno",CHOOSE(INT(MOD((COUNTIF($I$2:I273,I273)-1)*7,39)/13)+1,"Sí","No","No conozco programas de ese tipo"),"")</f>
        <v/>
      </c>
      <c r="AA273" t="str">
        <f t="shared" si="79"/>
        <v>No puedo hacerlo</v>
      </c>
      <c r="AB273" t="str">
        <f t="shared" si="79"/>
        <v>No puedo hacerlo</v>
      </c>
      <c r="AC273" t="str">
        <f t="shared" si="80"/>
        <v>Puedo hacerlo sin ayuda</v>
      </c>
      <c r="AD273" s="9" t="str">
        <f t="shared" si="81"/>
        <v>Puedo hacerlo con dificultad</v>
      </c>
      <c r="AE273" t="str">
        <f t="shared" si="82"/>
        <v>Puedo hacerlo con dificultad</v>
      </c>
      <c r="AF273" s="9" t="str">
        <f t="shared" si="83"/>
        <v>Emprendimiento</v>
      </c>
      <c r="AG273" s="9" t="str">
        <f t="shared" si="84"/>
        <v>Costos de transporte</v>
      </c>
      <c r="AH273" t="str">
        <f t="shared" si="85"/>
        <v>Programas de emprendimiento</v>
      </c>
      <c r="AI273" s="9" t="str">
        <f t="shared" si="86"/>
        <v>Presencial</v>
      </c>
      <c r="AJ273" s="9" t="str">
        <f t="shared" si="87"/>
        <v>Nocturno</v>
      </c>
      <c r="AK273" s="9" t="str">
        <f t="shared" si="88"/>
        <v>Redes sociales</v>
      </c>
    </row>
    <row r="274" spans="1:37">
      <c r="A274" t="str">
        <f t="shared" si="89"/>
        <v>SG273</v>
      </c>
      <c r="B274" s="9" t="s">
        <v>419</v>
      </c>
      <c r="C274" s="9" t="s">
        <v>427</v>
      </c>
      <c r="D274" t="str">
        <f t="shared" si="72"/>
        <v>Femenino</v>
      </c>
      <c r="E274" t="str">
        <f t="shared" si="73"/>
        <v>De 22 a 24 años</v>
      </c>
      <c r="F274">
        <f t="shared" si="74"/>
        <v>22</v>
      </c>
      <c r="G274" s="9" t="s">
        <v>430</v>
      </c>
      <c r="H274" s="9" t="str">
        <f t="shared" si="75"/>
        <v>Profesional</v>
      </c>
      <c r="I274" s="9" t="str">
        <f t="shared" si="76"/>
        <v>Trabajo actualmente como empleado</v>
      </c>
      <c r="J274" s="13" t="str">
        <f>IF(I274="Trabajo actualmente como empleado",IF(MOD((COUNTIF($I$2:I274,"Trabajo actualmente como empleado")-1)*37,150)&lt;100,"Empleado con contrato","Empleado sin contrato formal"),IF(I274="Trabajo de manera independiente","Trabajo independiente",""))</f>
        <v>Empleado con contrato</v>
      </c>
      <c r="K274" s="9" t="str">
        <f>IF(OR(I274="Trabajo actualmente como empleado",I274="Trabajo de manera independiente"),CHOOSE(MOD(COUNTIF($I$2:I274,I274)-1,4)+1,"Menos de 3 meses","De 3 a 6 meses","De 7 a 12 meses","Más de un año"),"")</f>
        <v>De 7 a 12 meses</v>
      </c>
      <c r="L274" t="str">
        <f>IF(OR(I274="Trabajo actualmente como empleado",I274="Trabajo de manera independiente"),CHOOSE(MOD(COUNTIF($I$2:I274,I274)-1,3)+1,"Sí, completamente","Parcialmente","No"),"")</f>
        <v>No</v>
      </c>
      <c r="M274" t="str">
        <f>IF(OR(I274="Trabajo actualmente como empleado",I274="Trabajo de manera independiente"),CHOOSE(MOD(INT((COUNTIF($I$2:I274,I274)-1)/3),4)+1,"1- Muy satisfecho/a","2- Satisfecho/a","3- Insatisfecho/a","4- Muy insatisfecho/a"),"")</f>
        <v>1- Muy satisfecho/a</v>
      </c>
      <c r="N274" t="str">
        <f>IF(OR(I274="Trabajo actualmente como empleado",I274="Trabajo de manera independiente"),_xlfn.LET(_xlpm.opcion,MOD(INT((COUNTIF($I$2:I274,I274)-1)/5),6)+1,CHOOSE(IF(AND(_xlpm.opcion=6,L274="Sí,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274" s="9" t="str">
        <f>IF(OR(I274="Trabajo actualmente como empleado",I274="Trabajo de manera independiente"),_xlfn.LET(_xlpm.turno,MOD(COUNTIF($I$2:I274,I274)-1,5),_xlpm.nivel,VALUE(LEFT(M274,1)),IF(_xlpm.turno=4,"No estoy seguro/a",IF(_xlpm.turno&lt;IF(_xlpm.nivel&lt;=2,1,3),"Sí","No"))),"")</f>
        <v>No</v>
      </c>
      <c r="P274" s="9" t="str">
        <f>_xlfn.LET(_xlpm.perfil,I274,_xlpm.turno,COUNTIF($I$2:I274,_xlpm.perfil)-1,_xlpm.busca,OR(_xlpm.perfil="Actualmente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trabajar"),IF(AND(_xlpm.trabaja,O274="No"),"Todavía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74" t="str">
        <f>IF(I274="Tengo un emprendimiento o quiero iniciar uno","",CHOOSE(MOD(INT((COUNTIF($I$2:I274,I274)-1)/7),3)+1,"Sí","No","Tengo una pero necesito actualizarla"))</f>
        <v>Sí</v>
      </c>
      <c r="R274" s="9" t="str">
        <f>IF(I274="Tengo un emprendimiento o quiero iniciar uno","",IF(I274="Busco mi primer empleo","No",IF(MOD(COUNTIF($I$2:I274,I274)-1,2)=0,"Sí","No")))</f>
        <v>Sí</v>
      </c>
      <c r="S274" t="str">
        <f>IF(I274="Tengo un emprendimiento o quiero iniciar uno","",CHOOSE(MOD(INT((COUNTIF($I$2:I274,I274)-1)/3),10)+1,"Portales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274" t="str">
        <f>IF(I274="Tengo un emprendimiento o quiero iniciar uno","",_xlfn.LET(_xlpm.opcion,MOD(INT((COUNTIF($I$2:I274,I274)-1)/4),6)+1,CHOOSE(IF(AND(_xlpm.opcion=3,Q274="Sí"),1,_xlpm.opcion),"Falta de experiencia","Falta de formación","Dificultades con la hoja de vida","Horarios disponibles","Transporte","Internet")))</f>
        <v>Horarios disponibles</v>
      </c>
      <c r="U274" s="9" t="str">
        <f>IF(I274="Tengo un emprendimiento o quiero iniciar uno","",IF(MOD(INT((COUNTIF($I$2:I274,I274)-1)/3),2)=0,"Sí","No"))</f>
        <v>Sí</v>
      </c>
      <c r="V274" s="9" t="str">
        <f>IF(I274="Tengo un emprendimiento o quiero iniciar uno",CHOOSE(MOD(COUNTIF($I$2:I274,I274)-1,3)+1,"Tengo un emprendimiento","Estoy iniciando un emprendimiento","Me interesa emprender"),"")</f>
        <v/>
      </c>
      <c r="W274" t="str">
        <f t="shared" si="77"/>
        <v/>
      </c>
      <c r="X274" s="9" t="str">
        <f>IF(I274="Tengo un emprendimiento o quiero iniciar uno",CHOOSE(MOD(COUNTIF($I$2:I274,I274)-1,5)+1,"Falta de financiación","Falta de conocimientos administrativos","Falta de conocimientos financieros","Falta de tiempo","Falta de herramientas"),"")</f>
        <v/>
      </c>
      <c r="Y274" s="9" t="str">
        <f t="shared" si="78"/>
        <v/>
      </c>
      <c r="Z274" t="str">
        <f>IF(I274="Tengo un emprendimiento o quiero iniciar uno",CHOOSE(INT(MOD((COUNTIF($I$2:I274,I274)-1)*7,39)/13)+1,"Sí","No","No conozco programas de ese tipo"),"")</f>
        <v/>
      </c>
      <c r="AA274" t="str">
        <f t="shared" si="79"/>
        <v>Puedo hacerlo con ayuda</v>
      </c>
      <c r="AB274" t="str">
        <f t="shared" si="79"/>
        <v>Puedo hacerlo con ayuda</v>
      </c>
      <c r="AC274" t="str">
        <f t="shared" si="80"/>
        <v>Puedo hacerlo con ayuda</v>
      </c>
      <c r="AD274" s="9" t="str">
        <f t="shared" si="81"/>
        <v>Puedo hacerlo sin ayuda</v>
      </c>
      <c r="AE274" t="str">
        <f t="shared" si="82"/>
        <v>Puedo hacerlo sin ayuda</v>
      </c>
      <c r="AF274" s="9" t="str">
        <f t="shared" si="83"/>
        <v>Herramientas digitales</v>
      </c>
      <c r="AG274" s="9" t="str">
        <f t="shared" si="84"/>
        <v>Costos de transporte</v>
      </c>
      <c r="AH274" t="str">
        <f t="shared" si="85"/>
        <v>Oficina de orientación laboral</v>
      </c>
      <c r="AI274" s="9" t="str">
        <f t="shared" si="86"/>
        <v>Virtual</v>
      </c>
      <c r="AJ274" s="9" t="str">
        <f t="shared" si="87"/>
        <v>Fines de semana</v>
      </c>
      <c r="AK274" s="9" t="str">
        <f t="shared" si="88"/>
        <v>WhatsApp</v>
      </c>
    </row>
    <row r="275" spans="1:37">
      <c r="A275" t="str">
        <f t="shared" si="89"/>
        <v>SG274</v>
      </c>
      <c r="B275" s="9" t="s">
        <v>419</v>
      </c>
      <c r="C275" s="9" t="s">
        <v>427</v>
      </c>
      <c r="D275" t="str">
        <f t="shared" si="72"/>
        <v>Masculino</v>
      </c>
      <c r="E275" t="str">
        <f t="shared" si="73"/>
        <v>De 24 a 26 años</v>
      </c>
      <c r="F275">
        <f t="shared" si="74"/>
        <v>24</v>
      </c>
      <c r="G275" s="9" t="s">
        <v>430</v>
      </c>
      <c r="H275" s="9" t="str">
        <f t="shared" si="75"/>
        <v>Profesional</v>
      </c>
      <c r="I275" s="9" t="str">
        <f t="shared" si="76"/>
        <v>Actualmente no trabajo y estoy buscando empleo</v>
      </c>
      <c r="J275" s="13" t="str">
        <f>IF(I275="Trabajo actualmente como empleado",IF(MOD((COUNTIF($I$2:I275,"Trabajo actualmente como empleado")-1)*37,150)&lt;100,"Empleado con contrato","Empleado sin contrato formal"),IF(I275="Trabajo de manera independiente","Trabajo independiente",""))</f>
        <v/>
      </c>
      <c r="K275" s="9" t="str">
        <f>IF(OR(I275="Trabajo actualmente como empleado",I275="Trabajo de manera independiente"),CHOOSE(MOD(COUNTIF($I$2:I275,I275)-1,4)+1,"Menos de 3 meses","De 3 a 6 meses","De 7 a 12 meses","Más de un año"),"")</f>
        <v/>
      </c>
      <c r="L275" t="str">
        <f>IF(OR(I275="Trabajo actualmente como empleado",I275="Trabajo de manera independiente"),CHOOSE(MOD(COUNTIF($I$2:I275,I275)-1,3)+1,"Sí, completamente","Parcialmente","No"),"")</f>
        <v/>
      </c>
      <c r="M275" t="str">
        <f>IF(OR(I275="Trabajo actualmente como empleado",I275="Trabajo de manera independiente"),CHOOSE(MOD(INT((COUNTIF($I$2:I275,I275)-1)/3),4)+1,"1- Muy satisfecho/a","2- Satisfecho/a","3- Insatisfecho/a","4- Muy insatisfecho/a"),"")</f>
        <v/>
      </c>
      <c r="N275" t="str">
        <f>IF(OR(I275="Trabajo actualmente como empleado",I275="Trabajo de manera independiente"),_xlfn.LET(_xlpm.opcion,MOD(INT((COUNTIF($I$2:I275,I275)-1)/5),6)+1,CHOOSE(IF(AND(_xlpm.opcion=6,L275="Sí, completamente"),5,_xlpm.opcion),"Salario","Estabilidad laboral","Horario","Acceso a prestaciones","Oportunidades de crecimiento","Trabajar en un área relacionada con mi formación")),"")</f>
        <v/>
      </c>
      <c r="O275" s="9" t="str">
        <f>IF(OR(I275="Trabajo actualmente como empleado",I275="Trabajo de manera independiente"),_xlfn.LET(_xlpm.turno,MOD(COUNTIF($I$2:I275,I275)-1,5),_xlpm.nivel,VALUE(LEFT(M275,1)),IF(_xlpm.turno=4,"No estoy seguro/a",IF(_xlpm.turno&lt;IF(_xlpm.nivel&lt;=2,1,3),"Sí","No"))),"")</f>
        <v/>
      </c>
      <c r="P275" s="9" t="str">
        <f>_xlfn.LET(_xlpm.perfil,I275,_xlpm.turno,COUNTIF($I$2:I275,_xlpm.perfil)-1,_xlpm.busca,OR(_xlpm.perfil="Actualmente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trabajar"),IF(AND(_xlpm.trabaja,O275="No"),"Todavía no he iniciado una búsqueda activa",CHOOSE(MOD(_xlpm.turno*3,5)+1,"Menos de 1 mes","Entre 1 y 3 meses","Entre 4 y 6 meses","Más de 6 meses","Todavía no he iniciado una búsqueda activa")),"")))</f>
        <v>Más de 6 meses</v>
      </c>
      <c r="Q275" t="str">
        <f>IF(I275="Tengo un emprendimiento o quiero iniciar uno","",CHOOSE(MOD(INT((COUNTIF($I$2:I275,I275)-1)/7),3)+1,"Sí","No","Tengo una pero necesito actualizarla"))</f>
        <v>No</v>
      </c>
      <c r="R275" s="9" t="str">
        <f>IF(I275="Tengo un emprendimiento o quiero iniciar uno","",IF(I275="Busco mi primer empleo","No",IF(MOD(COUNTIF($I$2:I275,I275)-1,2)=0,"Sí","No")))</f>
        <v>No</v>
      </c>
      <c r="S275" t="str">
        <f>IF(I275="Tengo un emprendimiento o quiero iniciar uno","",CHOOSE(MOD(INT((COUNTIF($I$2:I275,I275)-1)/3),10)+1,"Portales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75" t="str">
        <f>IF(I275="Tengo un emprendimiento o quiero iniciar uno","",_xlfn.LET(_xlpm.opcion,MOD(INT((COUNTIF($I$2:I275,I275)-1)/4),6)+1,CHOOSE(IF(AND(_xlpm.opcion=3,Q275="Sí"),1,_xlpm.opcion),"Falta de experiencia","Falta de formación","Dificultades con la hoja de vida","Horarios disponibles","Transporte","Internet")))</f>
        <v>Falta de experiencia</v>
      </c>
      <c r="U275" s="9" t="str">
        <f>IF(I275="Tengo un emprendimiento o quiero iniciar uno","",IF(MOD(INT((COUNTIF($I$2:I275,I275)-1)/3),2)=0,"Sí","No"))</f>
        <v>Sí</v>
      </c>
      <c r="V275" s="9" t="str">
        <f>IF(I275="Tengo un emprendimiento o quiero iniciar uno",CHOOSE(MOD(COUNTIF($I$2:I275,I275)-1,3)+1,"Tengo un emprendimiento","Estoy iniciando un emprendimiento","Me interesa emprender"),"")</f>
        <v/>
      </c>
      <c r="W275" t="str">
        <f t="shared" si="77"/>
        <v/>
      </c>
      <c r="X275" s="9" t="str">
        <f>IF(I275="Tengo un emprendimiento o quiero iniciar uno",CHOOSE(MOD(COUNTIF($I$2:I275,I275)-1,5)+1,"Falta de financiación","Falta de conocimientos administrativos","Falta de conocimientos financieros","Falta de tiempo","Falta de herramientas"),"")</f>
        <v/>
      </c>
      <c r="Y275" s="9" t="str">
        <f t="shared" si="78"/>
        <v/>
      </c>
      <c r="Z275" t="str">
        <f>IF(I275="Tengo un emprendimiento o quiero iniciar uno",CHOOSE(INT(MOD((COUNTIF($I$2:I275,I275)-1)*7,39)/13)+1,"Sí","No","No conozco programas de ese tipo"),"")</f>
        <v/>
      </c>
      <c r="AA275" t="str">
        <f t="shared" si="79"/>
        <v>Puedo hacerlo sin ayuda</v>
      </c>
      <c r="AB275" t="str">
        <f t="shared" si="79"/>
        <v>Puedo hacerlo sin ayuda</v>
      </c>
      <c r="AC275" t="str">
        <f t="shared" si="80"/>
        <v>Puedo hacerlo con dificultad</v>
      </c>
      <c r="AD275" s="9" t="str">
        <f t="shared" si="81"/>
        <v>Puedo hacerlo sin ayuda</v>
      </c>
      <c r="AE275" t="str">
        <f t="shared" si="82"/>
        <v>Puedo hacerlo sin ayuda</v>
      </c>
      <c r="AF275" s="9" t="str">
        <f t="shared" si="83"/>
        <v>Educación financiera</v>
      </c>
      <c r="AG275" s="9" t="str">
        <f t="shared" si="84"/>
        <v>Horarios;Falta de información</v>
      </c>
      <c r="AH275" t="str">
        <f t="shared" si="85"/>
        <v>Programas de emprendimiento</v>
      </c>
      <c r="AI275" s="9" t="str">
        <f t="shared" si="86"/>
        <v>Presencial y virtual</v>
      </c>
      <c r="AJ275" s="9" t="str">
        <f t="shared" si="87"/>
        <v>Diurno</v>
      </c>
      <c r="AK275" s="9" t="str">
        <f t="shared" si="88"/>
        <v>Correo electrónico</v>
      </c>
    </row>
    <row r="276" spans="1:37">
      <c r="A276" t="str">
        <f t="shared" si="89"/>
        <v>SG275</v>
      </c>
      <c r="B276" s="9" t="s">
        <v>419</v>
      </c>
      <c r="C276" s="9" t="s">
        <v>427</v>
      </c>
      <c r="D276" t="str">
        <f t="shared" si="72"/>
        <v>Masculino</v>
      </c>
      <c r="E276" t="str">
        <f t="shared" si="73"/>
        <v>De 26 a 28 años</v>
      </c>
      <c r="F276">
        <f t="shared" si="74"/>
        <v>26</v>
      </c>
      <c r="G276" s="9" t="s">
        <v>430</v>
      </c>
      <c r="H276" s="9" t="str">
        <f t="shared" si="75"/>
        <v>Bachiller</v>
      </c>
      <c r="I276" s="9" t="str">
        <f t="shared" si="76"/>
        <v>Tengo un emprendimiento o quiero iniciar uno</v>
      </c>
      <c r="J276" s="13" t="str">
        <f>IF(I276="Trabajo actualmente como empleado",IF(MOD((COUNTIF($I$2:I276,"Trabajo actualmente como empleado")-1)*37,150)&lt;100,"Empleado con contrato","Empleado sin contrato formal"),IF(I276="Trabajo de manera independiente","Trabajo independiente",""))</f>
        <v/>
      </c>
      <c r="K276" s="9" t="str">
        <f>IF(OR(I276="Trabajo actualmente como empleado",I276="Trabajo de manera independiente"),CHOOSE(MOD(COUNTIF($I$2:I276,I276)-1,4)+1,"Menos de 3 meses","De 3 a 6 meses","De 7 a 12 meses","Más de un año"),"")</f>
        <v/>
      </c>
      <c r="L276" t="str">
        <f>IF(OR(I276="Trabajo actualmente como empleado",I276="Trabajo de manera independiente"),CHOOSE(MOD(COUNTIF($I$2:I276,I276)-1,3)+1,"Sí, completamente","Parcialmente","No"),"")</f>
        <v/>
      </c>
      <c r="M276" t="str">
        <f>IF(OR(I276="Trabajo actualmente como empleado",I276="Trabajo de manera independiente"),CHOOSE(MOD(INT((COUNTIF($I$2:I276,I276)-1)/3),4)+1,"1- Muy satisfecho/a","2- Satisfecho/a","3- Insatisfecho/a","4- Muy insatisfecho/a"),"")</f>
        <v/>
      </c>
      <c r="N276" t="str">
        <f>IF(OR(I276="Trabajo actualmente como empleado",I276="Trabajo de manera independiente"),_xlfn.LET(_xlpm.opcion,MOD(INT((COUNTIF($I$2:I276,I276)-1)/5),6)+1,CHOOSE(IF(AND(_xlpm.opcion=6,L276="Sí, completamente"),5,_xlpm.opcion),"Salario","Estabilidad laboral","Horario","Acceso a prestaciones","Oportunidades de crecimiento","Trabajar en un área relacionada con mi formación")),"")</f>
        <v/>
      </c>
      <c r="O276" s="9" t="str">
        <f>IF(OR(I276="Trabajo actualmente como empleado",I276="Trabajo de manera independiente"),_xlfn.LET(_xlpm.turno,MOD(COUNTIF($I$2:I276,I276)-1,5),_xlpm.nivel,VALUE(LEFT(M276,1)),IF(_xlpm.turno=4,"No estoy seguro/a",IF(_xlpm.turno&lt;IF(_xlpm.nivel&lt;=2,1,3),"Sí","No"))),"")</f>
        <v/>
      </c>
      <c r="P276" s="9" t="str">
        <f>_xlfn.LET(_xlpm.perfil,I276,_xlpm.turno,COUNTIF($I$2:I276,_xlpm.perfil)-1,_xlpm.busca,OR(_xlpm.perfil="Actualmente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trabajar"),IF(AND(_xlpm.trabaja,O276="No"),"Todavía no he iniciado una búsqueda activa",CHOOSE(MOD(_xlpm.turno*3,5)+1,"Menos de 1 mes","Entre 1 y 3 meses","Entre 4 y 6 meses","Más de 6 meses","Todavía no he iniciado una búsqueda activa")),"")))</f>
        <v/>
      </c>
      <c r="Q276" t="str">
        <f>IF(I276="Tengo un emprendimiento o quiero iniciar uno","",CHOOSE(MOD(INT((COUNTIF($I$2:I276,I276)-1)/7),3)+1,"Sí","No","Tengo una pero necesito actualizarla"))</f>
        <v/>
      </c>
      <c r="R276" s="9" t="str">
        <f>IF(I276="Tengo un emprendimiento o quiero iniciar uno","",IF(I276="Busco mi primer empleo","No",IF(MOD(COUNTIF($I$2:I276,I276)-1,2)=0,"Sí","No")))</f>
        <v/>
      </c>
      <c r="S276" t="str">
        <f>IF(I276="Tengo un emprendimiento o quiero iniciar uno","",CHOOSE(MOD(INT((COUNTIF($I$2:I276,I276)-1)/3),10)+1,"Portales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76" t="str">
        <f>IF(I276="Tengo un emprendimiento o quiero iniciar uno","",_xlfn.LET(_xlpm.opcion,MOD(INT((COUNTIF($I$2:I276,I276)-1)/4),6)+1,CHOOSE(IF(AND(_xlpm.opcion=3,Q276="Sí"),1,_xlpm.opcion),"Falta de experiencia","Falta de formación","Dificultades con la hoja de vida","Horarios disponibles","Transporte","Internet")))</f>
        <v/>
      </c>
      <c r="U276" s="9" t="str">
        <f>IF(I276="Tengo un emprendimiento o quiero iniciar uno","",IF(MOD(INT((COUNTIF($I$2:I276,I276)-1)/3),2)=0,"Sí","No"))</f>
        <v/>
      </c>
      <c r="V276" s="9" t="str">
        <f>IF(I276="Tengo un emprendimiento o quiero iniciar uno",CHOOSE(MOD(COUNTIF($I$2:I276,I276)-1,3)+1,"Tengo un emprendimiento","Estoy iniciando un emprendimiento","Me interesa emprender"),"")</f>
        <v>Estoy iniciando un emprendimiento</v>
      </c>
      <c r="W276" t="str">
        <f t="shared" si="77"/>
        <v>Inicio</v>
      </c>
      <c r="X276" s="9" t="str">
        <f>IF(I276="Tengo un emprendimiento o quiero iniciar uno",CHOOSE(MOD(COUNTIF($I$2:I276,I276)-1,5)+1,"Falta de financiación","Falta de conocimientos administrativos","Falta de conocimientos financieros","Falta de tiempo","Falta de herramientas"),"")</f>
        <v>Falta de conocimientos financieros</v>
      </c>
      <c r="Y276" s="9" t="str">
        <f t="shared" si="78"/>
        <v>Falta de conocimientos financieros</v>
      </c>
      <c r="Z276" t="str">
        <f>IF(I276="Tengo un emprendimiento o quiero iniciar uno",CHOOSE(INT(MOD((COUNTIF($I$2:I276,I276)-1)*7,39)/13)+1,"Sí","No","No conozco programas de ese tipo"),"")</f>
        <v>No conozco programas de ese tipo</v>
      </c>
      <c r="AA276" t="str">
        <f t="shared" si="79"/>
        <v>Puedo hacerlo con ayuda</v>
      </c>
      <c r="AB276" t="str">
        <f t="shared" si="79"/>
        <v>Puedo hacerlo con ayuda</v>
      </c>
      <c r="AC276" t="str">
        <f t="shared" si="80"/>
        <v>Puedo hacerlo sin ayuda</v>
      </c>
      <c r="AD276" s="9" t="str">
        <f t="shared" si="81"/>
        <v>No puedo hacerlo</v>
      </c>
      <c r="AE276" t="str">
        <f t="shared" si="82"/>
        <v>No puedo hacerlo</v>
      </c>
      <c r="AF276" s="9" t="str">
        <f t="shared" si="83"/>
        <v>Crear una hoja de vida;Preparación para entrevista</v>
      </c>
      <c r="AG276" s="9" t="str">
        <f t="shared" si="84"/>
        <v>Horarios;Falta de información</v>
      </c>
      <c r="AH276" t="str">
        <f t="shared" si="85"/>
        <v>No conozco ninguno</v>
      </c>
      <c r="AI276" s="9" t="str">
        <f t="shared" si="86"/>
        <v>Me es indiferente</v>
      </c>
      <c r="AJ276" s="9" t="str">
        <f t="shared" si="87"/>
        <v>Nocturno</v>
      </c>
      <c r="AK276" s="9" t="str">
        <f t="shared" si="88"/>
        <v>Celular</v>
      </c>
    </row>
    <row r="277" spans="1:37">
      <c r="A277" t="str">
        <f t="shared" si="89"/>
        <v>SG276</v>
      </c>
      <c r="B277" s="9" t="s">
        <v>419</v>
      </c>
      <c r="C277" s="9" t="s">
        <v>427</v>
      </c>
      <c r="D277" t="str">
        <f t="shared" si="72"/>
        <v>Femenino</v>
      </c>
      <c r="E277" t="str">
        <f t="shared" si="73"/>
        <v>De 18 a 20 años</v>
      </c>
      <c r="F277">
        <f t="shared" si="74"/>
        <v>19</v>
      </c>
      <c r="G277" s="9" t="s">
        <v>430</v>
      </c>
      <c r="H277" s="9" t="str">
        <f t="shared" si="75"/>
        <v>Bachiller</v>
      </c>
      <c r="I277" s="9" t="str">
        <f t="shared" si="76"/>
        <v>Trabajo de manera independiente</v>
      </c>
      <c r="J277" s="13" t="str">
        <f>IF(I277="Trabajo actualmente como empleado",IF(MOD((COUNTIF($I$2:I277,"Trabajo actualmente como empleado")-1)*37,150)&lt;100,"Empleado con contrato","Empleado sin contrato formal"),IF(I277="Trabajo de manera independiente","Trabajo independiente",""))</f>
        <v>Trabajo independiente</v>
      </c>
      <c r="K277" s="9" t="str">
        <f>IF(OR(I277="Trabajo actualmente como empleado",I277="Trabajo de manera independiente"),CHOOSE(MOD(COUNTIF($I$2:I277,I277)-1,4)+1,"Menos de 3 meses","De 3 a 6 meses","De 7 a 12 meses","Más de un año"),"")</f>
        <v>De 7 a 12 meses</v>
      </c>
      <c r="L277" t="str">
        <f>IF(OR(I277="Trabajo actualmente como empleado",I277="Trabajo de manera independiente"),CHOOSE(MOD(COUNTIF($I$2:I277,I277)-1,3)+1,"Sí, completamente","Parcialmente","No"),"")</f>
        <v>Parcialmente</v>
      </c>
      <c r="M277" t="str">
        <f>IF(OR(I277="Trabajo actualmente como empleado",I277="Trabajo de manera independiente"),CHOOSE(MOD(INT((COUNTIF($I$2:I277,I277)-1)/3),4)+1,"1- Muy satisfecho/a","2- Satisfecho/a","3- Insatisfecho/a","4- Muy insatisfecho/a"),"")</f>
        <v>4- Muy insatisfecho/a</v>
      </c>
      <c r="N277" t="str">
        <f>IF(OR(I277="Trabajo actualmente como empleado",I277="Trabajo de manera independiente"),_xlfn.LET(_xlpm.opcion,MOD(INT((COUNTIF($I$2:I277,I277)-1)/5),6)+1,CHOOSE(IF(AND(_xlpm.opcion=6,L277="Sí, completamente"),5,_xlpm.opcion),"Salario","Estabilidad laboral","Horario","Acceso a prestaciones","Oportunidades de crecimiento","Trabajar en un área relacionada con mi formación")),"")</f>
        <v>Acceso a prestaciones</v>
      </c>
      <c r="O277" s="9" t="str">
        <f>IF(OR(I277="Trabajo actualmente como empleado",I277="Trabajo de manera independiente"),_xlfn.LET(_xlpm.turno,MOD(COUNTIF($I$2:I277,I277)-1,5),_xlpm.nivel,VALUE(LEFT(M277,1)),IF(_xlpm.turno=4,"No estoy seguro/a",IF(_xlpm.turno&lt;IF(_xlpm.nivel&lt;=2,1,3),"Sí","No"))),"")</f>
        <v>Sí</v>
      </c>
      <c r="P277" s="9" t="str">
        <f>_xlfn.LET(_xlpm.perfil,I277,_xlpm.turno,COUNTIF($I$2:I277,_xlpm.perfil)-1,_xlpm.busca,OR(_xlpm.perfil="Actualmente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trabajar"),IF(AND(_xlpm.trabaja,O277="No"),"Todavía no he iniciado una búsqueda activa",CHOOSE(MOD(_xlpm.turno*3,5)+1,"Menos de 1 mes","Entre 1 y 3 meses","Entre 4 y 6 meses","Más de 6 meses","Todavía no he iniciado una búsqueda activa")),"")))</f>
        <v>Más de 6 meses</v>
      </c>
      <c r="Q277" t="str">
        <f>IF(I277="Tengo un emprendimiento o quiero iniciar uno","",CHOOSE(MOD(INT((COUNTIF($I$2:I277,I277)-1)/7),3)+1,"Sí","No","Tengo una pero necesito actualizarla"))</f>
        <v>Sí</v>
      </c>
      <c r="R277" s="9" t="str">
        <f>IF(I277="Tengo un emprendimiento o quiero iniciar uno","",IF(I277="Busco mi primer empleo","No",IF(MOD(COUNTIF($I$2:I277,I277)-1,2)=0,"Sí","No")))</f>
        <v>Sí</v>
      </c>
      <c r="S277" t="str">
        <f>IF(I277="Tengo un emprendimiento o quiero iniciar uno","",CHOOSE(MOD(INT((COUNTIF($I$2:I277,I277)-1)/3),10)+1,"Portales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77" t="str">
        <f>IF(I277="Tengo un emprendimiento o quiero iniciar uno","",_xlfn.LET(_xlpm.opcion,MOD(INT((COUNTIF($I$2:I277,I277)-1)/4),6)+1,CHOOSE(IF(AND(_xlpm.opcion=3,Q277="Sí"),1,_xlpm.opcion),"Falta de experiencia","Falta de formación","Dificultades con la hoja de vida","Horarios disponibles","Transporte","Internet")))</f>
        <v>Internet</v>
      </c>
      <c r="U277" s="9" t="str">
        <f>IF(I277="Tengo un emprendimiento o quiero iniciar uno","",IF(MOD(INT((COUNTIF($I$2:I277,I277)-1)/3),2)=0,"Sí","No"))</f>
        <v>No</v>
      </c>
      <c r="V277" s="9" t="str">
        <f>IF(I277="Tengo un emprendimiento o quiero iniciar uno",CHOOSE(MOD(COUNTIF($I$2:I277,I277)-1,3)+1,"Tengo un emprendimiento","Estoy iniciando un emprendimiento","Me interesa emprender"),"")</f>
        <v/>
      </c>
      <c r="W277" t="str">
        <f t="shared" si="77"/>
        <v/>
      </c>
      <c r="X277" s="9" t="str">
        <f>IF(I277="Tengo un emprendimiento o quiero iniciar uno",CHOOSE(MOD(COUNTIF($I$2:I277,I277)-1,5)+1,"Falta de financiación","Falta de conocimientos administrativos","Falta de conocimientos financieros","Falta de tiempo","Falta de herramientas"),"")</f>
        <v/>
      </c>
      <c r="Y277" s="9" t="str">
        <f t="shared" si="78"/>
        <v/>
      </c>
      <c r="Z277" t="str">
        <f>IF(I277="Tengo un emprendimiento o quiero iniciar uno",CHOOSE(INT(MOD((COUNTIF($I$2:I277,I277)-1)*7,39)/13)+1,"Sí","No","No conozco programas de ese tipo"),"")</f>
        <v/>
      </c>
      <c r="AA277" t="str">
        <f t="shared" si="79"/>
        <v>Puedo hacerlo con dificultad</v>
      </c>
      <c r="AB277" t="str">
        <f t="shared" si="79"/>
        <v>Puedo hacerlo con dificultad</v>
      </c>
      <c r="AC277" t="str">
        <f t="shared" si="80"/>
        <v>Puedo hacerlo con ayuda</v>
      </c>
      <c r="AD277" s="9" t="str">
        <f t="shared" si="81"/>
        <v>Puedo hacerlo con ayuda</v>
      </c>
      <c r="AE277" t="str">
        <f t="shared" si="82"/>
        <v>Puedo hacerlo con ayuda</v>
      </c>
      <c r="AF277" s="9" t="str">
        <f t="shared" si="83"/>
        <v>Comunicación;Liderazgo</v>
      </c>
      <c r="AG277" s="9" t="str">
        <f t="shared" si="84"/>
        <v>Horarios;Falta de información</v>
      </c>
      <c r="AH277" t="str">
        <f t="shared" si="85"/>
        <v>Ferias de empleo</v>
      </c>
      <c r="AI277" s="9" t="str">
        <f t="shared" si="86"/>
        <v>Presencial</v>
      </c>
      <c r="AJ277" s="9" t="str">
        <f t="shared" si="87"/>
        <v>Fines de semana</v>
      </c>
      <c r="AK277" s="9" t="str">
        <f t="shared" si="88"/>
        <v>WhatsApp</v>
      </c>
    </row>
    <row r="278" spans="1:37">
      <c r="A278" t="str">
        <f t="shared" si="89"/>
        <v>SG277</v>
      </c>
      <c r="B278" s="9" t="s">
        <v>419</v>
      </c>
      <c r="C278" s="9" t="s">
        <v>427</v>
      </c>
      <c r="D278" t="str">
        <f t="shared" si="72"/>
        <v>Femenino</v>
      </c>
      <c r="E278" t="str">
        <f t="shared" si="73"/>
        <v>De 20 a 22 años</v>
      </c>
      <c r="F278">
        <f t="shared" si="74"/>
        <v>21</v>
      </c>
      <c r="G278" s="9" t="s">
        <v>430</v>
      </c>
      <c r="H278" s="9" t="str">
        <f t="shared" si="75"/>
        <v>Bachiller</v>
      </c>
      <c r="I278" s="9" t="str">
        <f t="shared" si="76"/>
        <v>Busco mi primer empleo</v>
      </c>
      <c r="J278" s="13" t="str">
        <f>IF(I278="Trabajo actualmente como empleado",IF(MOD((COUNTIF($I$2:I278,"Trabajo actualmente como empleado")-1)*37,150)&lt;100,"Empleado con contrato","Empleado sin contrato formal"),IF(I278="Trabajo de manera independiente","Trabajo independiente",""))</f>
        <v/>
      </c>
      <c r="K278" s="9" t="str">
        <f>IF(OR(I278="Trabajo actualmente como empleado",I278="Trabajo de manera independiente"),CHOOSE(MOD(COUNTIF($I$2:I278,I278)-1,4)+1,"Menos de 3 meses","De 3 a 6 meses","De 7 a 12 meses","Más de un año"),"")</f>
        <v/>
      </c>
      <c r="L278" t="str">
        <f>IF(OR(I278="Trabajo actualmente como empleado",I278="Trabajo de manera independiente"),CHOOSE(MOD(COUNTIF($I$2:I278,I278)-1,3)+1,"Sí, completamente","Parcialmente","No"),"")</f>
        <v/>
      </c>
      <c r="M278" t="str">
        <f>IF(OR(I278="Trabajo actualmente como empleado",I278="Trabajo de manera independiente"),CHOOSE(MOD(INT((COUNTIF($I$2:I278,I278)-1)/3),4)+1,"1- Muy satisfecho/a","2- Satisfecho/a","3- Insatisfecho/a","4- Muy insatisfecho/a"),"")</f>
        <v/>
      </c>
      <c r="N278" t="str">
        <f>IF(OR(I278="Trabajo actualmente como empleado",I278="Trabajo de manera independiente"),_xlfn.LET(_xlpm.opcion,MOD(INT((COUNTIF($I$2:I278,I278)-1)/5),6)+1,CHOOSE(IF(AND(_xlpm.opcion=6,L278="Sí, completamente"),5,_xlpm.opcion),"Salario","Estabilidad laboral","Horario","Acceso a prestaciones","Oportunidades de crecimiento","Trabajar en un área relacionada con mi formación")),"")</f>
        <v/>
      </c>
      <c r="O278" s="9" t="str">
        <f>IF(OR(I278="Trabajo actualmente como empleado",I278="Trabajo de manera independiente"),_xlfn.LET(_xlpm.turno,MOD(COUNTIF($I$2:I278,I278)-1,5),_xlpm.nivel,VALUE(LEFT(M278,1)),IF(_xlpm.turno=4,"No estoy seguro/a",IF(_xlpm.turno&lt;IF(_xlpm.nivel&lt;=2,1,3),"Sí","No"))),"")</f>
        <v/>
      </c>
      <c r="P278" s="9" t="str">
        <f>_xlfn.LET(_xlpm.perfil,I278,_xlpm.turno,COUNTIF($I$2:I278,_xlpm.perfil)-1,_xlpm.busca,OR(_xlpm.perfil="Actualmente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trabajar"),IF(AND(_xlpm.trabaja,O278="No"),"Todavía no he iniciado una búsqueda activa",CHOOSE(MOD(_xlpm.turno*3,5)+1,"Menos de 1 mes","Entre 1 y 3 meses","Entre 4 y 6 meses","Más de 6 meses","Todavía no he iniciado una búsqueda activa")),"")))</f>
        <v>Más de 6 meses</v>
      </c>
      <c r="Q278" t="str">
        <f>IF(I278="Tengo un emprendimiento o quiero iniciar uno","",CHOOSE(MOD(INT((COUNTIF($I$2:I278,I278)-1)/7),3)+1,"Sí","No","Tengo una pero necesito actualizarla"))</f>
        <v>Tengo una pero necesito actualizarla</v>
      </c>
      <c r="R278" s="9" t="str">
        <f>IF(I278="Tengo un emprendimiento o quiero iniciar uno","",IF(I278="Busco mi primer empleo","No",IF(MOD(COUNTIF($I$2:I278,I278)-1,2)=0,"Sí","No")))</f>
        <v>No</v>
      </c>
      <c r="S278" t="str">
        <f>IF(I278="Tengo un emprendimiento o quiero iniciar uno","",CHOOSE(MOD(INT((COUNTIF($I$2:I278,I278)-1)/3),10)+1,"Portales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78" t="str">
        <f>IF(I278="Tengo un emprendimiento o quiero iniciar uno","",_xlfn.LET(_xlpm.opcion,MOD(INT((COUNTIF($I$2:I278,I278)-1)/4),6)+1,CHOOSE(IF(AND(_xlpm.opcion=3,Q278="Sí"),1,_xlpm.opcion),"Falta de experiencia","Falta de formación","Dificultades con la hoja de vida","Horarios disponibles","Transporte","Internet")))</f>
        <v>Horarios disponibles</v>
      </c>
      <c r="U278" s="9" t="str">
        <f>IF(I278="Tengo un emprendimiento o quiero iniciar uno","",IF(MOD(INT((COUNTIF($I$2:I278,I278)-1)/3),2)=0,"Sí","No"))</f>
        <v>Sí</v>
      </c>
      <c r="V278" s="9" t="str">
        <f>IF(I278="Tengo un emprendimiento o quiero iniciar uno",CHOOSE(MOD(COUNTIF($I$2:I278,I278)-1,3)+1,"Tengo un emprendimiento","Estoy iniciando un emprendimiento","Me interesa emprender"),"")</f>
        <v/>
      </c>
      <c r="W278" t="str">
        <f t="shared" si="77"/>
        <v/>
      </c>
      <c r="X278" s="9" t="str">
        <f>IF(I278="Tengo un emprendimiento o quiero iniciar uno",CHOOSE(MOD(COUNTIF($I$2:I278,I278)-1,5)+1,"Falta de financiación","Falta de conocimientos administrativos","Falta de conocimientos financieros","Falta de tiempo","Falta de herramientas"),"")</f>
        <v/>
      </c>
      <c r="Y278" s="9" t="str">
        <f t="shared" si="78"/>
        <v/>
      </c>
      <c r="Z278" t="str">
        <f>IF(I278="Tengo un emprendimiento o quiero iniciar uno",CHOOSE(INT(MOD((COUNTIF($I$2:I278,I278)-1)*7,39)/13)+1,"Sí","No","No conozco programas de ese tipo"),"")</f>
        <v/>
      </c>
      <c r="AA278" t="str">
        <f t="shared" si="79"/>
        <v>No puedo hacerlo</v>
      </c>
      <c r="AB278" t="str">
        <f t="shared" si="79"/>
        <v>No puedo hacerlo</v>
      </c>
      <c r="AC278" t="str">
        <f t="shared" si="80"/>
        <v>Puedo hacerlo con dificultad</v>
      </c>
      <c r="AD278" s="9" t="str">
        <f t="shared" si="81"/>
        <v>Puedo hacerlo con dificultad</v>
      </c>
      <c r="AE278" t="str">
        <f t="shared" si="82"/>
        <v>Puedo hacerlo con ayuda</v>
      </c>
      <c r="AF278" s="9" t="str">
        <f t="shared" si="83"/>
        <v>Herramientas digitales;Educación financiera</v>
      </c>
      <c r="AG278" s="9" t="str">
        <f t="shared" si="84"/>
        <v>Ninguna</v>
      </c>
      <c r="AH278" t="str">
        <f t="shared" si="85"/>
        <v>No conozco ninguno</v>
      </c>
      <c r="AI278" s="9" t="str">
        <f t="shared" si="86"/>
        <v>Virtual</v>
      </c>
      <c r="AJ278" s="9" t="str">
        <f t="shared" si="87"/>
        <v>Diurno</v>
      </c>
      <c r="AK278" s="9" t="str">
        <f t="shared" si="88"/>
        <v>Redes sociales</v>
      </c>
    </row>
    <row r="279" spans="1:37">
      <c r="A279" t="str">
        <f t="shared" si="89"/>
        <v>SG278</v>
      </c>
      <c r="B279" s="9" t="s">
        <v>419</v>
      </c>
      <c r="C279" s="9" t="s">
        <v>427</v>
      </c>
      <c r="D279" t="str">
        <f t="shared" si="72"/>
        <v>Masculino</v>
      </c>
      <c r="E279" t="str">
        <f t="shared" si="73"/>
        <v>De 22 a 24 años</v>
      </c>
      <c r="F279">
        <f t="shared" si="74"/>
        <v>23</v>
      </c>
      <c r="G279" s="9" t="s">
        <v>430</v>
      </c>
      <c r="H279" s="9" t="str">
        <f t="shared" si="75"/>
        <v>Bachiller</v>
      </c>
      <c r="I279" s="9" t="str">
        <f t="shared" si="76"/>
        <v>Trabajo actualmente como empleado</v>
      </c>
      <c r="J279" s="13" t="str">
        <f>IF(I279="Trabajo actualmente como empleado",IF(MOD((COUNTIF($I$2:I279,"Trabajo actualmente como empleado")-1)*37,150)&lt;100,"Empleado con contrato","Empleado sin contrato formal"),IF(I279="Trabajo de manera independiente","Trabajo independiente",""))</f>
        <v>Empleado con contrato</v>
      </c>
      <c r="K279" s="9" t="str">
        <f>IF(OR(I279="Trabajo actualmente como empleado",I279="Trabajo de manera independiente"),CHOOSE(MOD(COUNTIF($I$2:I279,I279)-1,4)+1,"Menos de 3 meses","De 3 a 6 meses","De 7 a 12 meses","Más de un año"),"")</f>
        <v>Más de un año</v>
      </c>
      <c r="L279" t="str">
        <f>IF(OR(I279="Trabajo actualmente como empleado",I279="Trabajo de manera independiente"),CHOOSE(MOD(COUNTIF($I$2:I279,I279)-1,3)+1,"Sí, completamente","Parcialmente","No"),"")</f>
        <v>Sí, completamente</v>
      </c>
      <c r="M279" t="str">
        <f>IF(OR(I279="Trabajo actualmente como empleado",I279="Trabajo de manera independiente"),CHOOSE(MOD(INT((COUNTIF($I$2:I279,I279)-1)/3),4)+1,"1- Muy satisfecho/a","2- Satisfecho/a","3- Insatisfecho/a","4- Muy insatisfecho/a"),"")</f>
        <v>2- Satisfecho/a</v>
      </c>
      <c r="N279" t="str">
        <f>IF(OR(I279="Trabajo actualmente como empleado",I279="Trabajo de manera independiente"),_xlfn.LET(_xlpm.opcion,MOD(INT((COUNTIF($I$2:I279,I279)-1)/5),6)+1,CHOOSE(IF(AND(_xlpm.opcion=6,L279="Sí, completamente"),5,_xlpm.opcion),"Salario","Estabilidad laboral","Horario","Acceso a prestaciones","Oportunidades de crecimiento","Trabajar en un área relacionada con mi formación")),"")</f>
        <v>Oportunidades de crecimiento</v>
      </c>
      <c r="O279" s="9" t="str">
        <f>IF(OR(I279="Trabajo actualmente como empleado",I279="Trabajo de manera independiente"),_xlfn.LET(_xlpm.turno,MOD(COUNTIF($I$2:I279,I279)-1,5),_xlpm.nivel,VALUE(LEFT(M279,1)),IF(_xlpm.turno=4,"No estoy seguro/a",IF(_xlpm.turno&lt;IF(_xlpm.nivel&lt;=2,1,3),"Sí","No"))),"")</f>
        <v>No</v>
      </c>
      <c r="P279" s="9" t="str">
        <f>_xlfn.LET(_xlpm.perfil,I279,_xlpm.turno,COUNTIF($I$2:I279,_xlpm.perfil)-1,_xlpm.busca,OR(_xlpm.perfil="Actualmente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trabajar"),IF(AND(_xlpm.trabaja,O279="No"),"Todavía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79" t="str">
        <f>IF(I279="Tengo un emprendimiento o quiero iniciar uno","",CHOOSE(MOD(INT((COUNTIF($I$2:I279,I279)-1)/7),3)+1,"Sí","No","Tengo una pero necesito actualizarla"))</f>
        <v>Sí</v>
      </c>
      <c r="R279" s="9" t="str">
        <f>IF(I279="Tengo un emprendimiento o quiero iniciar uno","",IF(I279="Busco mi primer empleo","No",IF(MOD(COUNTIF($I$2:I279,I279)-1,2)=0,"Sí","No")))</f>
        <v>No</v>
      </c>
      <c r="S279" t="str">
        <f>IF(I279="Tengo un emprendimiento o quiero iniciar uno","",CHOOSE(MOD(INT((COUNTIF($I$2:I279,I279)-1)/3),10)+1,"Portales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79" t="str">
        <f>IF(I279="Tengo un emprendimiento o quiero iniciar uno","",_xlfn.LET(_xlpm.opcion,MOD(INT((COUNTIF($I$2:I279,I279)-1)/4),6)+1,CHOOSE(IF(AND(_xlpm.opcion=3,Q279="Sí"),1,_xlpm.opcion),"Falta de experiencia","Falta de formación","Dificultades con la hoja de vida","Horarios disponibles","Transporte","Internet")))</f>
        <v>Horarios disponibles</v>
      </c>
      <c r="U279" s="9" t="str">
        <f>IF(I279="Tengo un emprendimiento o quiero iniciar uno","",IF(MOD(INT((COUNTIF($I$2:I279,I279)-1)/3),2)=0,"Sí","No"))</f>
        <v>No</v>
      </c>
      <c r="V279" s="9" t="str">
        <f>IF(I279="Tengo un emprendimiento o quiero iniciar uno",CHOOSE(MOD(COUNTIF($I$2:I279,I279)-1,3)+1,"Tengo un emprendimiento","Estoy iniciando un emprendimiento","Me interesa emprender"),"")</f>
        <v/>
      </c>
      <c r="W279" t="str">
        <f t="shared" si="77"/>
        <v/>
      </c>
      <c r="X279" s="9" t="str">
        <f>IF(I279="Tengo un emprendimiento o quiero iniciar uno",CHOOSE(MOD(COUNTIF($I$2:I279,I279)-1,5)+1,"Falta de financiación","Falta de conocimientos administrativos","Falta de conocimientos financieros","Falta de tiempo","Falta de herramientas"),"")</f>
        <v/>
      </c>
      <c r="Y279" s="9" t="str">
        <f t="shared" si="78"/>
        <v/>
      </c>
      <c r="Z279" t="str">
        <f>IF(I279="Tengo un emprendimiento o quiero iniciar uno",CHOOSE(INT(MOD((COUNTIF($I$2:I279,I279)-1)*7,39)/13)+1,"Sí","No","No conozco programas de ese tipo"),"")</f>
        <v/>
      </c>
      <c r="AA279" t="str">
        <f t="shared" si="79"/>
        <v>Puedo hacerlo con ayuda</v>
      </c>
      <c r="AB279" t="str">
        <f t="shared" si="79"/>
        <v>Puedo hacerlo con ayuda</v>
      </c>
      <c r="AC279" t="str">
        <f t="shared" si="80"/>
        <v>Puedo hacerlo sin ayuda</v>
      </c>
      <c r="AD279" s="9" t="str">
        <f t="shared" si="81"/>
        <v>Puedo hacerlo con dificultad</v>
      </c>
      <c r="AE279" t="str">
        <f t="shared" si="82"/>
        <v>Puedo hacerlo con dificultad</v>
      </c>
      <c r="AF279" s="9" t="str">
        <f t="shared" si="83"/>
        <v>Crear una hoja de vida</v>
      </c>
      <c r="AG279" s="9" t="str">
        <f t="shared" si="84"/>
        <v>Ninguna</v>
      </c>
      <c r="AH279" t="str">
        <f t="shared" si="85"/>
        <v>Oficina de orientación laboral</v>
      </c>
      <c r="AI279" s="9" t="str">
        <f t="shared" si="86"/>
        <v>Presencial y virtual</v>
      </c>
      <c r="AJ279" s="9" t="str">
        <f t="shared" si="87"/>
        <v>Nocturno</v>
      </c>
      <c r="AK279" s="9" t="str">
        <f t="shared" si="88"/>
        <v>Celular</v>
      </c>
    </row>
    <row r="280" spans="1:37">
      <c r="A280" t="str">
        <f t="shared" si="89"/>
        <v>SG279</v>
      </c>
      <c r="B280" s="9" t="s">
        <v>419</v>
      </c>
      <c r="C280" s="9" t="s">
        <v>427</v>
      </c>
      <c r="D280" t="str">
        <f t="shared" si="72"/>
        <v>Femenino</v>
      </c>
      <c r="E280" t="str">
        <f t="shared" si="73"/>
        <v>De 24 a 26 años</v>
      </c>
      <c r="F280">
        <f t="shared" si="74"/>
        <v>25</v>
      </c>
      <c r="G280" s="9" t="s">
        <v>430</v>
      </c>
      <c r="H280" s="9" t="str">
        <f t="shared" si="75"/>
        <v>Técnico</v>
      </c>
      <c r="I280" s="9" t="str">
        <f t="shared" si="76"/>
        <v>Trabajo de manera independiente</v>
      </c>
      <c r="J280" s="13" t="str">
        <f>IF(I280="Trabajo actualmente como empleado",IF(MOD((COUNTIF($I$2:I280,"Trabajo actualmente como empleado")-1)*37,150)&lt;100,"Empleado con contrato","Empleado sin contrato formal"),IF(I280="Trabajo de manera independiente","Trabajo independiente",""))</f>
        <v>Trabajo independiente</v>
      </c>
      <c r="K280" s="9" t="str">
        <f>IF(OR(I280="Trabajo actualmente como empleado",I280="Trabajo de manera independiente"),CHOOSE(MOD(COUNTIF($I$2:I280,I280)-1,4)+1,"Menos de 3 meses","De 3 a 6 meses","De 7 a 12 meses","Más de un año"),"")</f>
        <v>Más de un año</v>
      </c>
      <c r="L280" t="str">
        <f>IF(OR(I280="Trabajo actualmente como empleado",I280="Trabajo de manera independiente"),CHOOSE(MOD(COUNTIF($I$2:I280,I280)-1,3)+1,"Sí, completamente","Parcialmente","No"),"")</f>
        <v>No</v>
      </c>
      <c r="M280" t="str">
        <f>IF(OR(I280="Trabajo actualmente como empleado",I280="Trabajo de manera independiente"),CHOOSE(MOD(INT((COUNTIF($I$2:I280,I280)-1)/3),4)+1,"1- Muy satisfecho/a","2- Satisfecho/a","3- Insatisfecho/a","4- Muy insatisfecho/a"),"")</f>
        <v>4- Muy insatisfecho/a</v>
      </c>
      <c r="N280" t="str">
        <f>IF(OR(I280="Trabajo actualmente como empleado",I280="Trabajo de manera independiente"),_xlfn.LET(_xlpm.opcion,MOD(INT((COUNTIF($I$2:I280,I280)-1)/5),6)+1,CHOOSE(IF(AND(_xlpm.opcion=6,L280="Sí, completamente"),5,_xlpm.opcion),"Salario","Estabilidad laboral","Horario","Acceso a prestaciones","Oportunidades de crecimiento","Trabajar en un área relacionada con mi formación")),"")</f>
        <v>Acceso a prestaciones</v>
      </c>
      <c r="O280" s="9" t="str">
        <f>IF(OR(I280="Trabajo actualmente como empleado",I280="Trabajo de manera independiente"),_xlfn.LET(_xlpm.turno,MOD(COUNTIF($I$2:I280,I280)-1,5),_xlpm.nivel,VALUE(LEFT(M280,1)),IF(_xlpm.turno=4,"No estoy seguro/a",IF(_xlpm.turno&lt;IF(_xlpm.nivel&lt;=2,1,3),"Sí","No"))),"")</f>
        <v>Sí</v>
      </c>
      <c r="P280" s="9" t="str">
        <f>_xlfn.LET(_xlpm.perfil,I280,_xlpm.turno,COUNTIF($I$2:I280,_xlpm.perfil)-1,_xlpm.busca,OR(_xlpm.perfil="Actualmente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trabajar"),IF(AND(_xlpm.trabaja,O280="No"),"Todavía no he iniciado una búsqueda activa",CHOOSE(MOD(_xlpm.turno*3,5)+1,"Menos de 1 mes","Entre 1 y 3 meses","Entre 4 y 6 meses","Más de 6 meses","Todavía no he iniciado una búsqueda activa")),"")))</f>
        <v>Entre 1 y 3 meses</v>
      </c>
      <c r="Q280" t="str">
        <f>IF(I280="Tengo un emprendimiento o quiero iniciar uno","",CHOOSE(MOD(INT((COUNTIF($I$2:I280,I280)-1)/7),3)+1,"Sí","No","Tengo una pero necesito actualizarla"))</f>
        <v>Sí</v>
      </c>
      <c r="R280" s="9" t="str">
        <f>IF(I280="Tengo un emprendimiento o quiero iniciar uno","",IF(I280="Busco mi primer empleo","No",IF(MOD(COUNTIF($I$2:I280,I280)-1,2)=0,"Sí","No")))</f>
        <v>No</v>
      </c>
      <c r="S280" t="str">
        <f>IF(I280="Tengo un emprendimiento o quiero iniciar uno","",CHOOSE(MOD(INT((COUNTIF($I$2:I280,I280)-1)/3),10)+1,"Portales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280" t="str">
        <f>IF(I280="Tengo un emprendimiento o quiero iniciar uno","",_xlfn.LET(_xlpm.opcion,MOD(INT((COUNTIF($I$2:I280,I280)-1)/4),6)+1,CHOOSE(IF(AND(_xlpm.opcion=3,Q280="Sí"),1,_xlpm.opcion),"Falta de experiencia","Falta de formación","Dificultades con la hoja de vida","Horarios disponibles","Transporte","Internet")))</f>
        <v>Internet</v>
      </c>
      <c r="U280" s="9" t="str">
        <f>IF(I280="Tengo un emprendimiento o quiero iniciar uno","",IF(MOD(INT((COUNTIF($I$2:I280,I280)-1)/3),2)=0,"Sí","No"))</f>
        <v>No</v>
      </c>
      <c r="V280" s="9" t="str">
        <f>IF(I280="Tengo un emprendimiento o quiero iniciar uno",CHOOSE(MOD(COUNTIF($I$2:I280,I280)-1,3)+1,"Tengo un emprendimiento","Estoy iniciando un emprendimiento","Me interesa emprender"),"")</f>
        <v/>
      </c>
      <c r="W280" t="str">
        <f t="shared" si="77"/>
        <v/>
      </c>
      <c r="X280" s="9" t="str">
        <f>IF(I280="Tengo un emprendimiento o quiero iniciar uno",CHOOSE(MOD(COUNTIF($I$2:I280,I280)-1,5)+1,"Falta de financiación","Falta de conocimientos administrativos","Falta de conocimientos financieros","Falta de tiempo","Falta de herramientas"),"")</f>
        <v/>
      </c>
      <c r="Y280" s="9" t="str">
        <f t="shared" si="78"/>
        <v/>
      </c>
      <c r="Z280" t="str">
        <f>IF(I280="Tengo un emprendimiento o quiero iniciar uno",CHOOSE(INT(MOD((COUNTIF($I$2:I280,I280)-1)*7,39)/13)+1,"Sí","No","No conozco programas de ese tipo"),"")</f>
        <v/>
      </c>
      <c r="AA280" t="str">
        <f t="shared" si="79"/>
        <v>Puedo hacerlo sin ayuda</v>
      </c>
      <c r="AB280" t="str">
        <f t="shared" si="79"/>
        <v>Puedo hacerlo sin ayuda</v>
      </c>
      <c r="AC280" t="str">
        <f t="shared" si="80"/>
        <v>Puedo hacerlo con ayuda</v>
      </c>
      <c r="AD280" s="9" t="str">
        <f t="shared" si="81"/>
        <v>Puedo hacerlo sin ayuda</v>
      </c>
      <c r="AE280" t="str">
        <f t="shared" si="82"/>
        <v>Puedo hacerlo con dificultad</v>
      </c>
      <c r="AF280" s="9" t="str">
        <f t="shared" si="83"/>
        <v>Preparación para entrevista</v>
      </c>
      <c r="AG280" s="9" t="str">
        <f t="shared" si="84"/>
        <v>Ninguna</v>
      </c>
      <c r="AH280" t="str">
        <f t="shared" si="85"/>
        <v>Programas de emprendimiento</v>
      </c>
      <c r="AI280" s="9" t="str">
        <f t="shared" si="86"/>
        <v>Me es indiferente</v>
      </c>
      <c r="AJ280" s="9" t="str">
        <f t="shared" si="87"/>
        <v>Fines de semana</v>
      </c>
      <c r="AK280" s="9" t="str">
        <f t="shared" si="88"/>
        <v>Correo electrónico</v>
      </c>
    </row>
    <row r="281" spans="1:37">
      <c r="A281" t="str">
        <f t="shared" si="89"/>
        <v>SG280</v>
      </c>
      <c r="B281" s="9" t="s">
        <v>419</v>
      </c>
      <c r="C281" s="9" t="s">
        <v>427</v>
      </c>
      <c r="D281" t="str">
        <f t="shared" si="72"/>
        <v>Femenino</v>
      </c>
      <c r="E281" t="str">
        <f t="shared" si="73"/>
        <v>De 26 a 28 años</v>
      </c>
      <c r="F281">
        <f t="shared" si="74"/>
        <v>27</v>
      </c>
      <c r="G281" s="9" t="s">
        <v>430</v>
      </c>
      <c r="H281" s="9" t="str">
        <f t="shared" si="75"/>
        <v>Tecnólogo</v>
      </c>
      <c r="I281" s="9" t="str">
        <f t="shared" si="76"/>
        <v>Busco mi primer empleo</v>
      </c>
      <c r="J281" s="13" t="str">
        <f>IF(I281="Trabajo actualmente como empleado",IF(MOD((COUNTIF($I$2:I281,"Trabajo actualmente como empleado")-1)*37,150)&lt;100,"Empleado con contrato","Empleado sin contrato formal"),IF(I281="Trabajo de manera independiente","Trabajo independiente",""))</f>
        <v/>
      </c>
      <c r="K281" s="9" t="str">
        <f>IF(OR(I281="Trabajo actualmente como empleado",I281="Trabajo de manera independiente"),CHOOSE(MOD(COUNTIF($I$2:I281,I281)-1,4)+1,"Menos de 3 meses","De 3 a 6 meses","De 7 a 12 meses","Más de un año"),"")</f>
        <v/>
      </c>
      <c r="L281" t="str">
        <f>IF(OR(I281="Trabajo actualmente como empleado",I281="Trabajo de manera independiente"),CHOOSE(MOD(COUNTIF($I$2:I281,I281)-1,3)+1,"Sí, completamente","Parcialmente","No"),"")</f>
        <v/>
      </c>
      <c r="M281" t="str">
        <f>IF(OR(I281="Trabajo actualmente como empleado",I281="Trabajo de manera independiente"),CHOOSE(MOD(INT((COUNTIF($I$2:I281,I281)-1)/3),4)+1,"1- Muy satisfecho/a","2- Satisfecho/a","3- Insatisfecho/a","4- Muy insatisfecho/a"),"")</f>
        <v/>
      </c>
      <c r="N281" t="str">
        <f>IF(OR(I281="Trabajo actualmente como empleado",I281="Trabajo de manera independiente"),_xlfn.LET(_xlpm.opcion,MOD(INT((COUNTIF($I$2:I281,I281)-1)/5),6)+1,CHOOSE(IF(AND(_xlpm.opcion=6,L281="Sí, completamente"),5,_xlpm.opcion),"Salario","Estabilidad laboral","Horario","Acceso a prestaciones","Oportunidades de crecimiento","Trabajar en un área relacionada con mi formación")),"")</f>
        <v/>
      </c>
      <c r="O281" s="9" t="str">
        <f>IF(OR(I281="Trabajo actualmente como empleado",I281="Trabajo de manera independiente"),_xlfn.LET(_xlpm.turno,MOD(COUNTIF($I$2:I281,I281)-1,5),_xlpm.nivel,VALUE(LEFT(M281,1)),IF(_xlpm.turno=4,"No estoy seguro/a",IF(_xlpm.turno&lt;IF(_xlpm.nivel&lt;=2,1,3),"Sí","No"))),"")</f>
        <v/>
      </c>
      <c r="P281" s="9" t="str">
        <f>_xlfn.LET(_xlpm.perfil,I281,_xlpm.turno,COUNTIF($I$2:I281,_xlpm.perfil)-1,_xlpm.busca,OR(_xlpm.perfil="Actualmente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trabajar"),IF(AND(_xlpm.trabaja,O281="No"),"Todavía no he iniciado una búsqueda activa",CHOOSE(MOD(_xlpm.turno*3,5)+1,"Menos de 1 mes","Entre 1 y 3 meses","Entre 4 y 6 meses","Más de 6 meses","Todavía no he iniciado una búsqueda activa")),"")))</f>
        <v>Entre 4 y 6 meses</v>
      </c>
      <c r="Q281" t="str">
        <f>IF(I281="Tengo un emprendimiento o quiero iniciar uno","",CHOOSE(MOD(INT((COUNTIF($I$2:I281,I281)-1)/7),3)+1,"Sí","No","Tengo una pero necesito actualizarla"))</f>
        <v>Tengo una pero necesito actualizarla</v>
      </c>
      <c r="R281" s="9" t="str">
        <f>IF(I281="Tengo un emprendimiento o quiero iniciar uno","",IF(I281="Busco mi primer empleo","No",IF(MOD(COUNTIF($I$2:I281,I281)-1,2)=0,"Sí","No")))</f>
        <v>No</v>
      </c>
      <c r="S281" t="str">
        <f>IF(I281="Tengo un emprendimiento o quiero iniciar uno","",CHOOSE(MOD(INT((COUNTIF($I$2:I281,I281)-1)/3),10)+1,"Portales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281" t="str">
        <f>IF(I281="Tengo un emprendimiento o quiero iniciar uno","",_xlfn.LET(_xlpm.opcion,MOD(INT((COUNTIF($I$2:I281,I281)-1)/4),6)+1,CHOOSE(IF(AND(_xlpm.opcion=3,Q281="Sí"),1,_xlpm.opcion),"Falta de experiencia","Falta de formación","Dificultades con la hoja de vida","Horarios disponibles","Transporte","Internet")))</f>
        <v>Horarios disponibles</v>
      </c>
      <c r="U281" s="9" t="str">
        <f>IF(I281="Tengo un emprendimiento o quiero iniciar uno","",IF(MOD(INT((COUNTIF($I$2:I281,I281)-1)/3),2)=0,"Sí","No"))</f>
        <v>Sí</v>
      </c>
      <c r="V281" s="9" t="str">
        <f>IF(I281="Tengo un emprendimiento o quiero iniciar uno",CHOOSE(MOD(COUNTIF($I$2:I281,I281)-1,3)+1,"Tengo un emprendimiento","Estoy iniciando un emprendimiento","Me interesa emprender"),"")</f>
        <v/>
      </c>
      <c r="W281" t="str">
        <f t="shared" si="77"/>
        <v/>
      </c>
      <c r="X281" s="9" t="str">
        <f>IF(I281="Tengo un emprendimiento o quiero iniciar uno",CHOOSE(MOD(COUNTIF($I$2:I281,I281)-1,5)+1,"Falta de financiación","Falta de conocimientos administrativos","Falta de conocimientos financieros","Falta de tiempo","Falta de herramientas"),"")</f>
        <v/>
      </c>
      <c r="Y281" s="9" t="str">
        <f t="shared" si="78"/>
        <v/>
      </c>
      <c r="Z281" t="str">
        <f>IF(I281="Tengo un emprendimiento o quiero iniciar uno",CHOOSE(INT(MOD((COUNTIF($I$2:I281,I281)-1)*7,39)/13)+1,"Sí","No","No conozco programas de ese tipo"),"")</f>
        <v/>
      </c>
      <c r="AA281" t="str">
        <f t="shared" si="79"/>
        <v>Puedo hacerlo con ayuda</v>
      </c>
      <c r="AB281" t="str">
        <f t="shared" si="79"/>
        <v>Puedo hacerlo con ayuda</v>
      </c>
      <c r="AC281" t="str">
        <f t="shared" si="80"/>
        <v>Puedo hacerlo con dificultad</v>
      </c>
      <c r="AD281" s="9" t="str">
        <f t="shared" si="81"/>
        <v>No puedo hacerlo</v>
      </c>
      <c r="AE281" t="str">
        <f t="shared" si="82"/>
        <v>Puedo hacerlo sin ayuda</v>
      </c>
      <c r="AF281" s="9" t="str">
        <f t="shared" si="83"/>
        <v>Comunicación</v>
      </c>
      <c r="AG281" s="9" t="str">
        <f t="shared" si="84"/>
        <v>Falta de experiencia</v>
      </c>
      <c r="AH281" t="str">
        <f t="shared" si="85"/>
        <v>Oficina de orientación laboral</v>
      </c>
      <c r="AI281" s="9" t="str">
        <f t="shared" si="86"/>
        <v>Presencial</v>
      </c>
      <c r="AJ281" s="9" t="str">
        <f t="shared" si="87"/>
        <v>Diurno</v>
      </c>
      <c r="AK281" s="9" t="str">
        <f t="shared" si="88"/>
        <v>Redes sociales</v>
      </c>
    </row>
    <row r="282" spans="1:37">
      <c r="A282" t="str">
        <f t="shared" si="89"/>
        <v>SG281</v>
      </c>
      <c r="B282" s="9" t="s">
        <v>419</v>
      </c>
      <c r="C282" s="9" t="s">
        <v>427</v>
      </c>
      <c r="D282" t="str">
        <f t="shared" si="72"/>
        <v>Masculino</v>
      </c>
      <c r="E282" t="str">
        <f t="shared" si="73"/>
        <v>De 18 a 20 años</v>
      </c>
      <c r="F282">
        <f t="shared" si="74"/>
        <v>18</v>
      </c>
      <c r="G282" s="9" t="s">
        <v>430</v>
      </c>
      <c r="H282" s="9" t="str">
        <f t="shared" si="75"/>
        <v>Bachiller</v>
      </c>
      <c r="I282" s="9" t="str">
        <f t="shared" si="76"/>
        <v>Trabajo actualmente como empleado</v>
      </c>
      <c r="J282" s="13" t="str">
        <f>IF(I282="Trabajo actualmente como empleado",IF(MOD((COUNTIF($I$2:I282,"Trabajo actualmente como empleado")-1)*37,150)&lt;100,"Empleado con contrato","Empleado sin contrato formal"),IF(I282="Trabajo de manera independiente","Trabajo independiente",""))</f>
        <v>Empleado sin contrato formal</v>
      </c>
      <c r="K282" s="9" t="str">
        <f>IF(OR(I282="Trabajo actualmente como empleado",I282="Trabajo de manera independiente"),CHOOSE(MOD(COUNTIF($I$2:I282,I282)-1,4)+1,"Menos de 3 meses","De 3 a 6 meses","De 7 a 12 meses","Más de un año"),"")</f>
        <v>Menos de 3 meses</v>
      </c>
      <c r="L282" t="str">
        <f>IF(OR(I282="Trabajo actualmente como empleado",I282="Trabajo de manera independiente"),CHOOSE(MOD(COUNTIF($I$2:I282,I282)-1,3)+1,"Sí, completamente","Parcialmente","No"),"")</f>
        <v>Parcialmente</v>
      </c>
      <c r="M282" t="str">
        <f>IF(OR(I282="Trabajo actualmente como empleado",I282="Trabajo de manera independiente"),CHOOSE(MOD(INT((COUNTIF($I$2:I282,I282)-1)/3),4)+1,"1- Muy satisfecho/a","2- Satisfecho/a","3- Insatisfecho/a","4- Muy insatisfecho/a"),"")</f>
        <v>2- Satisfecho/a</v>
      </c>
      <c r="N282" t="str">
        <f>IF(OR(I282="Trabajo actualmente como empleado",I282="Trabajo de manera independiente"),_xlfn.LET(_xlpm.opcion,MOD(INT((COUNTIF($I$2:I282,I282)-1)/5),6)+1,CHOOSE(IF(AND(_xlpm.opcion=6,L282="Sí,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282" s="9" t="str">
        <f>IF(OR(I282="Trabajo actualmente como empleado",I282="Trabajo de manera independiente"),_xlfn.LET(_xlpm.turno,MOD(COUNTIF($I$2:I282,I282)-1,5),_xlpm.nivel,VALUE(LEFT(M282,1)),IF(_xlpm.turno=4,"No estoy seguro/a",IF(_xlpm.turno&lt;IF(_xlpm.nivel&lt;=2,1,3),"Sí","No"))),"")</f>
        <v>No</v>
      </c>
      <c r="P282" s="9" t="str">
        <f>_xlfn.LET(_xlpm.perfil,I282,_xlpm.turno,COUNTIF($I$2:I282,_xlpm.perfil)-1,_xlpm.busca,OR(_xlpm.perfil="Actualmente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82" t="str">
        <f>IF(I282="Tengo un emprendimiento o quiero iniciar uno","",CHOOSE(MOD(INT((COUNTIF($I$2:I282,I282)-1)/7),3)+1,"Sí","No","Tengo una pero necesito actualizarla"))</f>
        <v>Sí</v>
      </c>
      <c r="R282" s="9" t="str">
        <f>IF(I282="Tengo un emprendimiento o quiero iniciar uno","",IF(I282="Busco mi primer empleo","No",IF(MOD(COUNTIF($I$2:I282,I282)-1,2)=0,"Sí","No")))</f>
        <v>Sí</v>
      </c>
      <c r="S282" t="str">
        <f>IF(I282="Tengo un emprendimiento o quiero iniciar uno","",CHOOSE(MOD(INT((COUNTIF($I$2:I282,I282)-1)/3),10)+1,"Portales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82" t="str">
        <f>IF(I282="Tengo un emprendimiento o quiero iniciar uno","",_xlfn.LET(_xlpm.opcion,MOD(INT((COUNTIF($I$2:I282,I282)-1)/4),6)+1,CHOOSE(IF(AND(_xlpm.opcion=3,Q282="Sí"),1,_xlpm.opcion),"Falta de experiencia","Falta de formación","Dificultades con la hoja de vida","Horarios disponibles","Transporte","Internet")))</f>
        <v>Transporte</v>
      </c>
      <c r="U282" s="9" t="str">
        <f>IF(I282="Tengo un emprendimiento o quiero iniciar uno","",IF(MOD(INT((COUNTIF($I$2:I282,I282)-1)/3),2)=0,"Sí","No"))</f>
        <v>No</v>
      </c>
      <c r="V282" s="9" t="str">
        <f>IF(I282="Tengo un emprendimiento o quiero iniciar uno",CHOOSE(MOD(COUNTIF($I$2:I282,I282)-1,3)+1,"Tengo un emprendimiento","Estoy iniciando un emprendimiento","Me interesa emprender"),"")</f>
        <v/>
      </c>
      <c r="W282" t="str">
        <f t="shared" si="77"/>
        <v/>
      </c>
      <c r="X282" s="9" t="str">
        <f>IF(I282="Tengo un emprendimiento o quiero iniciar uno",CHOOSE(MOD(COUNTIF($I$2:I282,I282)-1,5)+1,"Falta de financiación","Falta de conocimientos administrativos","Falta de conocimientos financieros","Falta de tiempo","Falta de herramientas"),"")</f>
        <v/>
      </c>
      <c r="Y282" s="9" t="str">
        <f t="shared" si="78"/>
        <v/>
      </c>
      <c r="Z282" t="str">
        <f>IF(I282="Tengo un emprendimiento o quiero iniciar uno",CHOOSE(INT(MOD((COUNTIF($I$2:I282,I282)-1)*7,39)/13)+1,"Sí","No","No conozco programas de ese tipo"),"")</f>
        <v/>
      </c>
      <c r="AA282" t="str">
        <f t="shared" si="79"/>
        <v>Puedo hacerlo con dificultad</v>
      </c>
      <c r="AB282" t="str">
        <f t="shared" si="79"/>
        <v>Puedo hacerlo con dificultad</v>
      </c>
      <c r="AC282" t="str">
        <f t="shared" si="80"/>
        <v>Puedo hacerlo sin ayuda</v>
      </c>
      <c r="AD282" s="9" t="str">
        <f t="shared" si="81"/>
        <v>Puedo hacerlo con ayuda</v>
      </c>
      <c r="AE282" t="str">
        <f t="shared" si="82"/>
        <v>No puedo hacerlo</v>
      </c>
      <c r="AF282" s="9" t="str">
        <f t="shared" si="83"/>
        <v>Liderazgo</v>
      </c>
      <c r="AG282" s="9" t="str">
        <f t="shared" si="84"/>
        <v>Falta de experiencia</v>
      </c>
      <c r="AH282" t="str">
        <f t="shared" si="85"/>
        <v>Ferias de empleo</v>
      </c>
      <c r="AI282" s="9" t="str">
        <f t="shared" si="86"/>
        <v>Virtual</v>
      </c>
      <c r="AJ282" s="9" t="str">
        <f t="shared" si="87"/>
        <v>Nocturno</v>
      </c>
      <c r="AK282" s="9" t="str">
        <f t="shared" si="88"/>
        <v>WhatsApp</v>
      </c>
    </row>
    <row r="283" spans="1:37">
      <c r="A283" t="str">
        <f t="shared" si="89"/>
        <v>SG282</v>
      </c>
      <c r="B283" s="9" t="s">
        <v>419</v>
      </c>
      <c r="C283" s="9" t="s">
        <v>427</v>
      </c>
      <c r="D283" t="str">
        <f t="shared" si="72"/>
        <v>Masculino</v>
      </c>
      <c r="E283" t="str">
        <f t="shared" si="73"/>
        <v>De 20 a 22 años</v>
      </c>
      <c r="F283">
        <f t="shared" si="74"/>
        <v>20</v>
      </c>
      <c r="G283" s="9" t="s">
        <v>430</v>
      </c>
      <c r="H283" s="9" t="str">
        <f t="shared" si="75"/>
        <v>Técnico</v>
      </c>
      <c r="I283" s="9" t="str">
        <f t="shared" si="76"/>
        <v>Actualmente no trabajo y estoy buscando empleo</v>
      </c>
      <c r="J283" s="13" t="str">
        <f>IF(I283="Trabajo actualmente como empleado",IF(MOD((COUNTIF($I$2:I283,"Trabajo actualmente como empleado")-1)*37,150)&lt;100,"Empleado con contrato","Empleado sin contrato formal"),IF(I283="Trabajo de manera independiente","Trabajo independiente",""))</f>
        <v/>
      </c>
      <c r="K283" s="9" t="str">
        <f>IF(OR(I283="Trabajo actualmente como empleado",I283="Trabajo de manera independiente"),CHOOSE(MOD(COUNTIF($I$2:I283,I283)-1,4)+1,"Menos de 3 meses","De 3 a 6 meses","De 7 a 12 meses","Más de un año"),"")</f>
        <v/>
      </c>
      <c r="L283" t="str">
        <f>IF(OR(I283="Trabajo actualmente como empleado",I283="Trabajo de manera independiente"),CHOOSE(MOD(COUNTIF($I$2:I283,I283)-1,3)+1,"Sí, completamente","Parcialmente","No"),"")</f>
        <v/>
      </c>
      <c r="M283" t="str">
        <f>IF(OR(I283="Trabajo actualmente como empleado",I283="Trabajo de manera independiente"),CHOOSE(MOD(INT((COUNTIF($I$2:I283,I283)-1)/3),4)+1,"1- Muy satisfecho/a","2- Satisfecho/a","3- Insatisfecho/a","4- Muy insatisfecho/a"),"")</f>
        <v/>
      </c>
      <c r="N283" t="str">
        <f>IF(OR(I283="Trabajo actualmente como empleado",I283="Trabajo de manera independiente"),_xlfn.LET(_xlpm.opcion,MOD(INT((COUNTIF($I$2:I283,I283)-1)/5),6)+1,CHOOSE(IF(AND(_xlpm.opcion=6,L283="Sí, completamente"),5,_xlpm.opcion),"Salario","Estabilidad laboral","Horario","Acceso a prestaciones","Oportunidades de crecimiento","Trabajar en un área relacionada con mi formación")),"")</f>
        <v/>
      </c>
      <c r="O283" s="9" t="str">
        <f>IF(OR(I283="Trabajo actualmente como empleado",I283="Trabajo de manera independiente"),_xlfn.LET(_xlpm.turno,MOD(COUNTIF($I$2:I283,I283)-1,5),_xlpm.nivel,VALUE(LEFT(M283,1)),IF(_xlpm.turno=4,"No estoy seguro/a",IF(_xlpm.turno&lt;IF(_xlpm.nivel&lt;=2,1,3),"Sí","No"))),"")</f>
        <v/>
      </c>
      <c r="P283" s="9" t="str">
        <f>_xlfn.LET(_xlpm.perfil,I283,_xlpm.turno,COUNTIF($I$2:I283,_xlpm.perfil)-1,_xlpm.busca,OR(_xlpm.perfil="Actualmente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trabajar"),IF(AND(_xlpm.trabaja,O283="No"),"Todavía no he iniciado una búsqueda activa",CHOOSE(MOD(_xlpm.turno*3,5)+1,"Menos de 1 mes","Entre 1 y 3 meses","Entre 4 y 6 meses","Más de 6 meses","Todavía no he iniciado una búsqueda activa")),"")))</f>
        <v>Entre 4 y 6 meses</v>
      </c>
      <c r="Q283" t="str">
        <f>IF(I283="Tengo un emprendimiento o quiero iniciar uno","",CHOOSE(MOD(INT((COUNTIF($I$2:I283,I283)-1)/7),3)+1,"Sí","No","Tengo una pero necesito actualizarla"))</f>
        <v>No</v>
      </c>
      <c r="R283" s="9" t="str">
        <f>IF(I283="Tengo un emprendimiento o quiero iniciar uno","",IF(I283="Busco mi primer empleo","No",IF(MOD(COUNTIF($I$2:I283,I283)-1,2)=0,"Sí","No")))</f>
        <v>Sí</v>
      </c>
      <c r="S283" t="str">
        <f>IF(I283="Tengo un emprendimiento o quiero iniciar uno","",CHOOSE(MOD(INT((COUNTIF($I$2:I283,I283)-1)/3),10)+1,"Portales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83" t="str">
        <f>IF(I283="Tengo un emprendimiento o quiero iniciar uno","",_xlfn.LET(_xlpm.opcion,MOD(INT((COUNTIF($I$2:I283,I283)-1)/4),6)+1,CHOOSE(IF(AND(_xlpm.opcion=3,Q283="Sí"),1,_xlpm.opcion),"Falta de experiencia","Falta de formación","Dificultades con la hoja de vida","Horarios disponibles","Transporte","Internet")))</f>
        <v>Falta de experiencia</v>
      </c>
      <c r="U283" s="9" t="str">
        <f>IF(I283="Tengo un emprendimiento o quiero iniciar uno","",IF(MOD(INT((COUNTIF($I$2:I283,I283)-1)/3),2)=0,"Sí","No"))</f>
        <v>Sí</v>
      </c>
      <c r="V283" s="9" t="str">
        <f>IF(I283="Tengo un emprendimiento o quiero iniciar uno",CHOOSE(MOD(COUNTIF($I$2:I283,I283)-1,3)+1,"Tengo un emprendimiento","Estoy iniciando un emprendimiento","Me interesa emprender"),"")</f>
        <v/>
      </c>
      <c r="W283" t="str">
        <f t="shared" si="77"/>
        <v/>
      </c>
      <c r="X283" s="9" t="str">
        <f>IF(I283="Tengo un emprendimiento o quiero iniciar uno",CHOOSE(MOD(COUNTIF($I$2:I283,I283)-1,5)+1,"Falta de financiación","Falta de conocimientos administrativos","Falta de conocimientos financieros","Falta de tiempo","Falta de herramientas"),"")</f>
        <v/>
      </c>
      <c r="Y283" s="9" t="str">
        <f t="shared" si="78"/>
        <v/>
      </c>
      <c r="Z283" t="str">
        <f>IF(I283="Tengo un emprendimiento o quiero iniciar uno",CHOOSE(INT(MOD((COUNTIF($I$2:I283,I283)-1)*7,39)/13)+1,"Sí","No","No conozco programas de ese tipo"),"")</f>
        <v/>
      </c>
      <c r="AA283" t="str">
        <f t="shared" si="79"/>
        <v>No puedo hacerlo</v>
      </c>
      <c r="AB283" t="str">
        <f t="shared" si="79"/>
        <v>No puedo hacerlo</v>
      </c>
      <c r="AC283" t="str">
        <f t="shared" si="80"/>
        <v>Puedo hacerlo con ayuda</v>
      </c>
      <c r="AD283" s="9" t="str">
        <f t="shared" si="81"/>
        <v>Puedo hacerlo con ayuda</v>
      </c>
      <c r="AE283" t="str">
        <f t="shared" si="82"/>
        <v>No puedo hacerlo</v>
      </c>
      <c r="AF283" s="9" t="str">
        <f t="shared" si="83"/>
        <v>Emprendimiento</v>
      </c>
      <c r="AG283" s="9" t="str">
        <f t="shared" si="84"/>
        <v>Falta de experiencia</v>
      </c>
      <c r="AH283" t="str">
        <f t="shared" si="85"/>
        <v>No conozco ninguno</v>
      </c>
      <c r="AI283" s="9" t="str">
        <f t="shared" si="86"/>
        <v>Presencial y virtual</v>
      </c>
      <c r="AJ283" s="9" t="str">
        <f t="shared" si="87"/>
        <v>Fines de semana</v>
      </c>
      <c r="AK283" s="9" t="str">
        <f t="shared" si="88"/>
        <v>Correo electrónico</v>
      </c>
    </row>
    <row r="284" spans="1:37">
      <c r="A284" t="str">
        <f t="shared" si="89"/>
        <v>SG283</v>
      </c>
      <c r="B284" s="9" t="s">
        <v>419</v>
      </c>
      <c r="C284" s="9" t="s">
        <v>427</v>
      </c>
      <c r="D284" t="str">
        <f t="shared" si="72"/>
        <v>Femenino</v>
      </c>
      <c r="E284" t="str">
        <f t="shared" si="73"/>
        <v>De 22 a 24 años</v>
      </c>
      <c r="F284">
        <f t="shared" si="74"/>
        <v>22</v>
      </c>
      <c r="G284" s="9" t="s">
        <v>430</v>
      </c>
      <c r="H284" s="9" t="str">
        <f t="shared" si="75"/>
        <v>Tecnólogo</v>
      </c>
      <c r="I284" s="9" t="str">
        <f t="shared" si="76"/>
        <v>Estudio y quiero comenzar a trabajar</v>
      </c>
      <c r="J284" s="13" t="str">
        <f>IF(I284="Trabajo actualmente como empleado",IF(MOD((COUNTIF($I$2:I284,"Trabajo actualmente como empleado")-1)*37,150)&lt;100,"Empleado con contrato","Empleado sin contrato formal"),IF(I284="Trabajo de manera independiente","Trabajo independiente",""))</f>
        <v/>
      </c>
      <c r="K284" s="9" t="str">
        <f>IF(OR(I284="Trabajo actualmente como empleado",I284="Trabajo de manera independiente"),CHOOSE(MOD(COUNTIF($I$2:I284,I284)-1,4)+1,"Menos de 3 meses","De 3 a 6 meses","De 7 a 12 meses","Más de un año"),"")</f>
        <v/>
      </c>
      <c r="L284" t="str">
        <f>IF(OR(I284="Trabajo actualmente como empleado",I284="Trabajo de manera independiente"),CHOOSE(MOD(COUNTIF($I$2:I284,I284)-1,3)+1,"Sí, completamente","Parcialmente","No"),"")</f>
        <v/>
      </c>
      <c r="M284" t="str">
        <f>IF(OR(I284="Trabajo actualmente como empleado",I284="Trabajo de manera independiente"),CHOOSE(MOD(INT((COUNTIF($I$2:I284,I284)-1)/3),4)+1,"1- Muy satisfecho/a","2- Satisfecho/a","3- Insatisfecho/a","4- Muy insatisfecho/a"),"")</f>
        <v/>
      </c>
      <c r="N284" t="str">
        <f>IF(OR(I284="Trabajo actualmente como empleado",I284="Trabajo de manera independiente"),_xlfn.LET(_xlpm.opcion,MOD(INT((COUNTIF($I$2:I284,I284)-1)/5),6)+1,CHOOSE(IF(AND(_xlpm.opcion=6,L284="Sí, completamente"),5,_xlpm.opcion),"Salario","Estabilidad laboral","Horario","Acceso a prestaciones","Oportunidades de crecimiento","Trabajar en un área relacionada con mi formación")),"")</f>
        <v/>
      </c>
      <c r="O284" s="9" t="str">
        <f>IF(OR(I284="Trabajo actualmente como empleado",I284="Trabajo de manera independiente"),_xlfn.LET(_xlpm.turno,MOD(COUNTIF($I$2:I284,I284)-1,5),_xlpm.nivel,VALUE(LEFT(M284,1)),IF(_xlpm.turno=4,"No estoy seguro/a",IF(_xlpm.turno&lt;IF(_xlpm.nivel&lt;=2,1,3),"Sí","No"))),"")</f>
        <v/>
      </c>
      <c r="P284" s="9" t="str">
        <f>_xlfn.LET(_xlpm.perfil,I284,_xlpm.turno,COUNTIF($I$2:I284,_xlpm.perfil)-1,_xlpm.busca,OR(_xlpm.perfil="Actualmente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trabajar"),IF(AND(_xlpm.trabaja,O284="No"),"Todavía no he iniciado una búsqueda activa",CHOOSE(MOD(_xlpm.turno*3,5)+1,"Menos de 1 mes","Entre 1 y 3 meses","Entre 4 y 6 meses","Más de 6 meses","Todavía no he iniciado una búsqueda activa")),"")))</f>
        <v>Entre 1 y 3 meses</v>
      </c>
      <c r="Q284" t="str">
        <f>IF(I284="Tengo un emprendimiento o quiero iniciar uno","",CHOOSE(MOD(INT((COUNTIF($I$2:I284,I284)-1)/7),3)+1,"Sí","No","Tengo una pero necesito actualizarla"))</f>
        <v>No</v>
      </c>
      <c r="R284" s="9" t="str">
        <f>IF(I284="Tengo un emprendimiento o quiero iniciar uno","",IF(I284="Busco mi primer empleo","No",IF(MOD(COUNTIF($I$2:I284,I284)-1,2)=0,"Sí","No")))</f>
        <v>Sí</v>
      </c>
      <c r="S284" t="str">
        <f>IF(I284="Tengo un emprendimiento o quiero iniciar uno","",CHOOSE(MOD(INT((COUNTIF($I$2:I284,I284)-1)/3),10)+1,"Portales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84" t="str">
        <f>IF(I284="Tengo un emprendimiento o quiero iniciar uno","",_xlfn.LET(_xlpm.opcion,MOD(INT((COUNTIF($I$2:I284,I284)-1)/4),6)+1,CHOOSE(IF(AND(_xlpm.opcion=3,Q284="Sí"),1,_xlpm.opcion),"Falta de experiencia","Falta de formación","Dificultades con la hoja de vida","Horarios disponibles","Transporte","Internet")))</f>
        <v>Dificultades con la hoja de vida</v>
      </c>
      <c r="U284" s="9" t="str">
        <f>IF(I284="Tengo un emprendimiento o quiero iniciar uno","",IF(MOD(INT((COUNTIF($I$2:I284,I284)-1)/3),2)=0,"Sí","No"))</f>
        <v>Sí</v>
      </c>
      <c r="V284" s="9" t="str">
        <f>IF(I284="Tengo un emprendimiento o quiero iniciar uno",CHOOSE(MOD(COUNTIF($I$2:I284,I284)-1,3)+1,"Tengo un emprendimiento","Estoy iniciando un emprendimiento","Me interesa emprender"),"")</f>
        <v/>
      </c>
      <c r="W284" t="str">
        <f t="shared" si="77"/>
        <v/>
      </c>
      <c r="X284" s="9" t="str">
        <f>IF(I284="Tengo un emprendimiento o quiero iniciar uno",CHOOSE(MOD(COUNTIF($I$2:I284,I284)-1,5)+1,"Falta de financiación","Falta de conocimientos administrativos","Falta de conocimientos financieros","Falta de tiempo","Falta de herramientas"),"")</f>
        <v/>
      </c>
      <c r="Y284" s="9" t="str">
        <f t="shared" si="78"/>
        <v/>
      </c>
      <c r="Z284" t="str">
        <f>IF(I284="Tengo un emprendimiento o quiero iniciar uno",CHOOSE(INT(MOD((COUNTIF($I$2:I284,I284)-1)*7,39)/13)+1,"Sí","No","No conozco programas de ese tipo"),"")</f>
        <v/>
      </c>
      <c r="AA284" t="str">
        <f t="shared" si="79"/>
        <v>Puedo hacerlo con ayuda</v>
      </c>
      <c r="AB284" t="str">
        <f t="shared" si="79"/>
        <v>Puedo hacerlo con ayuda</v>
      </c>
      <c r="AC284" t="str">
        <f t="shared" si="80"/>
        <v>Puedo hacerlo con dificultad</v>
      </c>
      <c r="AD284" s="9" t="str">
        <f t="shared" si="81"/>
        <v>Puedo hacerlo con dificultad</v>
      </c>
      <c r="AE284" t="str">
        <f t="shared" si="82"/>
        <v>Puedo hacerlo con ayuda</v>
      </c>
      <c r="AF284" s="9" t="str">
        <f t="shared" si="83"/>
        <v>Herramientas digitales</v>
      </c>
      <c r="AG284" s="9" t="str">
        <f t="shared" si="84"/>
        <v>Distancia</v>
      </c>
      <c r="AH284" t="str">
        <f t="shared" si="85"/>
        <v>Ferias de empleo</v>
      </c>
      <c r="AI284" s="9" t="str">
        <f t="shared" si="86"/>
        <v>Me es indiferente</v>
      </c>
      <c r="AJ284" s="9" t="str">
        <f t="shared" si="87"/>
        <v>Diurno</v>
      </c>
      <c r="AK284" s="9" t="str">
        <f t="shared" si="88"/>
        <v>Celular</v>
      </c>
    </row>
    <row r="285" spans="1:37">
      <c r="A285" t="str">
        <f t="shared" si="89"/>
        <v>SG284</v>
      </c>
      <c r="B285" s="9" t="s">
        <v>419</v>
      </c>
      <c r="C285" s="9" t="s">
        <v>427</v>
      </c>
      <c r="D285" t="str">
        <f t="shared" si="72"/>
        <v>Femenino</v>
      </c>
      <c r="E285" t="str">
        <f t="shared" si="73"/>
        <v>De 24 a 26 años</v>
      </c>
      <c r="F285">
        <f t="shared" si="74"/>
        <v>24</v>
      </c>
      <c r="G285" s="9" t="s">
        <v>430</v>
      </c>
      <c r="H285" s="9" t="str">
        <f t="shared" si="75"/>
        <v>Profesional</v>
      </c>
      <c r="I285" s="9" t="str">
        <f t="shared" si="76"/>
        <v>Trabajo actualmente como empleado</v>
      </c>
      <c r="J285" s="13" t="str">
        <f>IF(I285="Trabajo actualmente como empleado",IF(MOD((COUNTIF($I$2:I285,"Trabajo actualmente como empleado")-1)*37,150)&lt;100,"Empleado con contrato","Empleado sin contrato formal"),IF(I285="Trabajo de manera independiente","Trabajo independiente",""))</f>
        <v>Empleado sin contrato formal</v>
      </c>
      <c r="K285" s="9" t="str">
        <f>IF(OR(I285="Trabajo actualmente como empleado",I285="Trabajo de manera independiente"),CHOOSE(MOD(COUNTIF($I$2:I285,I285)-1,4)+1,"Menos de 3 meses","De 3 a 6 meses","De 7 a 12 meses","Más de un año"),"")</f>
        <v>De 3 a 6 meses</v>
      </c>
      <c r="L285" t="str">
        <f>IF(OR(I285="Trabajo actualmente como empleado",I285="Trabajo de manera independiente"),CHOOSE(MOD(COUNTIF($I$2:I285,I285)-1,3)+1,"Sí, completamente","Parcialmente","No"),"")</f>
        <v>No</v>
      </c>
      <c r="M285" t="str">
        <f>IF(OR(I285="Trabajo actualmente como empleado",I285="Trabajo de manera independiente"),CHOOSE(MOD(INT((COUNTIF($I$2:I285,I285)-1)/3),4)+1,"1- Muy satisfecho/a","2- Satisfecho/a","3- Insatisfecho/a","4- Muy insatisfecho/a"),"")</f>
        <v>2- Satisfecho/a</v>
      </c>
      <c r="N285" t="str">
        <f>IF(OR(I285="Trabajo actualmente como empleado",I285="Trabajo de manera independiente"),_xlfn.LET(_xlpm.opcion,MOD(INT((COUNTIF($I$2:I285,I285)-1)/5),6)+1,CHOOSE(IF(AND(_xlpm.opcion=6,L285="Sí,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285" s="9" t="str">
        <f>IF(OR(I285="Trabajo actualmente como empleado",I285="Trabajo de manera independiente"),_xlfn.LET(_xlpm.turno,MOD(COUNTIF($I$2:I285,I285)-1,5),_xlpm.nivel,VALUE(LEFT(M285,1)),IF(_xlpm.turno=4,"No estoy seguro/a",IF(_xlpm.turno&lt;IF(_xlpm.nivel&lt;=2,1,3),"Sí","No"))),"")</f>
        <v>No estoy seguro/a</v>
      </c>
      <c r="P285" s="9" t="str">
        <f>_xlfn.LET(_xlpm.perfil,I285,_xlpm.turno,COUNTIF($I$2:I285,_xlpm.perfil)-1,_xlpm.busca,OR(_xlpm.perfil="Actualmente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trabajar"),IF(AND(_xlpm.trabaja,O285="No"),"Todavía no he iniciado una búsqueda activa",CHOOSE(MOD(_xlpm.turno*3,5)+1,"Menos de 1 mes","Entre 1 y 3 meses","Entre 4 y 6 meses","Más de 6 meses","Todavía no he iniciado una búsqueda activa")),"")))</f>
        <v>Entre 4 y 6 meses</v>
      </c>
      <c r="Q285" t="str">
        <f>IF(I285="Tengo un emprendimiento o quiero iniciar uno","",CHOOSE(MOD(INT((COUNTIF($I$2:I285,I285)-1)/7),3)+1,"Sí","No","Tengo una pero necesito actualizarla"))</f>
        <v>Sí</v>
      </c>
      <c r="R285" s="9" t="str">
        <f>IF(I285="Tengo un emprendimiento o quiero iniciar uno","",IF(I285="Busco mi primer empleo","No",IF(MOD(COUNTIF($I$2:I285,I285)-1,2)=0,"Sí","No")))</f>
        <v>No</v>
      </c>
      <c r="S285" t="str">
        <f>IF(I285="Tengo un emprendimiento o quiero iniciar uno","",CHOOSE(MOD(INT((COUNTIF($I$2:I285,I285)-1)/3),10)+1,"Portales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285" t="str">
        <f>IF(I285="Tengo un emprendimiento o quiero iniciar uno","",_xlfn.LET(_xlpm.opcion,MOD(INT((COUNTIF($I$2:I285,I285)-1)/4),6)+1,CHOOSE(IF(AND(_xlpm.opcion=3,Q285="Sí"),1,_xlpm.opcion),"Falta de experiencia","Falta de formación","Dificultades con la hoja de vida","Horarios disponibles","Transporte","Internet")))</f>
        <v>Transporte</v>
      </c>
      <c r="U285" s="9" t="str">
        <f>IF(I285="Tengo un emprendimiento o quiero iniciar uno","",IF(MOD(INT((COUNTIF($I$2:I285,I285)-1)/3),2)=0,"Sí","No"))</f>
        <v>No</v>
      </c>
      <c r="V285" s="9" t="str">
        <f>IF(I285="Tengo un emprendimiento o quiero iniciar uno",CHOOSE(MOD(COUNTIF($I$2:I285,I285)-1,3)+1,"Tengo un emprendimiento","Estoy iniciando un emprendimiento","Me interesa emprender"),"")</f>
        <v/>
      </c>
      <c r="W285" t="str">
        <f t="shared" si="77"/>
        <v/>
      </c>
      <c r="X285" s="9" t="str">
        <f>IF(I285="Tengo un emprendimiento o quiero iniciar uno",CHOOSE(MOD(COUNTIF($I$2:I285,I285)-1,5)+1,"Falta de financiación","Falta de conocimientos administrativos","Falta de conocimientos financieros","Falta de tiempo","Falta de herramientas"),"")</f>
        <v/>
      </c>
      <c r="Y285" s="9" t="str">
        <f t="shared" si="78"/>
        <v/>
      </c>
      <c r="Z285" t="str">
        <f>IF(I285="Tengo un emprendimiento o quiero iniciar uno",CHOOSE(INT(MOD((COUNTIF($I$2:I285,I285)-1)*7,39)/13)+1,"Sí","No","No conozco programas de ese tipo"),"")</f>
        <v/>
      </c>
      <c r="AA285" t="str">
        <f t="shared" si="79"/>
        <v>Puedo hacerlo sin ayuda</v>
      </c>
      <c r="AB285" t="str">
        <f t="shared" si="79"/>
        <v>Puedo hacerlo sin ayuda</v>
      </c>
      <c r="AC285" t="str">
        <f t="shared" si="80"/>
        <v>Puedo hacerlo sin ayuda</v>
      </c>
      <c r="AD285" s="9" t="str">
        <f t="shared" si="81"/>
        <v>Puedo hacerlo sin ayuda</v>
      </c>
      <c r="AE285" t="str">
        <f t="shared" si="82"/>
        <v>Puedo hacerlo con dificultad</v>
      </c>
      <c r="AF285" s="9" t="str">
        <f t="shared" si="83"/>
        <v>Educación financiera</v>
      </c>
      <c r="AG285" s="9" t="str">
        <f t="shared" si="84"/>
        <v>Distancia</v>
      </c>
      <c r="AH285" t="str">
        <f t="shared" si="85"/>
        <v>Programas de emprendimiento</v>
      </c>
      <c r="AI285" s="9" t="str">
        <f t="shared" si="86"/>
        <v>Presencial</v>
      </c>
      <c r="AJ285" s="9" t="str">
        <f t="shared" si="87"/>
        <v>Mañana entre semana</v>
      </c>
      <c r="AK285" s="9" t="str">
        <f t="shared" si="88"/>
        <v>WhatsApp</v>
      </c>
    </row>
    <row r="286" spans="1:37">
      <c r="A286" t="str">
        <f t="shared" si="89"/>
        <v>SG285</v>
      </c>
      <c r="B286" s="9" t="s">
        <v>419</v>
      </c>
      <c r="C286" s="9" t="s">
        <v>427</v>
      </c>
      <c r="D286" t="str">
        <f t="shared" si="72"/>
        <v>Masculino</v>
      </c>
      <c r="E286" t="str">
        <f t="shared" si="73"/>
        <v>De 26 a 28 años</v>
      </c>
      <c r="F286">
        <f t="shared" si="74"/>
        <v>28</v>
      </c>
      <c r="G286" s="9" t="s">
        <v>430</v>
      </c>
      <c r="H286" s="9" t="str">
        <f t="shared" si="75"/>
        <v>Profesional</v>
      </c>
      <c r="I286" s="9" t="str">
        <f t="shared" si="76"/>
        <v>Actualmente no trabajo y estoy buscando empleo</v>
      </c>
      <c r="J286" s="13" t="str">
        <f>IF(I286="Trabajo actualmente como empleado",IF(MOD((COUNTIF($I$2:I286,"Trabajo actualmente como empleado")-1)*37,150)&lt;100,"Empleado con contrato","Empleado sin contrato formal"),IF(I286="Trabajo de manera independiente","Trabajo independiente",""))</f>
        <v/>
      </c>
      <c r="K286" s="9" t="str">
        <f>IF(OR(I286="Trabajo actualmente como empleado",I286="Trabajo de manera independiente"),CHOOSE(MOD(COUNTIF($I$2:I286,I286)-1,4)+1,"Menos de 3 meses","De 3 a 6 meses","De 7 a 12 meses","Más de un año"),"")</f>
        <v/>
      </c>
      <c r="L286" t="str">
        <f>IF(OR(I286="Trabajo actualmente como empleado",I286="Trabajo de manera independiente"),CHOOSE(MOD(COUNTIF($I$2:I286,I286)-1,3)+1,"Sí, completamente","Parcialmente","No"),"")</f>
        <v/>
      </c>
      <c r="M286" t="str">
        <f>IF(OR(I286="Trabajo actualmente como empleado",I286="Trabajo de manera independiente"),CHOOSE(MOD(INT((COUNTIF($I$2:I286,I286)-1)/3),4)+1,"1- Muy satisfecho/a","2- Satisfecho/a","3- Insatisfecho/a","4- Muy insatisfecho/a"),"")</f>
        <v/>
      </c>
      <c r="N286" t="str">
        <f>IF(OR(I286="Trabajo actualmente como empleado",I286="Trabajo de manera independiente"),_xlfn.LET(_xlpm.opcion,MOD(INT((COUNTIF($I$2:I286,I286)-1)/5),6)+1,CHOOSE(IF(AND(_xlpm.opcion=6,L286="Sí, completamente"),5,_xlpm.opcion),"Salario","Estabilidad laboral","Horario","Acceso a prestaciones","Oportunidades de crecimiento","Trabajar en un área relacionada con mi formación")),"")</f>
        <v/>
      </c>
      <c r="O286" s="9" t="str">
        <f>IF(OR(I286="Trabajo actualmente como empleado",I286="Trabajo de manera independiente"),_xlfn.LET(_xlpm.turno,MOD(COUNTIF($I$2:I286,I286)-1,5),_xlpm.nivel,VALUE(LEFT(M286,1)),IF(_xlpm.turno=4,"No estoy seguro/a",IF(_xlpm.turno&lt;IF(_xlpm.nivel&lt;=2,1,3),"Sí","No"))),"")</f>
        <v/>
      </c>
      <c r="P286" s="9" t="str">
        <f>_xlfn.LET(_xlpm.perfil,I286,_xlpm.turno,COUNTIF($I$2:I286,_xlpm.perfil)-1,_xlpm.busca,OR(_xlpm.perfil="Actualmente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trabajar"),IF(AND(_xlpm.trabaja,O286="No"),"Todavía no he iniciado una búsqueda activa",CHOOSE(MOD(_xlpm.turno*3,5)+1,"Menos de 1 mes","Entre 1 y 3 meses","Entre 4 y 6 meses","Más de 6 meses","Todavía no he iniciado una búsqueda activa")),"")))</f>
        <v>Entre 1 y 3 meses</v>
      </c>
      <c r="Q286" t="str">
        <f>IF(I286="Tengo un emprendimiento o quiero iniciar uno","",CHOOSE(MOD(INT((COUNTIF($I$2:I286,I286)-1)/7),3)+1,"Sí","No","Tengo una pero necesito actualizarla"))</f>
        <v>No</v>
      </c>
      <c r="R286" s="9" t="str">
        <f>IF(I286="Tengo un emprendimiento o quiero iniciar uno","",IF(I286="Busco mi primer empleo","No",IF(MOD(COUNTIF($I$2:I286,I286)-1,2)=0,"Sí","No")))</f>
        <v>No</v>
      </c>
      <c r="S286" t="str">
        <f>IF(I286="Tengo un emprendimiento o quiero iniciar uno","",CHOOSE(MOD(INT((COUNTIF($I$2:I286,I286)-1)/3),10)+1,"Portales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86" t="str">
        <f>IF(I286="Tengo un emprendimiento o quiero iniciar uno","",_xlfn.LET(_xlpm.opcion,MOD(INT((COUNTIF($I$2:I286,I286)-1)/4),6)+1,CHOOSE(IF(AND(_xlpm.opcion=3,Q286="Sí"),1,_xlpm.opcion),"Falta de experiencia","Falta de formación","Dificultades con la hoja de vida","Horarios disponibles","Transporte","Internet")))</f>
        <v>Falta de experiencia</v>
      </c>
      <c r="U286" s="9" t="str">
        <f>IF(I286="Tengo un emprendimiento o quiero iniciar uno","",IF(MOD(INT((COUNTIF($I$2:I286,I286)-1)/3),2)=0,"Sí","No"))</f>
        <v>No</v>
      </c>
      <c r="V286" s="9" t="str">
        <f>IF(I286="Tengo un emprendimiento o quiero iniciar uno",CHOOSE(MOD(COUNTIF($I$2:I286,I286)-1,3)+1,"Tengo un emprendimiento","Estoy iniciando un emprendimiento","Me interesa emprender"),"")</f>
        <v/>
      </c>
      <c r="W286" t="str">
        <f t="shared" si="77"/>
        <v/>
      </c>
      <c r="X286" s="9" t="str">
        <f>IF(I286="Tengo un emprendimiento o quiero iniciar uno",CHOOSE(MOD(COUNTIF($I$2:I286,I286)-1,5)+1,"Falta de financiación","Falta de conocimientos administrativos","Falta de conocimientos financieros","Falta de tiempo","Falta de herramientas"),"")</f>
        <v/>
      </c>
      <c r="Y286" s="9" t="str">
        <f t="shared" si="78"/>
        <v/>
      </c>
      <c r="Z286" t="str">
        <f>IF(I286="Tengo un emprendimiento o quiero iniciar uno",CHOOSE(INT(MOD((COUNTIF($I$2:I286,I286)-1)*7,39)/13)+1,"Sí","No","No conozco programas de ese tipo"),"")</f>
        <v/>
      </c>
      <c r="AA286" t="str">
        <f t="shared" si="79"/>
        <v>No puedo hacerlo</v>
      </c>
      <c r="AB286" t="str">
        <f t="shared" si="79"/>
        <v>No puedo hacerlo</v>
      </c>
      <c r="AC286" t="str">
        <f t="shared" si="80"/>
        <v>Puedo hacerlo con ayuda</v>
      </c>
      <c r="AD286" s="9" t="str">
        <f t="shared" si="81"/>
        <v>No puedo hacerlo</v>
      </c>
      <c r="AE286" t="str">
        <f t="shared" si="82"/>
        <v>Puedo hacerlo con dificultad</v>
      </c>
      <c r="AF286" s="9" t="str">
        <f t="shared" si="83"/>
        <v>Crear una hoja de vida;Preparación para entrevista</v>
      </c>
      <c r="AG286" s="9" t="str">
        <f t="shared" si="84"/>
        <v>Distancia</v>
      </c>
      <c r="AH286" t="str">
        <f t="shared" si="85"/>
        <v>Oficina de orientación laboral</v>
      </c>
      <c r="AI286" s="9" t="str">
        <f t="shared" si="86"/>
        <v>Virtual</v>
      </c>
      <c r="AJ286" s="9" t="str">
        <f t="shared" si="87"/>
        <v>Fines de semana</v>
      </c>
      <c r="AK286" s="9" t="str">
        <f t="shared" si="88"/>
        <v>Redes sociales</v>
      </c>
    </row>
    <row r="287" spans="1:37">
      <c r="A287" t="str">
        <f t="shared" si="89"/>
        <v>SG286</v>
      </c>
      <c r="B287" s="9" t="s">
        <v>419</v>
      </c>
      <c r="C287" s="9" t="s">
        <v>427</v>
      </c>
      <c r="D287" t="str">
        <f t="shared" si="72"/>
        <v>Femenino</v>
      </c>
      <c r="E287" t="str">
        <f t="shared" si="73"/>
        <v>De 18 a 20 años</v>
      </c>
      <c r="F287">
        <f t="shared" si="74"/>
        <v>19</v>
      </c>
      <c r="G287" s="9" t="s">
        <v>430</v>
      </c>
      <c r="H287" s="9" t="str">
        <f t="shared" si="75"/>
        <v>Tecnólogo</v>
      </c>
      <c r="I287" s="9" t="str">
        <f t="shared" si="76"/>
        <v>Tengo un emprendimiento o quiero iniciar uno</v>
      </c>
      <c r="J287" s="13" t="str">
        <f>IF(I287="Trabajo actualmente como empleado",IF(MOD((COUNTIF($I$2:I287,"Trabajo actualmente como empleado")-1)*37,150)&lt;100,"Empleado con contrato","Empleado sin contrato formal"),IF(I287="Trabajo de manera independiente","Trabajo independiente",""))</f>
        <v/>
      </c>
      <c r="K287" s="9" t="str">
        <f>IF(OR(I287="Trabajo actualmente como empleado",I287="Trabajo de manera independiente"),CHOOSE(MOD(COUNTIF($I$2:I287,I287)-1,4)+1,"Menos de 3 meses","De 3 a 6 meses","De 7 a 12 meses","Más de un año"),"")</f>
        <v/>
      </c>
      <c r="L287" t="str">
        <f>IF(OR(I287="Trabajo actualmente como empleado",I287="Trabajo de manera independiente"),CHOOSE(MOD(COUNTIF($I$2:I287,I287)-1,3)+1,"Sí, completamente","Parcialmente","No"),"")</f>
        <v/>
      </c>
      <c r="M287" t="str">
        <f>IF(OR(I287="Trabajo actualmente como empleado",I287="Trabajo de manera independiente"),CHOOSE(MOD(INT((COUNTIF($I$2:I287,I287)-1)/3),4)+1,"1- Muy satisfecho/a","2- Satisfecho/a","3- Insatisfecho/a","4- Muy insatisfecho/a"),"")</f>
        <v/>
      </c>
      <c r="N287" t="str">
        <f>IF(OR(I287="Trabajo actualmente como empleado",I287="Trabajo de manera independiente"),_xlfn.LET(_xlpm.opcion,MOD(INT((COUNTIF($I$2:I287,I287)-1)/5),6)+1,CHOOSE(IF(AND(_xlpm.opcion=6,L287="Sí, completamente"),5,_xlpm.opcion),"Salario","Estabilidad laboral","Horario","Acceso a prestaciones","Oportunidades de crecimiento","Trabajar en un área relacionada con mi formación")),"")</f>
        <v/>
      </c>
      <c r="O287" s="9" t="str">
        <f>IF(OR(I287="Trabajo actualmente como empleado",I287="Trabajo de manera independiente"),_xlfn.LET(_xlpm.turno,MOD(COUNTIF($I$2:I287,I287)-1,5),_xlpm.nivel,VALUE(LEFT(M287,1)),IF(_xlpm.turno=4,"No estoy seguro/a",IF(_xlpm.turno&lt;IF(_xlpm.nivel&lt;=2,1,3),"Sí","No"))),"")</f>
        <v/>
      </c>
      <c r="P287" s="9" t="str">
        <f>_xlfn.LET(_xlpm.perfil,I287,_xlpm.turno,COUNTIF($I$2:I287,_xlpm.perfil)-1,_xlpm.busca,OR(_xlpm.perfil="Actualmente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trabajar"),IF(AND(_xlpm.trabaja,O287="No"),"Todavía no he iniciado una búsqueda activa",CHOOSE(MOD(_xlpm.turno*3,5)+1,"Menos de 1 mes","Entre 1 y 3 meses","Entre 4 y 6 meses","Más de 6 meses","Todavía no he iniciado una búsqueda activa")),"")))</f>
        <v/>
      </c>
      <c r="Q287" t="str">
        <f>IF(I287="Tengo un emprendimiento o quiero iniciar uno","",CHOOSE(MOD(INT((COUNTIF($I$2:I287,I287)-1)/7),3)+1,"Sí","No","Tengo una pero necesito actualizarla"))</f>
        <v/>
      </c>
      <c r="R287" s="9" t="str">
        <f>IF(I287="Tengo un emprendimiento o quiero iniciar uno","",IF(I287="Busco mi primer empleo","No",IF(MOD(COUNTIF($I$2:I287,I287)-1,2)=0,"Sí","No")))</f>
        <v/>
      </c>
      <c r="S287" t="str">
        <f>IF(I287="Tengo un emprendimiento o quiero iniciar uno","",CHOOSE(MOD(INT((COUNTIF($I$2:I287,I287)-1)/3),10)+1,"Portales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287" t="str">
        <f>IF(I287="Tengo un emprendimiento o quiero iniciar uno","",_xlfn.LET(_xlpm.opcion,MOD(INT((COUNTIF($I$2:I287,I287)-1)/4),6)+1,CHOOSE(IF(AND(_xlpm.opcion=3,Q287="Sí"),1,_xlpm.opcion),"Falta de experiencia","Falta de formación","Dificultades con la hoja de vida","Horarios disponibles","Transporte","Internet")))</f>
        <v/>
      </c>
      <c r="U287" s="9" t="str">
        <f>IF(I287="Tengo un emprendimiento o quiero iniciar uno","",IF(MOD(INT((COUNTIF($I$2:I287,I287)-1)/3),2)=0,"Sí","No"))</f>
        <v/>
      </c>
      <c r="V287" s="9" t="str">
        <f>IF(I287="Tengo un emprendimiento o quiero iniciar uno",CHOOSE(MOD(COUNTIF($I$2:I287,I287)-1,3)+1,"Tengo un emprendimiento","Estoy iniciando un emprendimiento","Me interesa emprender"),"")</f>
        <v>Me interesa emprender</v>
      </c>
      <c r="W287" t="str">
        <f t="shared" si="77"/>
        <v/>
      </c>
      <c r="X287" s="9" t="str">
        <f>IF(I287="Tengo un emprendimiento o quiero iniciar uno",CHOOSE(MOD(COUNTIF($I$2:I287,I287)-1,5)+1,"Falta de financiación","Falta de conocimientos administrativos","Falta de conocimientos financieros","Falta de tiempo","Falta de herramientas"),"")</f>
        <v>Falta de tiempo</v>
      </c>
      <c r="Y287" s="9" t="str">
        <f t="shared" si="78"/>
        <v>Falta de tiempo</v>
      </c>
      <c r="Z287" t="str">
        <f>IF(I287="Tengo un emprendimiento o quiero iniciar uno",CHOOSE(INT(MOD((COUNTIF($I$2:I287,I287)-1)*7,39)/13)+1,"Sí","No","No conozco programas de ese tipo"),"")</f>
        <v>Sí</v>
      </c>
      <c r="AA287" t="str">
        <f t="shared" si="79"/>
        <v>Puedo hacerlo con dificultad</v>
      </c>
      <c r="AB287" t="str">
        <f t="shared" si="79"/>
        <v>Puedo hacerlo con dificultad</v>
      </c>
      <c r="AC287" t="str">
        <f t="shared" si="80"/>
        <v>Puedo hacerlo con dificultad</v>
      </c>
      <c r="AD287" s="9" t="str">
        <f t="shared" si="81"/>
        <v>No puedo hacerlo</v>
      </c>
      <c r="AE287" t="str">
        <f t="shared" si="82"/>
        <v>Puedo hacerlo sin ayuda</v>
      </c>
      <c r="AF287" s="9" t="str">
        <f t="shared" si="83"/>
        <v>Comunicación;Liderazgo</v>
      </c>
      <c r="AG287" s="9" t="str">
        <f t="shared" si="84"/>
        <v>Falta de experiencia;Falta de información</v>
      </c>
      <c r="AH287" t="str">
        <f t="shared" si="85"/>
        <v>Programas de emprendimiento</v>
      </c>
      <c r="AI287" s="9" t="str">
        <f t="shared" si="86"/>
        <v>Presencial y virtual</v>
      </c>
      <c r="AJ287" s="9" t="str">
        <f t="shared" si="87"/>
        <v>Diurno</v>
      </c>
      <c r="AK287" s="9" t="str">
        <f t="shared" si="88"/>
        <v>Celular</v>
      </c>
    </row>
    <row r="288" spans="1:37">
      <c r="A288" t="str">
        <f t="shared" si="89"/>
        <v>SG287</v>
      </c>
      <c r="B288" s="9" t="s">
        <v>419</v>
      </c>
      <c r="C288" s="9" t="s">
        <v>427</v>
      </c>
      <c r="D288" t="str">
        <f t="shared" si="72"/>
        <v>Femenino</v>
      </c>
      <c r="E288" t="str">
        <f t="shared" si="73"/>
        <v>De 20 a 22 años</v>
      </c>
      <c r="F288">
        <f t="shared" si="74"/>
        <v>21</v>
      </c>
      <c r="G288" s="9" t="s">
        <v>430</v>
      </c>
      <c r="H288" s="9" t="str">
        <f t="shared" si="75"/>
        <v>Tecnólogo</v>
      </c>
      <c r="I288" s="9" t="str">
        <f t="shared" si="76"/>
        <v>Trabajo actualmente como empleado</v>
      </c>
      <c r="J288" s="13" t="str">
        <f>IF(I288="Trabajo actualmente como empleado",IF(MOD((COUNTIF($I$2:I288,"Trabajo actualmente como empleado")-1)*37,150)&lt;100,"Empleado con contrato","Empleado sin contrato formal"),IF(I288="Trabajo de manera independiente","Trabajo independiente",""))</f>
        <v>Empleado con contrato</v>
      </c>
      <c r="K288" s="9" t="str">
        <f>IF(OR(I288="Trabajo actualmente como empleado",I288="Trabajo de manera independiente"),CHOOSE(MOD(COUNTIF($I$2:I288,I288)-1,4)+1,"Menos de 3 meses","De 3 a 6 meses","De 7 a 12 meses","Más de un año"),"")</f>
        <v>De 7 a 12 meses</v>
      </c>
      <c r="L288" t="str">
        <f>IF(OR(I288="Trabajo actualmente como empleado",I288="Trabajo de manera independiente"),CHOOSE(MOD(COUNTIF($I$2:I288,I288)-1,3)+1,"Sí, completamente","Parcialmente","No"),"")</f>
        <v>Sí, completamente</v>
      </c>
      <c r="M288" t="str">
        <f>IF(OR(I288="Trabajo actualmente como empleado",I288="Trabajo de manera independiente"),CHOOSE(MOD(INT((COUNTIF($I$2:I288,I288)-1)/3),4)+1,"1- Muy satisfecho/a","2- Satisfecho/a","3- Insatisfecho/a","4- Muy insatisfecho/a"),"")</f>
        <v>3- Insatisfecho/a</v>
      </c>
      <c r="N288" t="str">
        <f>IF(OR(I288="Trabajo actualmente como empleado",I288="Trabajo de manera independiente"),_xlfn.LET(_xlpm.opcion,MOD(INT((COUNTIF($I$2:I288,I288)-1)/5),6)+1,CHOOSE(IF(AND(_xlpm.opcion=6,L288="Sí, completamente"),5,_xlpm.opcion),"Salario","Estabilidad laboral","Horario","Acceso a prestaciones","Oportunidades de crecimiento","Trabajar en un área relacionada con mi formación")),"")</f>
        <v>Salario</v>
      </c>
      <c r="O288" s="9" t="str">
        <f>IF(OR(I288="Trabajo actualmente como empleado",I288="Trabajo de manera independiente"),_xlfn.LET(_xlpm.turno,MOD(COUNTIF($I$2:I288,I288)-1,5),_xlpm.nivel,VALUE(LEFT(M288,1)),IF(_xlpm.turno=4,"No estoy seguro/a",IF(_xlpm.turno&lt;IF(_xlpm.nivel&lt;=2,1,3),"Sí","No"))),"")</f>
        <v>Sí</v>
      </c>
      <c r="P288" s="9" t="str">
        <f>_xlfn.LET(_xlpm.perfil,I288,_xlpm.turno,COUNTIF($I$2:I288,_xlpm.perfil)-1,_xlpm.busca,OR(_xlpm.perfil="Actualmente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trabajar"),IF(AND(_xlpm.trabaja,O288="No"),"Todavía no he iniciado una búsqueda activa",CHOOSE(MOD(_xlpm.turno*3,5)+1,"Menos de 1 mes","Entre 1 y 3 meses","Entre 4 y 6 meses","Más de 6 meses","Todavía no he iniciado una búsqueda activa")),"")))</f>
        <v>Menos de 1 mes</v>
      </c>
      <c r="Q288" t="str">
        <f>IF(I288="Tengo un emprendimiento o quiero iniciar uno","",CHOOSE(MOD(INT((COUNTIF($I$2:I288,I288)-1)/7),3)+1,"Sí","No","Tengo una pero necesito actualizarla"))</f>
        <v>Sí</v>
      </c>
      <c r="R288" s="9" t="str">
        <f>IF(I288="Tengo un emprendimiento o quiero iniciar uno","",IF(I288="Busco mi primer empleo","No",IF(MOD(COUNTIF($I$2:I288,I288)-1,2)=0,"Sí","No")))</f>
        <v>Sí</v>
      </c>
      <c r="S288" t="str">
        <f>IF(I288="Tengo un emprendimiento o quiero iniciar uno","",CHOOSE(MOD(INT((COUNTIF($I$2:I288,I288)-1)/3),10)+1,"Portales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88" t="str">
        <f>IF(I288="Tengo un emprendimiento o quiero iniciar uno","",_xlfn.LET(_xlpm.opcion,MOD(INT((COUNTIF($I$2:I288,I288)-1)/4),6)+1,CHOOSE(IF(AND(_xlpm.opcion=3,Q288="Sí"),1,_xlpm.opcion),"Falta de experiencia","Falta de formación","Dificultades con la hoja de vida","Horarios disponibles","Transporte","Internet")))</f>
        <v>Transporte</v>
      </c>
      <c r="U288" s="9" t="str">
        <f>IF(I288="Tengo un emprendimiento o quiero iniciar uno","",IF(MOD(INT((COUNTIF($I$2:I288,I288)-1)/3),2)=0,"Sí","No"))</f>
        <v>Sí</v>
      </c>
      <c r="V288" s="9" t="str">
        <f>IF(I288="Tengo un emprendimiento o quiero iniciar uno",CHOOSE(MOD(COUNTIF($I$2:I288,I288)-1,3)+1,"Tengo un emprendimiento","Estoy iniciando un emprendimiento","Me interesa emprender"),"")</f>
        <v/>
      </c>
      <c r="W288" t="str">
        <f t="shared" si="77"/>
        <v/>
      </c>
      <c r="X288" s="9" t="str">
        <f>IF(I288="Tengo un emprendimiento o quiero iniciar uno",CHOOSE(MOD(COUNTIF($I$2:I288,I288)-1,5)+1,"Falta de financiación","Falta de conocimientos administrativos","Falta de conocimientos financieros","Falta de tiempo","Falta de herramientas"),"")</f>
        <v/>
      </c>
      <c r="Y288" s="9" t="str">
        <f t="shared" si="78"/>
        <v/>
      </c>
      <c r="Z288" t="str">
        <f>IF(I288="Tengo un emprendimiento o quiero iniciar uno",CHOOSE(INT(MOD((COUNTIF($I$2:I288,I288)-1)*7,39)/13)+1,"Sí","No","No conozco programas de ese tipo"),"")</f>
        <v/>
      </c>
      <c r="AA288" t="str">
        <f t="shared" si="79"/>
        <v>No puedo hacerlo</v>
      </c>
      <c r="AB288" t="str">
        <f t="shared" si="79"/>
        <v>No puedo hacerlo</v>
      </c>
      <c r="AC288" t="str">
        <f t="shared" si="80"/>
        <v>Puedo hacerlo sin ayuda</v>
      </c>
      <c r="AD288" s="9" t="str">
        <f t="shared" si="81"/>
        <v>Puedo hacerlo con ayuda</v>
      </c>
      <c r="AE288" t="str">
        <f t="shared" si="82"/>
        <v>Puedo hacerlo sin ayuda</v>
      </c>
      <c r="AF288" s="9" t="str">
        <f t="shared" si="83"/>
        <v>Herramientas digitales;Educación financiera</v>
      </c>
      <c r="AG288" s="9" t="str">
        <f t="shared" si="84"/>
        <v>Falta de experiencia;Falta de información</v>
      </c>
      <c r="AH288" t="str">
        <f t="shared" si="85"/>
        <v>No conozco ninguno</v>
      </c>
      <c r="AI288" s="9" t="str">
        <f t="shared" si="86"/>
        <v>Me es indiferente</v>
      </c>
      <c r="AJ288" s="9" t="str">
        <f t="shared" si="87"/>
        <v>Mañana entre semana</v>
      </c>
      <c r="AK288" s="9" t="str">
        <f t="shared" si="88"/>
        <v>Correo electrónico</v>
      </c>
    </row>
    <row r="289" spans="1:37">
      <c r="A289" t="str">
        <f t="shared" si="89"/>
        <v>SG288</v>
      </c>
      <c r="B289" s="9" t="s">
        <v>419</v>
      </c>
      <c r="C289" s="9" t="s">
        <v>427</v>
      </c>
      <c r="D289" t="str">
        <f t="shared" si="72"/>
        <v>Masculino</v>
      </c>
      <c r="E289" t="str">
        <f t="shared" si="73"/>
        <v>De 22 a 24 años</v>
      </c>
      <c r="F289">
        <f t="shared" si="74"/>
        <v>23</v>
      </c>
      <c r="G289" s="9" t="s">
        <v>430</v>
      </c>
      <c r="H289" s="9" t="str">
        <f t="shared" si="75"/>
        <v>Profesional</v>
      </c>
      <c r="I289" s="9" t="str">
        <f t="shared" si="76"/>
        <v>Actualmente no trabajo y estoy buscando empleo</v>
      </c>
      <c r="J289" s="13" t="str">
        <f>IF(I289="Trabajo actualmente como empleado",IF(MOD((COUNTIF($I$2:I289,"Trabajo actualmente como empleado")-1)*37,150)&lt;100,"Empleado con contrato","Empleado sin contrato formal"),IF(I289="Trabajo de manera independiente","Trabajo independiente",""))</f>
        <v/>
      </c>
      <c r="K289" s="9" t="str">
        <f>IF(OR(I289="Trabajo actualmente como empleado",I289="Trabajo de manera independiente"),CHOOSE(MOD(COUNTIF($I$2:I289,I289)-1,4)+1,"Menos de 3 meses","De 3 a 6 meses","De 7 a 12 meses","Más de un año"),"")</f>
        <v/>
      </c>
      <c r="L289" t="str">
        <f>IF(OR(I289="Trabajo actualmente como empleado",I289="Trabajo de manera independiente"),CHOOSE(MOD(COUNTIF($I$2:I289,I289)-1,3)+1,"Sí, completamente","Parcialmente","No"),"")</f>
        <v/>
      </c>
      <c r="M289" t="str">
        <f>IF(OR(I289="Trabajo actualmente como empleado",I289="Trabajo de manera independiente"),CHOOSE(MOD(INT((COUNTIF($I$2:I289,I289)-1)/3),4)+1,"1- Muy satisfecho/a","2- Satisfecho/a","3- Insatisfecho/a","4- Muy insatisfecho/a"),"")</f>
        <v/>
      </c>
      <c r="N289" t="str">
        <f>IF(OR(I289="Trabajo actualmente como empleado",I289="Trabajo de manera independiente"),_xlfn.LET(_xlpm.opcion,MOD(INT((COUNTIF($I$2:I289,I289)-1)/5),6)+1,CHOOSE(IF(AND(_xlpm.opcion=6,L289="Sí, completamente"),5,_xlpm.opcion),"Salario","Estabilidad laboral","Horario","Acceso a prestaciones","Oportunidades de crecimiento","Trabajar en un área relacionada con mi formación")),"")</f>
        <v/>
      </c>
      <c r="O289" s="9" t="str">
        <f>IF(OR(I289="Trabajo actualmente como empleado",I289="Trabajo de manera independiente"),_xlfn.LET(_xlpm.turno,MOD(COUNTIF($I$2:I289,I289)-1,5),_xlpm.nivel,VALUE(LEFT(M289,1)),IF(_xlpm.turno=4,"No estoy seguro/a",IF(_xlpm.turno&lt;IF(_xlpm.nivel&lt;=2,1,3),"Sí","No"))),"")</f>
        <v/>
      </c>
      <c r="P289" s="9" t="str">
        <f>_xlfn.LET(_xlpm.perfil,I289,_xlpm.turno,COUNTIF($I$2:I289,_xlpm.perfil)-1,_xlpm.busca,OR(_xlpm.perfil="Actualmente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trabajar"),IF(AND(_xlpm.trabaja,O289="No"),"Todavía no he iniciado una búsqueda activa",CHOOSE(MOD(_xlpm.turno*3,5)+1,"Menos de 1 mes","Entre 1 y 3 meses","Entre 4 y 6 meses","Más de 6 meses","Todavía no he iniciado una búsqueda activa")),"")))</f>
        <v>Menos de 1 mes</v>
      </c>
      <c r="Q289" t="str">
        <f>IF(I289="Tengo un emprendimiento o quiero iniciar uno","",CHOOSE(MOD(INT((COUNTIF($I$2:I289,I289)-1)/7),3)+1,"Sí","No","Tengo una pero necesito actualizarla"))</f>
        <v>No</v>
      </c>
      <c r="R289" s="9" t="str">
        <f>IF(I289="Tengo un emprendimiento o quiero iniciar uno","",IF(I289="Busco mi primer empleo","No",IF(MOD(COUNTIF($I$2:I289,I289)-1,2)=0,"Sí","No")))</f>
        <v>Sí</v>
      </c>
      <c r="S289" t="str">
        <f>IF(I289="Tengo un emprendimiento o quiero iniciar uno","",CHOOSE(MOD(INT((COUNTIF($I$2:I289,I289)-1)/3),10)+1,"Portales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89" t="str">
        <f>IF(I289="Tengo un emprendimiento o quiero iniciar uno","",_xlfn.LET(_xlpm.opcion,MOD(INT((COUNTIF($I$2:I289,I289)-1)/4),6)+1,CHOOSE(IF(AND(_xlpm.opcion=3,Q289="Sí"),1,_xlpm.opcion),"Falta de experiencia","Falta de formación","Dificultades con la hoja de vida","Horarios disponibles","Transporte","Internet")))</f>
        <v>Falta de formación</v>
      </c>
      <c r="U289" s="9" t="str">
        <f>IF(I289="Tengo un emprendimiento o quiero iniciar uno","",IF(MOD(INT((COUNTIF($I$2:I289,I289)-1)/3),2)=0,"Sí","No"))</f>
        <v>No</v>
      </c>
      <c r="V289" s="9" t="str">
        <f>IF(I289="Tengo un emprendimiento o quiero iniciar uno",CHOOSE(MOD(COUNTIF($I$2:I289,I289)-1,3)+1,"Tengo un emprendimiento","Estoy iniciando un emprendimiento","Me interesa emprender"),"")</f>
        <v/>
      </c>
      <c r="W289" t="str">
        <f t="shared" si="77"/>
        <v/>
      </c>
      <c r="X289" s="9" t="str">
        <f>IF(I289="Tengo un emprendimiento o quiero iniciar uno",CHOOSE(MOD(COUNTIF($I$2:I289,I289)-1,5)+1,"Falta de financiación","Falta de conocimientos administrativos","Falta de conocimientos financieros","Falta de tiempo","Falta de herramientas"),"")</f>
        <v/>
      </c>
      <c r="Y289" s="9" t="str">
        <f t="shared" si="78"/>
        <v/>
      </c>
      <c r="Z289" t="str">
        <f>IF(I289="Tengo un emprendimiento o quiero iniciar uno",CHOOSE(INT(MOD((COUNTIF($I$2:I289,I289)-1)*7,39)/13)+1,"Sí","No","No conozco programas de ese tipo"),"")</f>
        <v/>
      </c>
      <c r="AA289" t="str">
        <f t="shared" si="79"/>
        <v>Puedo hacerlo con ayuda</v>
      </c>
      <c r="AB289" t="str">
        <f t="shared" si="79"/>
        <v>Puedo hacerlo con ayuda</v>
      </c>
      <c r="AC289" t="str">
        <f t="shared" si="80"/>
        <v>No puedo hacerlo</v>
      </c>
      <c r="AD289" s="9" t="str">
        <f t="shared" si="81"/>
        <v>Puedo hacerlo con dificultad</v>
      </c>
      <c r="AE289" t="str">
        <f t="shared" si="82"/>
        <v>No puedo hacerlo</v>
      </c>
      <c r="AF289" s="9" t="str">
        <f t="shared" si="83"/>
        <v>Crear una hoja de vida</v>
      </c>
      <c r="AG289" s="9" t="str">
        <f t="shared" si="84"/>
        <v>Falta de experiencia;Falta de información</v>
      </c>
      <c r="AH289" t="str">
        <f t="shared" si="85"/>
        <v>Ferias de empleo</v>
      </c>
      <c r="AI289" s="9" t="str">
        <f t="shared" si="86"/>
        <v>Presencial</v>
      </c>
      <c r="AJ289" s="9" t="str">
        <f t="shared" si="87"/>
        <v>Fines de semana</v>
      </c>
      <c r="AK289" s="9" t="str">
        <f t="shared" si="88"/>
        <v>Redes sociales</v>
      </c>
    </row>
    <row r="290" spans="1:37">
      <c r="A290" t="str">
        <f t="shared" si="89"/>
        <v>SG289</v>
      </c>
      <c r="B290" s="9" t="s">
        <v>419</v>
      </c>
      <c r="C290" s="9" t="s">
        <v>427</v>
      </c>
      <c r="D290" t="str">
        <f t="shared" si="72"/>
        <v>Masculino</v>
      </c>
      <c r="E290" t="str">
        <f t="shared" si="73"/>
        <v>De 24 a 26 años</v>
      </c>
      <c r="F290">
        <f t="shared" si="74"/>
        <v>25</v>
      </c>
      <c r="G290" s="9" t="s">
        <v>430</v>
      </c>
      <c r="H290" s="9" t="str">
        <f t="shared" si="75"/>
        <v>Posgrado</v>
      </c>
      <c r="I290" s="9" t="str">
        <f t="shared" si="76"/>
        <v>Trabajo actualmente como empleado</v>
      </c>
      <c r="J290" s="13" t="str">
        <f>IF(I290="Trabajo actualmente como empleado",IF(MOD((COUNTIF($I$2:I290,"Trabajo actualmente como empleado")-1)*37,150)&lt;100,"Empleado con contrato","Empleado sin contrato formal"),IF(I290="Trabajo de manera independiente","Trabajo independiente",""))</f>
        <v>Empleado con contrato</v>
      </c>
      <c r="K290" s="9" t="str">
        <f>IF(OR(I290="Trabajo actualmente como empleado",I290="Trabajo de manera independiente"),CHOOSE(MOD(COUNTIF($I$2:I290,I290)-1,4)+1,"Menos de 3 meses","De 3 a 6 meses","De 7 a 12 meses","Más de un año"),"")</f>
        <v>Más de un año</v>
      </c>
      <c r="L290" t="str">
        <f>IF(OR(I290="Trabajo actualmente como empleado",I290="Trabajo de manera independiente"),CHOOSE(MOD(COUNTIF($I$2:I290,I290)-1,3)+1,"Sí, completamente","Parcialmente","No"),"")</f>
        <v>Parcialmente</v>
      </c>
      <c r="M290" t="str">
        <f>IF(OR(I290="Trabajo actualmente como empleado",I290="Trabajo de manera independiente"),CHOOSE(MOD(INT((COUNTIF($I$2:I290,I290)-1)/3),4)+1,"1- Muy satisfecho/a","2- Satisfecho/a","3- Insatisfecho/a","4- Muy insatisfecho/a"),"")</f>
        <v>3- Insatisfecho/a</v>
      </c>
      <c r="N290" t="str">
        <f>IF(OR(I290="Trabajo actualmente como empleado",I290="Trabajo de manera independiente"),_xlfn.LET(_xlpm.opcion,MOD(INT((COUNTIF($I$2:I290,I290)-1)/5),6)+1,CHOOSE(IF(AND(_xlpm.opcion=6,L290="Sí, completamente"),5,_xlpm.opcion),"Salario","Estabilidad laboral","Horario","Acceso a prestaciones","Oportunidades de crecimiento","Trabajar en un área relacionada con mi formación")),"")</f>
        <v>Salario</v>
      </c>
      <c r="O290" s="9" t="str">
        <f>IF(OR(I290="Trabajo actualmente como empleado",I290="Trabajo de manera independiente"),_xlfn.LET(_xlpm.turno,MOD(COUNTIF($I$2:I290,I290)-1,5),_xlpm.nivel,VALUE(LEFT(M290,1)),IF(_xlpm.turno=4,"No estoy seguro/a",IF(_xlpm.turno&lt;IF(_xlpm.nivel&lt;=2,1,3),"Sí","No"))),"")</f>
        <v>Sí</v>
      </c>
      <c r="P290" s="9" t="str">
        <f>_xlfn.LET(_xlpm.perfil,I290,_xlpm.turno,COUNTIF($I$2:I290,_xlpm.perfil)-1,_xlpm.busca,OR(_xlpm.perfil="Actualmente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trabajar"),IF(AND(_xlpm.trabaja,O290="No"),"Todavía no he iniciado una búsqueda activa",CHOOSE(MOD(_xlpm.turno*3,5)+1,"Menos de 1 mes","Entre 1 y 3 meses","Entre 4 y 6 meses","Más de 6 meses","Todavía no he iniciado una búsqueda activa")),"")))</f>
        <v>Más de 6 meses</v>
      </c>
      <c r="Q290" t="str">
        <f>IF(I290="Tengo un emprendimiento o quiero iniciar uno","",CHOOSE(MOD(INT((COUNTIF($I$2:I290,I290)-1)/7),3)+1,"Sí","No","Tengo una pero necesito actualizarla"))</f>
        <v>No</v>
      </c>
      <c r="R290" s="9" t="str">
        <f>IF(I290="Tengo un emprendimiento o quiero iniciar uno","",IF(I290="Busco mi primer empleo","No",IF(MOD(COUNTIF($I$2:I290,I290)-1,2)=0,"Sí","No")))</f>
        <v>No</v>
      </c>
      <c r="S290" t="str">
        <f>IF(I290="Tengo un emprendimiento o quiero iniciar uno","",CHOOSE(MOD(INT((COUNTIF($I$2:I290,I290)-1)/3),10)+1,"Portales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90" t="str">
        <f>IF(I290="Tengo un emprendimiento o quiero iniciar uno","",_xlfn.LET(_xlpm.opcion,MOD(INT((COUNTIF($I$2:I290,I290)-1)/4),6)+1,CHOOSE(IF(AND(_xlpm.opcion=3,Q290="Sí"),1,_xlpm.opcion),"Falta de experiencia","Falta de formación","Dificultades con la hoja de vida","Horarios disponibles","Transporte","Internet")))</f>
        <v>Transporte</v>
      </c>
      <c r="U290" s="9" t="str">
        <f>IF(I290="Tengo un emprendimiento o quiero iniciar uno","",IF(MOD(INT((COUNTIF($I$2:I290,I290)-1)/3),2)=0,"Sí","No"))</f>
        <v>Sí</v>
      </c>
      <c r="V290" s="9" t="str">
        <f>IF(I290="Tengo un emprendimiento o quiero iniciar uno",CHOOSE(MOD(COUNTIF($I$2:I290,I290)-1,3)+1,"Tengo un emprendimiento","Estoy iniciando un emprendimiento","Me interesa emprender"),"")</f>
        <v/>
      </c>
      <c r="W290" t="str">
        <f t="shared" si="77"/>
        <v/>
      </c>
      <c r="X290" s="9" t="str">
        <f>IF(I290="Tengo un emprendimiento o quiero iniciar uno",CHOOSE(MOD(COUNTIF($I$2:I290,I290)-1,5)+1,"Falta de financiación","Falta de conocimientos administrativos","Falta de conocimientos financieros","Falta de tiempo","Falta de herramientas"),"")</f>
        <v/>
      </c>
      <c r="Y290" s="9" t="str">
        <f t="shared" si="78"/>
        <v/>
      </c>
      <c r="Z290" t="str">
        <f>IF(I290="Tengo un emprendimiento o quiero iniciar uno",CHOOSE(INT(MOD((COUNTIF($I$2:I290,I290)-1)*7,39)/13)+1,"Sí","No","No conozco programas de ese tipo"),"")</f>
        <v/>
      </c>
      <c r="AA290" t="str">
        <f t="shared" si="79"/>
        <v>Puedo hacerlo sin ayuda</v>
      </c>
      <c r="AB290" t="str">
        <f t="shared" si="79"/>
        <v>Puedo hacerlo sin ayuda</v>
      </c>
      <c r="AC290" t="str">
        <f t="shared" si="80"/>
        <v>Puedo hacerlo con dificultad</v>
      </c>
      <c r="AD290" s="9" t="str">
        <f t="shared" si="81"/>
        <v>Puedo hacerlo sin ayuda</v>
      </c>
      <c r="AE290" t="str">
        <f t="shared" si="82"/>
        <v>Puedo hacerlo con ayuda</v>
      </c>
      <c r="AF290" s="9" t="str">
        <f t="shared" si="83"/>
        <v>Preparación para entrevista</v>
      </c>
      <c r="AG290" s="9" t="str">
        <f t="shared" si="84"/>
        <v>Costos de transporte;Distancia</v>
      </c>
      <c r="AH290" t="str">
        <f t="shared" si="85"/>
        <v>No conozco ninguno</v>
      </c>
      <c r="AI290" s="9" t="str">
        <f t="shared" si="86"/>
        <v>Presencial y virtual</v>
      </c>
      <c r="AJ290" s="9" t="str">
        <f t="shared" si="87"/>
        <v>Diurno</v>
      </c>
      <c r="AK290" s="9" t="str">
        <f t="shared" si="88"/>
        <v>WhatsApp</v>
      </c>
    </row>
    <row r="291" spans="1:37">
      <c r="A291" t="str">
        <f t="shared" si="89"/>
        <v>SG290</v>
      </c>
      <c r="B291" s="9" t="s">
        <v>419</v>
      </c>
      <c r="C291" s="9" t="s">
        <v>427</v>
      </c>
      <c r="D291" t="str">
        <f t="shared" si="72"/>
        <v>Femenino</v>
      </c>
      <c r="E291" t="str">
        <f t="shared" si="73"/>
        <v>De 26 a 28 años</v>
      </c>
      <c r="F291">
        <f t="shared" si="74"/>
        <v>26</v>
      </c>
      <c r="G291" s="9" t="s">
        <v>430</v>
      </c>
      <c r="H291" s="9" t="str">
        <f t="shared" si="75"/>
        <v>Técnico</v>
      </c>
      <c r="I291" s="9" t="str">
        <f t="shared" si="76"/>
        <v>Trabajo de manera independiente</v>
      </c>
      <c r="J291" s="13" t="str">
        <f>IF(I291="Trabajo actualmente como empleado",IF(MOD((COUNTIF($I$2:I291,"Trabajo actualmente como empleado")-1)*37,150)&lt;100,"Empleado con contrato","Empleado sin contrato formal"),IF(I291="Trabajo de manera independiente","Trabajo independiente",""))</f>
        <v>Trabajo independiente</v>
      </c>
      <c r="K291" s="9" t="str">
        <f>IF(OR(I291="Trabajo actualmente como empleado",I291="Trabajo de manera independiente"),CHOOSE(MOD(COUNTIF($I$2:I291,I291)-1,4)+1,"Menos de 3 meses","De 3 a 6 meses","De 7 a 12 meses","Más de un año"),"")</f>
        <v>Menos de 3 meses</v>
      </c>
      <c r="L291" t="str">
        <f>IF(OR(I291="Trabajo actualmente como empleado",I291="Trabajo de manera independiente"),CHOOSE(MOD(COUNTIF($I$2:I291,I291)-1,3)+1,"Sí, completamente","Parcialmente","No"),"")</f>
        <v>Sí, completamente</v>
      </c>
      <c r="M291" t="str">
        <f>IF(OR(I291="Trabajo actualmente como empleado",I291="Trabajo de manera independiente"),CHOOSE(MOD(INT((COUNTIF($I$2:I291,I291)-1)/3),4)+1,"1- Muy satisfecho/a","2- Satisfecho/a","3- Insatisfecho/a","4- Muy insatisfecho/a"),"")</f>
        <v>1- Muy satisfecho/a</v>
      </c>
      <c r="N291" t="str">
        <f>IF(OR(I291="Trabajo actualmente como empleado",I291="Trabajo de manera independiente"),_xlfn.LET(_xlpm.opcion,MOD(INT((COUNTIF($I$2:I291,I291)-1)/5),6)+1,CHOOSE(IF(AND(_xlpm.opcion=6,L291="Sí, completamente"),5,_xlpm.opcion),"Salario","Estabilidad laboral","Horario","Acceso a prestaciones","Oportunidades de crecimiento","Trabajar en un área relacionada con mi formación")),"")</f>
        <v>Acceso a prestaciones</v>
      </c>
      <c r="O291" s="9" t="str">
        <f>IF(OR(I291="Trabajo actualmente como empleado",I291="Trabajo de manera independiente"),_xlfn.LET(_xlpm.turno,MOD(COUNTIF($I$2:I291,I291)-1,5),_xlpm.nivel,VALUE(LEFT(M291,1)),IF(_xlpm.turno=4,"No estoy seguro/a",IF(_xlpm.turno&lt;IF(_xlpm.nivel&lt;=2,1,3),"Sí","No"))),"")</f>
        <v>No</v>
      </c>
      <c r="P291" s="9" t="str">
        <f>_xlfn.LET(_xlpm.perfil,I291,_xlpm.turno,COUNTIF($I$2:I291,_xlpm.perfil)-1,_xlpm.busca,OR(_xlpm.perfil="Actualmente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91" t="str">
        <f>IF(I291="Tengo un emprendimiento o quiero iniciar uno","",CHOOSE(MOD(INT((COUNTIF($I$2:I291,I291)-1)/7),3)+1,"Sí","No","Tengo una pero necesito actualizarla"))</f>
        <v>Sí</v>
      </c>
      <c r="R291" s="9" t="str">
        <f>IF(I291="Tengo un emprendimiento o quiero iniciar uno","",IF(I291="Busco mi primer empleo","No",IF(MOD(COUNTIF($I$2:I291,I291)-1,2)=0,"Sí","No")))</f>
        <v>Sí</v>
      </c>
      <c r="S291" t="str">
        <f>IF(I291="Tengo un emprendimiento o quiero iniciar uno","",CHOOSE(MOD(INT((COUNTIF($I$2:I291,I291)-1)/3),10)+1,"Portales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91" t="str">
        <f>IF(I291="Tengo un emprendimiento o quiero iniciar uno","",_xlfn.LET(_xlpm.opcion,MOD(INT((COUNTIF($I$2:I291,I291)-1)/4),6)+1,CHOOSE(IF(AND(_xlpm.opcion=3,Q291="Sí"),1,_xlpm.opcion),"Falta de experiencia","Falta de formación","Dificultades con la hoja de vida","Horarios disponibles","Transporte","Internet")))</f>
        <v>Falta de experiencia</v>
      </c>
      <c r="U291" s="9" t="str">
        <f>IF(I291="Tengo un emprendimiento o quiero iniciar uno","",IF(MOD(INT((COUNTIF($I$2:I291,I291)-1)/3),2)=0,"Sí","No"))</f>
        <v>Sí</v>
      </c>
      <c r="V291" s="9" t="str">
        <f>IF(I291="Tengo un emprendimiento o quiero iniciar uno",CHOOSE(MOD(COUNTIF($I$2:I291,I291)-1,3)+1,"Tengo un emprendimiento","Estoy iniciando un emprendimiento","Me interesa emprender"),"")</f>
        <v/>
      </c>
      <c r="W291" t="str">
        <f t="shared" si="77"/>
        <v/>
      </c>
      <c r="X291" s="9" t="str">
        <f>IF(I291="Tengo un emprendimiento o quiero iniciar uno",CHOOSE(MOD(COUNTIF($I$2:I291,I291)-1,5)+1,"Falta de financiación","Falta de conocimientos administrativos","Falta de conocimientos financieros","Falta de tiempo","Falta de herramientas"),"")</f>
        <v/>
      </c>
      <c r="Y291" s="9" t="str">
        <f t="shared" si="78"/>
        <v/>
      </c>
      <c r="Z291" t="str">
        <f>IF(I291="Tengo un emprendimiento o quiero iniciar uno",CHOOSE(INT(MOD((COUNTIF($I$2:I291,I291)-1)*7,39)/13)+1,"Sí","No","No conozco programas de ese tipo"),"")</f>
        <v/>
      </c>
      <c r="AA291" t="str">
        <f t="shared" si="79"/>
        <v>No puedo hacerlo</v>
      </c>
      <c r="AB291" t="str">
        <f t="shared" si="79"/>
        <v>No puedo hacerlo</v>
      </c>
      <c r="AC291" t="str">
        <f t="shared" si="80"/>
        <v>Puedo hacerlo sin ayuda</v>
      </c>
      <c r="AD291" s="9" t="str">
        <f t="shared" si="81"/>
        <v>Puedo hacerlo sin ayuda</v>
      </c>
      <c r="AE291" t="str">
        <f t="shared" si="82"/>
        <v>Puedo hacerlo con ayuda</v>
      </c>
      <c r="AF291" s="9" t="str">
        <f t="shared" si="83"/>
        <v>Comunicación</v>
      </c>
      <c r="AG291" s="9" t="str">
        <f t="shared" si="84"/>
        <v>Costos de transporte;Distancia</v>
      </c>
      <c r="AH291" t="str">
        <f t="shared" si="85"/>
        <v>Oficina de orientación laboral</v>
      </c>
      <c r="AI291" s="9" t="str">
        <f t="shared" si="86"/>
        <v>Me es indiferente</v>
      </c>
      <c r="AJ291" s="9" t="str">
        <f t="shared" si="87"/>
        <v>Mañana entre semana</v>
      </c>
      <c r="AK291" s="9" t="str">
        <f t="shared" si="88"/>
        <v>Correo electrónico</v>
      </c>
    </row>
    <row r="292" spans="1:37">
      <c r="A292" t="str">
        <f t="shared" si="89"/>
        <v>SG291</v>
      </c>
      <c r="B292" s="9" t="s">
        <v>419</v>
      </c>
      <c r="C292" s="9" t="s">
        <v>427</v>
      </c>
      <c r="D292" t="str">
        <f t="shared" si="72"/>
        <v>Femenino</v>
      </c>
      <c r="E292" t="str">
        <f t="shared" si="73"/>
        <v>De 18 a 20 años</v>
      </c>
      <c r="F292">
        <f t="shared" si="74"/>
        <v>18</v>
      </c>
      <c r="G292" s="9" t="s">
        <v>430</v>
      </c>
      <c r="H292" s="9" t="str">
        <f t="shared" si="75"/>
        <v>Bachiller</v>
      </c>
      <c r="I292" s="9" t="str">
        <f t="shared" si="76"/>
        <v>Busco mi primer empleo</v>
      </c>
      <c r="J292" s="13" t="str">
        <f>IF(I292="Trabajo actualmente como empleado",IF(MOD((COUNTIF($I$2:I292,"Trabajo actualmente como empleado")-1)*37,150)&lt;100,"Empleado con contrato","Empleado sin contrato formal"),IF(I292="Trabajo de manera independiente","Trabajo independiente",""))</f>
        <v/>
      </c>
      <c r="K292" s="9" t="str">
        <f>IF(OR(I292="Trabajo actualmente como empleado",I292="Trabajo de manera independiente"),CHOOSE(MOD(COUNTIF($I$2:I292,I292)-1,4)+1,"Menos de 3 meses","De 3 a 6 meses","De 7 a 12 meses","Más de un año"),"")</f>
        <v/>
      </c>
      <c r="L292" t="str">
        <f>IF(OR(I292="Trabajo actualmente como empleado",I292="Trabajo de manera independiente"),CHOOSE(MOD(COUNTIF($I$2:I292,I292)-1,3)+1,"Sí, completamente","Parcialmente","No"),"")</f>
        <v/>
      </c>
      <c r="M292" t="str">
        <f>IF(OR(I292="Trabajo actualmente como empleado",I292="Trabajo de manera independiente"),CHOOSE(MOD(INT((COUNTIF($I$2:I292,I292)-1)/3),4)+1,"1- Muy satisfecho/a","2- Satisfecho/a","3- Insatisfecho/a","4- Muy insatisfecho/a"),"")</f>
        <v/>
      </c>
      <c r="N292" t="str">
        <f>IF(OR(I292="Trabajo actualmente como empleado",I292="Trabajo de manera independiente"),_xlfn.LET(_xlpm.opcion,MOD(INT((COUNTIF($I$2:I292,I292)-1)/5),6)+1,CHOOSE(IF(AND(_xlpm.opcion=6,L292="Sí, completamente"),5,_xlpm.opcion),"Salario","Estabilidad laboral","Horario","Acceso a prestaciones","Oportunidades de crecimiento","Trabajar en un área relacionada con mi formación")),"")</f>
        <v/>
      </c>
      <c r="O292" s="9" t="str">
        <f>IF(OR(I292="Trabajo actualmente como empleado",I292="Trabajo de manera independiente"),_xlfn.LET(_xlpm.turno,MOD(COUNTIF($I$2:I292,I292)-1,5),_xlpm.nivel,VALUE(LEFT(M292,1)),IF(_xlpm.turno=4,"No estoy seguro/a",IF(_xlpm.turno&lt;IF(_xlpm.nivel&lt;=2,1,3),"Sí","No"))),"")</f>
        <v/>
      </c>
      <c r="P292" s="9" t="str">
        <f>_xlfn.LET(_xlpm.perfil,I292,_xlpm.turno,COUNTIF($I$2:I292,_xlpm.perfil)-1,_xlpm.busca,OR(_xlpm.perfil="Actualmente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trabajar"),IF(AND(_xlpm.trabaja,O292="No"),"Todavía no he iniciado una búsqueda activa",CHOOSE(MOD(_xlpm.turno*3,5)+1,"Menos de 1 mes","Entre 1 y 3 meses","Entre 4 y 6 meses","Más de 6 meses","Todavía no he iniciado una búsqueda activa")),"")))</f>
        <v>Entre 1 y 3 meses</v>
      </c>
      <c r="Q292" t="str">
        <f>IF(I292="Tengo un emprendimiento o quiero iniciar uno","",CHOOSE(MOD(INT((COUNTIF($I$2:I292,I292)-1)/7),3)+1,"Sí","No","Tengo una pero necesito actualizarla"))</f>
        <v>Tengo una pero necesito actualizarla</v>
      </c>
      <c r="R292" s="9" t="str">
        <f>IF(I292="Tengo un emprendimiento o quiero iniciar uno","",IF(I292="Busco mi primer empleo","No",IF(MOD(COUNTIF($I$2:I292,I292)-1,2)=0,"Sí","No")))</f>
        <v>No</v>
      </c>
      <c r="S292" t="str">
        <f>IF(I292="Tengo un emprendimiento o quiero iniciar uno","",CHOOSE(MOD(INT((COUNTIF($I$2:I292,I292)-1)/3),10)+1,"Portales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292" t="str">
        <f>IF(I292="Tengo un emprendimiento o quiero iniciar uno","",_xlfn.LET(_xlpm.opcion,MOD(INT((COUNTIF($I$2:I292,I292)-1)/4),6)+1,CHOOSE(IF(AND(_xlpm.opcion=3,Q292="Sí"),1,_xlpm.opcion),"Falta de experiencia","Falta de formación","Dificultades con la hoja de vida","Horarios disponibles","Transporte","Internet")))</f>
        <v>Horarios disponibles</v>
      </c>
      <c r="U292" s="9" t="str">
        <f>IF(I292="Tengo un emprendimiento o quiero iniciar uno","",IF(MOD(INT((COUNTIF($I$2:I292,I292)-1)/3),2)=0,"Sí","No"))</f>
        <v>No</v>
      </c>
      <c r="V292" s="9" t="str">
        <f>IF(I292="Tengo un emprendimiento o quiero iniciar uno",CHOOSE(MOD(COUNTIF($I$2:I292,I292)-1,3)+1,"Tengo un emprendimiento","Estoy iniciando un emprendimiento","Me interesa emprender"),"")</f>
        <v/>
      </c>
      <c r="W292" t="str">
        <f t="shared" si="77"/>
        <v/>
      </c>
      <c r="X292" s="9" t="str">
        <f>IF(I292="Tengo un emprendimiento o quiero iniciar uno",CHOOSE(MOD(COUNTIF($I$2:I292,I292)-1,5)+1,"Falta de financiación","Falta de conocimientos administrativos","Falta de conocimientos financieros","Falta de tiempo","Falta de herramientas"),"")</f>
        <v/>
      </c>
      <c r="Y292" s="9" t="str">
        <f t="shared" si="78"/>
        <v/>
      </c>
      <c r="Z292" t="str">
        <f>IF(I292="Tengo un emprendimiento o quiero iniciar uno",CHOOSE(INT(MOD((COUNTIF($I$2:I292,I292)-1)*7,39)/13)+1,"Sí","No","No conozco programas de ese tipo"),"")</f>
        <v/>
      </c>
      <c r="AA292" t="str">
        <f t="shared" si="79"/>
        <v>Puedo hacerlo con dificultad</v>
      </c>
      <c r="AB292" t="str">
        <f t="shared" si="79"/>
        <v>Puedo hacerlo con dificultad</v>
      </c>
      <c r="AC292" t="str">
        <f t="shared" si="80"/>
        <v>No puedo hacerlo</v>
      </c>
      <c r="AD292" s="9" t="str">
        <f t="shared" si="81"/>
        <v>No puedo hacerlo</v>
      </c>
      <c r="AE292" t="str">
        <f t="shared" si="82"/>
        <v>Puedo hacerlo con dificultad</v>
      </c>
      <c r="AF292" s="9" t="str">
        <f t="shared" si="83"/>
        <v>Liderazgo</v>
      </c>
      <c r="AG292" s="9" t="str">
        <f t="shared" si="84"/>
        <v>Costos de transporte;Distancia</v>
      </c>
      <c r="AH292" t="str">
        <f t="shared" si="85"/>
        <v>Programas de emprendimiento</v>
      </c>
      <c r="AI292" s="9" t="str">
        <f t="shared" si="86"/>
        <v>Presencial</v>
      </c>
      <c r="AJ292" s="9" t="str">
        <f t="shared" si="87"/>
        <v>Fines de semana</v>
      </c>
      <c r="AK292" s="9" t="str">
        <f t="shared" si="88"/>
        <v>Celular</v>
      </c>
    </row>
    <row r="293" spans="1:37">
      <c r="A293" t="str">
        <f t="shared" si="89"/>
        <v>SG292</v>
      </c>
      <c r="B293" s="9" t="s">
        <v>419</v>
      </c>
      <c r="C293" s="9" t="s">
        <v>427</v>
      </c>
      <c r="D293" t="str">
        <f t="shared" si="72"/>
        <v>Masculino</v>
      </c>
      <c r="E293" t="str">
        <f t="shared" si="73"/>
        <v>De 20 a 22 años</v>
      </c>
      <c r="F293">
        <f t="shared" si="74"/>
        <v>20</v>
      </c>
      <c r="G293" s="9" t="s">
        <v>430</v>
      </c>
      <c r="H293" s="9" t="str">
        <f t="shared" si="75"/>
        <v>Bachiller</v>
      </c>
      <c r="I293" s="9" t="str">
        <f t="shared" si="76"/>
        <v>Trabajo actualmente como empleado</v>
      </c>
      <c r="J293" s="13" t="str">
        <f>IF(I293="Trabajo actualmente como empleado",IF(MOD((COUNTIF($I$2:I293,"Trabajo actualmente como empleado")-1)*37,150)&lt;100,"Empleado con contrato","Empleado sin contrato formal"),IF(I293="Trabajo de manera independiente","Trabajo independiente",""))</f>
        <v>Empleado sin contrato formal</v>
      </c>
      <c r="K293" s="9" t="str">
        <f>IF(OR(I293="Trabajo actualmente como empleado",I293="Trabajo de manera independiente"),CHOOSE(MOD(COUNTIF($I$2:I293,I293)-1,4)+1,"Menos de 3 meses","De 3 a 6 meses","De 7 a 12 meses","Más de un año"),"")</f>
        <v>Menos de 3 meses</v>
      </c>
      <c r="L293" t="str">
        <f>IF(OR(I293="Trabajo actualmente como empleado",I293="Trabajo de manera independiente"),CHOOSE(MOD(COUNTIF($I$2:I293,I293)-1,3)+1,"Sí, completamente","Parcialmente","No"),"")</f>
        <v>No</v>
      </c>
      <c r="M293" t="str">
        <f>IF(OR(I293="Trabajo actualmente como empleado",I293="Trabajo de manera independiente"),CHOOSE(MOD(INT((COUNTIF($I$2:I293,I293)-1)/3),4)+1,"1- Muy satisfecho/a","2- Satisfecho/a","3- Insatisfecho/a","4- Muy insatisfecho/a"),"")</f>
        <v>3- Insatisfecho/a</v>
      </c>
      <c r="N293" t="str">
        <f>IF(OR(I293="Trabajo actualmente como empleado",I293="Trabajo de manera independiente"),_xlfn.LET(_xlpm.opcion,MOD(INT((COUNTIF($I$2:I293,I293)-1)/5),6)+1,CHOOSE(IF(AND(_xlpm.opcion=6,L293="Sí, completamente"),5,_xlpm.opcion),"Salario","Estabilidad laboral","Horario","Acceso a prestaciones","Oportunidades de crecimiento","Trabajar en un área relacionada con mi formación")),"")</f>
        <v>Salario</v>
      </c>
      <c r="O293" s="9" t="str">
        <f>IF(OR(I293="Trabajo actualmente como empleado",I293="Trabajo de manera independiente"),_xlfn.LET(_xlpm.turno,MOD(COUNTIF($I$2:I293,I293)-1,5),_xlpm.nivel,VALUE(LEFT(M293,1)),IF(_xlpm.turno=4,"No estoy seguro/a",IF(_xlpm.turno&lt;IF(_xlpm.nivel&lt;=2,1,3),"Sí","No"))),"")</f>
        <v>Sí</v>
      </c>
      <c r="P293" s="9" t="str">
        <f>_xlfn.LET(_xlpm.perfil,I293,_xlpm.turno,COUNTIF($I$2:I293,_xlpm.perfil)-1,_xlpm.busca,OR(_xlpm.perfil="Actualmente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trabajar"),IF(AND(_xlpm.trabaja,O293="No"),"Todavía no he iniciado una búsqueda activa",CHOOSE(MOD(_xlpm.turno*3,5)+1,"Menos de 1 mes","Entre 1 y 3 meses","Entre 4 y 6 meses","Más de 6 meses","Todavía no he iniciado una búsqueda activa")),"")))</f>
        <v>Entre 1 y 3 meses</v>
      </c>
      <c r="Q293" t="str">
        <f>IF(I293="Tengo un emprendimiento o quiero iniciar uno","",CHOOSE(MOD(INT((COUNTIF($I$2:I293,I293)-1)/7),3)+1,"Sí","No","Tengo una pero necesito actualizarla"))</f>
        <v>No</v>
      </c>
      <c r="R293" s="9" t="str">
        <f>IF(I293="Tengo un emprendimiento o quiero iniciar uno","",IF(I293="Busco mi primer empleo","No",IF(MOD(COUNTIF($I$2:I293,I293)-1,2)=0,"Sí","No")))</f>
        <v>Sí</v>
      </c>
      <c r="S293" t="str">
        <f>IF(I293="Tengo un emprendimiento o quiero iniciar uno","",CHOOSE(MOD(INT((COUNTIF($I$2:I293,I293)-1)/3),10)+1,"Portales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293" t="str">
        <f>IF(I293="Tengo un emprendimiento o quiero iniciar uno","",_xlfn.LET(_xlpm.opcion,MOD(INT((COUNTIF($I$2:I293,I293)-1)/4),6)+1,CHOOSE(IF(AND(_xlpm.opcion=3,Q293="Sí"),1,_xlpm.opcion),"Falta de experiencia","Falta de formación","Dificultades con la hoja de vida","Horarios disponibles","Transporte","Internet")))</f>
        <v>Internet</v>
      </c>
      <c r="U293" s="9" t="str">
        <f>IF(I293="Tengo un emprendimiento o quiero iniciar uno","",IF(MOD(INT((COUNTIF($I$2:I293,I293)-1)/3),2)=0,"Sí","No"))</f>
        <v>Sí</v>
      </c>
      <c r="V293" s="9" t="str">
        <f>IF(I293="Tengo un emprendimiento o quiero iniciar uno",CHOOSE(MOD(COUNTIF($I$2:I293,I293)-1,3)+1,"Tengo un emprendimiento","Estoy iniciando un emprendimiento","Me interesa emprender"),"")</f>
        <v/>
      </c>
      <c r="W293" t="str">
        <f t="shared" si="77"/>
        <v/>
      </c>
      <c r="X293" s="9" t="str">
        <f>IF(I293="Tengo un emprendimiento o quiero iniciar uno",CHOOSE(MOD(COUNTIF($I$2:I293,I293)-1,5)+1,"Falta de financiación","Falta de conocimientos administrativos","Falta de conocimientos financieros","Falta de tiempo","Falta de herramientas"),"")</f>
        <v/>
      </c>
      <c r="Y293" s="9" t="str">
        <f t="shared" si="78"/>
        <v/>
      </c>
      <c r="Z293" t="str">
        <f>IF(I293="Tengo un emprendimiento o quiero iniciar uno",CHOOSE(INT(MOD((COUNTIF($I$2:I293,I293)-1)*7,39)/13)+1,"Sí","No","No conozco programas de ese tipo"),"")</f>
        <v/>
      </c>
      <c r="AA293" t="str">
        <f t="shared" si="79"/>
        <v>No puedo hacerlo</v>
      </c>
      <c r="AB293" t="str">
        <f t="shared" si="79"/>
        <v>No puedo hacerlo</v>
      </c>
      <c r="AC293" t="str">
        <f t="shared" si="80"/>
        <v>Puedo hacerlo con dificultad</v>
      </c>
      <c r="AD293" s="9" t="str">
        <f t="shared" si="81"/>
        <v>Puedo hacerlo con ayuda</v>
      </c>
      <c r="AE293" t="str">
        <f t="shared" si="82"/>
        <v>Puedo hacerlo con dificultad</v>
      </c>
      <c r="AF293" s="9" t="str">
        <f t="shared" si="83"/>
        <v>Emprendimiento</v>
      </c>
      <c r="AG293" s="9" t="str">
        <f t="shared" si="84"/>
        <v>Falta de información</v>
      </c>
      <c r="AH293" t="str">
        <f t="shared" si="85"/>
        <v>Oficina de orientación laboral</v>
      </c>
      <c r="AI293" s="9" t="str">
        <f t="shared" si="86"/>
        <v>Virtual</v>
      </c>
      <c r="AJ293" s="9" t="str">
        <f t="shared" si="87"/>
        <v>Diurno</v>
      </c>
      <c r="AK293" s="9" t="str">
        <f t="shared" si="88"/>
        <v>WhatsApp</v>
      </c>
    </row>
    <row r="294" spans="1:37">
      <c r="A294" t="str">
        <f t="shared" si="89"/>
        <v>SG293</v>
      </c>
      <c r="B294" s="9" t="s">
        <v>419</v>
      </c>
      <c r="C294" s="9" t="s">
        <v>427</v>
      </c>
      <c r="D294" t="str">
        <f t="shared" si="72"/>
        <v>Femenino</v>
      </c>
      <c r="E294" t="str">
        <f t="shared" si="73"/>
        <v>De 22 a 24 años</v>
      </c>
      <c r="F294">
        <f t="shared" si="74"/>
        <v>22</v>
      </c>
      <c r="G294" s="9" t="s">
        <v>430</v>
      </c>
      <c r="H294" s="9" t="str">
        <f t="shared" si="75"/>
        <v>Técnico</v>
      </c>
      <c r="I294" s="9" t="str">
        <f t="shared" si="76"/>
        <v>Trabajo de manera independiente</v>
      </c>
      <c r="J294" s="13" t="str">
        <f>IF(I294="Trabajo actualmente como empleado",IF(MOD((COUNTIF($I$2:I294,"Trabajo actualmente como empleado")-1)*37,150)&lt;100,"Empleado con contrato","Empleado sin contrato formal"),IF(I294="Trabajo de manera independiente","Trabajo independiente",""))</f>
        <v>Trabajo independiente</v>
      </c>
      <c r="K294" s="9" t="str">
        <f>IF(OR(I294="Trabajo actualmente como empleado",I294="Trabajo de manera independiente"),CHOOSE(MOD(COUNTIF($I$2:I294,I294)-1,4)+1,"Menos de 3 meses","De 3 a 6 meses","De 7 a 12 meses","Más de un año"),"")</f>
        <v>De 3 a 6 meses</v>
      </c>
      <c r="L294" t="str">
        <f>IF(OR(I294="Trabajo actualmente como empleado",I294="Trabajo de manera independiente"),CHOOSE(MOD(COUNTIF($I$2:I294,I294)-1,3)+1,"Sí, completamente","Parcialmente","No"),"")</f>
        <v>Parcialmente</v>
      </c>
      <c r="M294" t="str">
        <f>IF(OR(I294="Trabajo actualmente como empleado",I294="Trabajo de manera independiente"),CHOOSE(MOD(INT((COUNTIF($I$2:I294,I294)-1)/3),4)+1,"1- Muy satisfecho/a","2- Satisfecho/a","3- Insatisfecho/a","4- Muy insatisfecho/a"),"")</f>
        <v>1- Muy satisfecho/a</v>
      </c>
      <c r="N294" t="str">
        <f>IF(OR(I294="Trabajo actualmente como empleado",I294="Trabajo de manera independiente"),_xlfn.LET(_xlpm.opcion,MOD(INT((COUNTIF($I$2:I294,I294)-1)/5),6)+1,CHOOSE(IF(AND(_xlpm.opcion=6,L294="Sí, completamente"),5,_xlpm.opcion),"Salario","Estabilidad laboral","Horario","Acceso a prestaciones","Oportunidades de crecimiento","Trabajar en un área relacionada con mi formación")),"")</f>
        <v>Acceso a prestaciones</v>
      </c>
      <c r="O294" s="9" t="str">
        <f>IF(OR(I294="Trabajo actualmente como empleado",I294="Trabajo de manera independiente"),_xlfn.LET(_xlpm.turno,MOD(COUNTIF($I$2:I294,I294)-1,5),_xlpm.nivel,VALUE(LEFT(M294,1)),IF(_xlpm.turno=4,"No estoy seguro/a",IF(_xlpm.turno&lt;IF(_xlpm.nivel&lt;=2,1,3),"Sí","No"))),"")</f>
        <v>No estoy seguro/a</v>
      </c>
      <c r="P294" s="9" t="str">
        <f>_xlfn.LET(_xlpm.perfil,I294,_xlpm.turno,COUNTIF($I$2:I294,_xlpm.perfil)-1,_xlpm.busca,OR(_xlpm.perfil="Actualmente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trabajar"),IF(AND(_xlpm.trabaja,O294="No"),"Todavía no he iniciado una búsqueda activa",CHOOSE(MOD(_xlpm.turno*3,5)+1,"Menos de 1 mes","Entre 1 y 3 meses","Entre 4 y 6 meses","Más de 6 meses","Todavía no he iniciado una búsqueda activa")),"")))</f>
        <v>Entre 4 y 6 meses</v>
      </c>
      <c r="Q294" t="str">
        <f>IF(I294="Tengo un emprendimiento o quiero iniciar uno","",CHOOSE(MOD(INT((COUNTIF($I$2:I294,I294)-1)/7),3)+1,"Sí","No","Tengo una pero necesito actualizarla"))</f>
        <v>No</v>
      </c>
      <c r="R294" s="9" t="str">
        <f>IF(I294="Tengo un emprendimiento o quiero iniciar uno","",IF(I294="Busco mi primer empleo","No",IF(MOD(COUNTIF($I$2:I294,I294)-1,2)=0,"Sí","No")))</f>
        <v>No</v>
      </c>
      <c r="S294" t="str">
        <f>IF(I294="Tengo un emprendimiento o quiero iniciar uno","",CHOOSE(MOD(INT((COUNTIF($I$2:I294,I294)-1)/3),10)+1,"Portales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294" t="str">
        <f>IF(I294="Tengo un emprendimiento o quiero iniciar uno","",_xlfn.LET(_xlpm.opcion,MOD(INT((COUNTIF($I$2:I294,I294)-1)/4),6)+1,CHOOSE(IF(AND(_xlpm.opcion=3,Q294="Sí"),1,_xlpm.opcion),"Falta de experiencia","Falta de formación","Dificultades con la hoja de vida","Horarios disponibles","Transporte","Internet")))</f>
        <v>Falta de experiencia</v>
      </c>
      <c r="U294" s="9" t="str">
        <f>IF(I294="Tengo un emprendimiento o quiero iniciar uno","",IF(MOD(INT((COUNTIF($I$2:I294,I294)-1)/3),2)=0,"Sí","No"))</f>
        <v>Sí</v>
      </c>
      <c r="V294" s="9" t="str">
        <f>IF(I294="Tengo un emprendimiento o quiero iniciar uno",CHOOSE(MOD(COUNTIF($I$2:I294,I294)-1,3)+1,"Tengo un emprendimiento","Estoy iniciando un emprendimiento","Me interesa emprender"),"")</f>
        <v/>
      </c>
      <c r="W294" t="str">
        <f t="shared" si="77"/>
        <v/>
      </c>
      <c r="X294" s="9" t="str">
        <f>IF(I294="Tengo un emprendimiento o quiero iniciar uno",CHOOSE(MOD(COUNTIF($I$2:I294,I294)-1,5)+1,"Falta de financiación","Falta de conocimientos administrativos","Falta de conocimientos financieros","Falta de tiempo","Falta de herramientas"),"")</f>
        <v/>
      </c>
      <c r="Y294" s="9" t="str">
        <f t="shared" si="78"/>
        <v/>
      </c>
      <c r="Z294" t="str">
        <f>IF(I294="Tengo un emprendimiento o quiero iniciar uno",CHOOSE(INT(MOD((COUNTIF($I$2:I294,I294)-1)*7,39)/13)+1,"Sí","No","No conozco programas de ese tipo"),"")</f>
        <v/>
      </c>
      <c r="AA294" t="str">
        <f t="shared" si="79"/>
        <v>Puedo hacerlo con ayuda</v>
      </c>
      <c r="AB294" t="str">
        <f t="shared" si="79"/>
        <v>Puedo hacerlo con ayuda</v>
      </c>
      <c r="AC294" t="str">
        <f t="shared" si="80"/>
        <v>Puedo hacerlo sin ayuda</v>
      </c>
      <c r="AD294" s="9" t="str">
        <f t="shared" si="81"/>
        <v>Puedo hacerlo con dificultad</v>
      </c>
      <c r="AE294" t="str">
        <f t="shared" si="82"/>
        <v>Puedo hacerlo sin ayuda</v>
      </c>
      <c r="AF294" s="9" t="str">
        <f t="shared" si="83"/>
        <v>Herramientas digitales</v>
      </c>
      <c r="AG294" s="9" t="str">
        <f t="shared" si="84"/>
        <v>Falta de información</v>
      </c>
      <c r="AH294" t="str">
        <f t="shared" si="85"/>
        <v>Ferias de empleo</v>
      </c>
      <c r="AI294" s="9" t="str">
        <f t="shared" si="86"/>
        <v>Presencial y virtual</v>
      </c>
      <c r="AJ294" s="9" t="str">
        <f t="shared" si="87"/>
        <v>Mañana entre semana</v>
      </c>
      <c r="AK294" s="9" t="str">
        <f t="shared" si="88"/>
        <v>Redes sociales</v>
      </c>
    </row>
    <row r="295" spans="1:37">
      <c r="A295" t="str">
        <f t="shared" si="89"/>
        <v>SG294</v>
      </c>
      <c r="B295" s="9" t="s">
        <v>419</v>
      </c>
      <c r="C295" s="9" t="s">
        <v>427</v>
      </c>
      <c r="D295" t="str">
        <f t="shared" si="72"/>
        <v>Femenino</v>
      </c>
      <c r="E295" t="str">
        <f t="shared" si="73"/>
        <v>De 24 a 26 años</v>
      </c>
      <c r="F295">
        <f t="shared" si="74"/>
        <v>24</v>
      </c>
      <c r="G295" s="9" t="s">
        <v>430</v>
      </c>
      <c r="H295" s="9" t="str">
        <f t="shared" si="75"/>
        <v>Tecnólogo</v>
      </c>
      <c r="I295" s="9" t="str">
        <f t="shared" si="76"/>
        <v>Estudio y quiero comenzar a trabajar</v>
      </c>
      <c r="J295" s="13" t="str">
        <f>IF(I295="Trabajo actualmente como empleado",IF(MOD((COUNTIF($I$2:I295,"Trabajo actualmente como empleado")-1)*37,150)&lt;100,"Empleado con contrato","Empleado sin contrato formal"),IF(I295="Trabajo de manera independiente","Trabajo independiente",""))</f>
        <v/>
      </c>
      <c r="K295" s="9" t="str">
        <f>IF(OR(I295="Trabajo actualmente como empleado",I295="Trabajo de manera independiente"),CHOOSE(MOD(COUNTIF($I$2:I295,I295)-1,4)+1,"Menos de 3 meses","De 3 a 6 meses","De 7 a 12 meses","Más de un año"),"")</f>
        <v/>
      </c>
      <c r="L295" t="str">
        <f>IF(OR(I295="Trabajo actualmente como empleado",I295="Trabajo de manera independiente"),CHOOSE(MOD(COUNTIF($I$2:I295,I295)-1,3)+1,"Sí, completamente","Parcialmente","No"),"")</f>
        <v/>
      </c>
      <c r="M295" t="str">
        <f>IF(OR(I295="Trabajo actualmente como empleado",I295="Trabajo de manera independiente"),CHOOSE(MOD(INT((COUNTIF($I$2:I295,I295)-1)/3),4)+1,"1- Muy satisfecho/a","2- Satisfecho/a","3- Insatisfecho/a","4- Muy insatisfecho/a"),"")</f>
        <v/>
      </c>
      <c r="N295" t="str">
        <f>IF(OR(I295="Trabajo actualmente como empleado",I295="Trabajo de manera independiente"),_xlfn.LET(_xlpm.opcion,MOD(INT((COUNTIF($I$2:I295,I295)-1)/5),6)+1,CHOOSE(IF(AND(_xlpm.opcion=6,L295="Sí, completamente"),5,_xlpm.opcion),"Salario","Estabilidad laboral","Horario","Acceso a prestaciones","Oportunidades de crecimiento","Trabajar en un área relacionada con mi formación")),"")</f>
        <v/>
      </c>
      <c r="O295" s="9" t="str">
        <f>IF(OR(I295="Trabajo actualmente como empleado",I295="Trabajo de manera independiente"),_xlfn.LET(_xlpm.turno,MOD(COUNTIF($I$2:I295,I295)-1,5),_xlpm.nivel,VALUE(LEFT(M295,1)),IF(_xlpm.turno=4,"No estoy seguro/a",IF(_xlpm.turno&lt;IF(_xlpm.nivel&lt;=2,1,3),"Sí","No"))),"")</f>
        <v/>
      </c>
      <c r="P295" s="9" t="str">
        <f>_xlfn.LET(_xlpm.perfil,I295,_xlpm.turno,COUNTIF($I$2:I295,_xlpm.perfil)-1,_xlpm.busca,OR(_xlpm.perfil="Actualmente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95" t="str">
        <f>IF(I295="Tengo un emprendimiento o quiero iniciar uno","",CHOOSE(MOD(INT((COUNTIF($I$2:I295,I295)-1)/7),3)+1,"Sí","No","Tengo una pero necesito actualizarla"))</f>
        <v>No</v>
      </c>
      <c r="R295" s="9" t="str">
        <f>IF(I295="Tengo un emprendimiento o quiero iniciar uno","",IF(I295="Busco mi primer empleo","No",IF(MOD(COUNTIF($I$2:I295,I295)-1,2)=0,"Sí","No")))</f>
        <v>No</v>
      </c>
      <c r="S295" t="str">
        <f>IF(I295="Tengo un emprendimiento o quiero iniciar uno","",CHOOSE(MOD(INT((COUNTIF($I$2:I295,I295)-1)/3),10)+1,"Portales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95" t="str">
        <f>IF(I295="Tengo un emprendimiento o quiero iniciar uno","",_xlfn.LET(_xlpm.opcion,MOD(INT((COUNTIF($I$2:I295,I295)-1)/4),6)+1,CHOOSE(IF(AND(_xlpm.opcion=3,Q295="Sí"),1,_xlpm.opcion),"Falta de experiencia","Falta de formación","Dificultades con la hoja de vida","Horarios disponibles","Transporte","Internet")))</f>
        <v>Dificultades con la hoja de vida</v>
      </c>
      <c r="U295" s="9" t="str">
        <f>IF(I295="Tengo un emprendimiento o quiero iniciar uno","",IF(MOD(INT((COUNTIF($I$2:I295,I295)-1)/3),2)=0,"Sí","No"))</f>
        <v>No</v>
      </c>
      <c r="V295" s="9" t="str">
        <f>IF(I295="Tengo un emprendimiento o quiero iniciar uno",CHOOSE(MOD(COUNTIF($I$2:I295,I295)-1,3)+1,"Tengo un emprendimiento","Estoy iniciando un emprendimiento","Me interesa emprender"),"")</f>
        <v/>
      </c>
      <c r="W295" t="str">
        <f t="shared" si="77"/>
        <v/>
      </c>
      <c r="X295" s="9" t="str">
        <f>IF(I295="Tengo un emprendimiento o quiero iniciar uno",CHOOSE(MOD(COUNTIF($I$2:I295,I295)-1,5)+1,"Falta de financiación","Falta de conocimientos administrativos","Falta de conocimientos financieros","Falta de tiempo","Falta de herramientas"),"")</f>
        <v/>
      </c>
      <c r="Y295" s="9" t="str">
        <f t="shared" si="78"/>
        <v/>
      </c>
      <c r="Z295" t="str">
        <f>IF(I295="Tengo un emprendimiento o quiero iniciar uno",CHOOSE(INT(MOD((COUNTIF($I$2:I295,I295)-1)*7,39)/13)+1,"Sí","No","No conozco programas de ese tipo"),"")</f>
        <v/>
      </c>
      <c r="AA295" t="str">
        <f t="shared" si="79"/>
        <v>Puedo hacerlo sin ayuda</v>
      </c>
      <c r="AB295" t="str">
        <f t="shared" si="79"/>
        <v>Puedo hacerlo sin ayuda</v>
      </c>
      <c r="AC295" t="str">
        <f t="shared" si="80"/>
        <v>No puedo hacerlo</v>
      </c>
      <c r="AD295" s="9" t="str">
        <f t="shared" si="81"/>
        <v>Puedo hacerlo con dificultad</v>
      </c>
      <c r="AE295" t="str">
        <f t="shared" si="82"/>
        <v>No puedo hacerlo</v>
      </c>
      <c r="AF295" s="9" t="str">
        <f t="shared" si="83"/>
        <v>Educación financiera</v>
      </c>
      <c r="AG295" s="9" t="str">
        <f t="shared" si="84"/>
        <v>Falta de información</v>
      </c>
      <c r="AH295" t="str">
        <f t="shared" si="85"/>
        <v>No conozco ninguno</v>
      </c>
      <c r="AI295" s="9" t="str">
        <f t="shared" si="86"/>
        <v>Me es indiferente</v>
      </c>
      <c r="AJ295" s="9" t="str">
        <f t="shared" si="87"/>
        <v>Fines de semana</v>
      </c>
      <c r="AK295" s="9" t="str">
        <f t="shared" si="88"/>
        <v>Celular</v>
      </c>
    </row>
    <row r="296" spans="1:37">
      <c r="A296" t="str">
        <f t="shared" si="89"/>
        <v>SG295</v>
      </c>
      <c r="B296" s="9" t="s">
        <v>419</v>
      </c>
      <c r="C296" s="9" t="s">
        <v>427</v>
      </c>
      <c r="D296" t="str">
        <f t="shared" si="72"/>
        <v>Masculino</v>
      </c>
      <c r="E296" t="str">
        <f t="shared" si="73"/>
        <v>De 26 a 28 años</v>
      </c>
      <c r="F296">
        <f t="shared" si="74"/>
        <v>27</v>
      </c>
      <c r="G296" s="9" t="s">
        <v>430</v>
      </c>
      <c r="H296" s="9" t="str">
        <f t="shared" si="75"/>
        <v>Profesional</v>
      </c>
      <c r="I296" s="9" t="str">
        <f t="shared" si="76"/>
        <v>Trabajo actualmente como empleado</v>
      </c>
      <c r="J296" s="13" t="str">
        <f>IF(I296="Trabajo actualmente como empleado",IF(MOD((COUNTIF($I$2:I296,"Trabajo actualmente como empleado")-1)*37,150)&lt;100,"Empleado con contrato","Empleado sin contrato formal"),IF(I296="Trabajo de manera independiente","Trabajo independiente",""))</f>
        <v>Empleado sin contrato formal</v>
      </c>
      <c r="K296" s="9" t="str">
        <f>IF(OR(I296="Trabajo actualmente como empleado",I296="Trabajo de manera independiente"),CHOOSE(MOD(COUNTIF($I$2:I296,I296)-1,4)+1,"Menos de 3 meses","De 3 a 6 meses","De 7 a 12 meses","Más de un año"),"")</f>
        <v>De 3 a 6 meses</v>
      </c>
      <c r="L296" t="str">
        <f>IF(OR(I296="Trabajo actualmente como empleado",I296="Trabajo de manera independiente"),CHOOSE(MOD(COUNTIF($I$2:I296,I296)-1,3)+1,"Sí, completamente","Parcialmente","No"),"")</f>
        <v>Sí, completamente</v>
      </c>
      <c r="M296" t="str">
        <f>IF(OR(I296="Trabajo actualmente como empleado",I296="Trabajo de manera independiente"),CHOOSE(MOD(INT((COUNTIF($I$2:I296,I296)-1)/3),4)+1,"1- Muy satisfecho/a","2- Satisfecho/a","3- Insatisfecho/a","4- Muy insatisfecho/a"),"")</f>
        <v>4- Muy insatisfecho/a</v>
      </c>
      <c r="N296" t="str">
        <f>IF(OR(I296="Trabajo actualmente como empleado",I296="Trabajo de manera independiente"),_xlfn.LET(_xlpm.opcion,MOD(INT((COUNTIF($I$2:I296,I296)-1)/5),6)+1,CHOOSE(IF(AND(_xlpm.opcion=6,L296="Sí, completamente"),5,_xlpm.opcion),"Salario","Estabilidad laboral","Horario","Acceso a prestaciones","Oportunidades de crecimiento","Trabajar en un área relacionada con mi formación")),"")</f>
        <v>Salario</v>
      </c>
      <c r="O296" s="9" t="str">
        <f>IF(OR(I296="Trabajo actualmente como empleado",I296="Trabajo de manera independiente"),_xlfn.LET(_xlpm.turno,MOD(COUNTIF($I$2:I296,I296)-1,5),_xlpm.nivel,VALUE(LEFT(M296,1)),IF(_xlpm.turno=4,"No estoy seguro/a",IF(_xlpm.turno&lt;IF(_xlpm.nivel&lt;=2,1,3),"Sí","No"))),"")</f>
        <v>No</v>
      </c>
      <c r="P296" s="9" t="str">
        <f>_xlfn.LET(_xlpm.perfil,I296,_xlpm.turno,COUNTIF($I$2:I296,_xlpm.perfil)-1,_xlpm.busca,OR(_xlpm.perfil="Actualmente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296" t="str">
        <f>IF(I296="Tengo un emprendimiento o quiero iniciar uno","",CHOOSE(MOD(INT((COUNTIF($I$2:I296,I296)-1)/7),3)+1,"Sí","No","Tengo una pero necesito actualizarla"))</f>
        <v>No</v>
      </c>
      <c r="R296" s="9" t="str">
        <f>IF(I296="Tengo un emprendimiento o quiero iniciar uno","",IF(I296="Busco mi primer empleo","No",IF(MOD(COUNTIF($I$2:I296,I296)-1,2)=0,"Sí","No")))</f>
        <v>No</v>
      </c>
      <c r="S296" t="str">
        <f>IF(I296="Tengo un emprendimiento o quiero iniciar uno","",CHOOSE(MOD(INT((COUNTIF($I$2:I296,I296)-1)/3),10)+1,"Portales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96" t="str">
        <f>IF(I296="Tengo un emprendimiento o quiero iniciar uno","",_xlfn.LET(_xlpm.opcion,MOD(INT((COUNTIF($I$2:I296,I296)-1)/4),6)+1,CHOOSE(IF(AND(_xlpm.opcion=3,Q296="Sí"),1,_xlpm.opcion),"Falta de experiencia","Falta de formación","Dificultades con la hoja de vida","Horarios disponibles","Transporte","Internet")))</f>
        <v>Internet</v>
      </c>
      <c r="U296" s="9" t="str">
        <f>IF(I296="Tengo un emprendimiento o quiero iniciar uno","",IF(MOD(INT((COUNTIF($I$2:I296,I296)-1)/3),2)=0,"Sí","No"))</f>
        <v>No</v>
      </c>
      <c r="V296" s="9" t="str">
        <f>IF(I296="Tengo un emprendimiento o quiero iniciar uno",CHOOSE(MOD(COUNTIF($I$2:I296,I296)-1,3)+1,"Tengo un emprendimiento","Estoy iniciando un emprendimiento","Me interesa emprender"),"")</f>
        <v/>
      </c>
      <c r="W296" t="str">
        <f t="shared" si="77"/>
        <v/>
      </c>
      <c r="X296" s="9" t="str">
        <f>IF(I296="Tengo un emprendimiento o quiero iniciar uno",CHOOSE(MOD(COUNTIF($I$2:I296,I296)-1,5)+1,"Falta de financiación","Falta de conocimientos administrativos","Falta de conocimientos financieros","Falta de tiempo","Falta de herramientas"),"")</f>
        <v/>
      </c>
      <c r="Y296" s="9" t="str">
        <f t="shared" si="78"/>
        <v/>
      </c>
      <c r="Z296" t="str">
        <f>IF(I296="Tengo un emprendimiento o quiero iniciar uno",CHOOSE(INT(MOD((COUNTIF($I$2:I296,I296)-1)*7,39)/13)+1,"Sí","No","No conozco programas de ese tipo"),"")</f>
        <v/>
      </c>
      <c r="AA296" t="str">
        <f t="shared" si="79"/>
        <v>No puedo hacerlo</v>
      </c>
      <c r="AB296" t="str">
        <f t="shared" si="79"/>
        <v>No puedo hacerlo</v>
      </c>
      <c r="AC296" t="str">
        <f t="shared" si="80"/>
        <v>Puedo hacerlo con dificultad</v>
      </c>
      <c r="AD296" s="9" t="str">
        <f t="shared" si="81"/>
        <v>Puedo hacerlo sin ayuda</v>
      </c>
      <c r="AE296" t="str">
        <f t="shared" si="82"/>
        <v>No puedo hacerlo</v>
      </c>
      <c r="AF296" s="9" t="str">
        <f t="shared" si="83"/>
        <v>Crear una hoja de vida;Preparación para entrevista</v>
      </c>
      <c r="AG296" s="9" t="str">
        <f t="shared" si="84"/>
        <v>Horarios</v>
      </c>
      <c r="AH296" t="str">
        <f t="shared" si="85"/>
        <v>Ferias de empleo</v>
      </c>
      <c r="AI296" s="9" t="str">
        <f t="shared" si="86"/>
        <v>Presencial</v>
      </c>
      <c r="AJ296" s="9" t="str">
        <f t="shared" si="87"/>
        <v>Diurno</v>
      </c>
      <c r="AK296" s="9" t="str">
        <f t="shared" si="88"/>
        <v>Correo electrónico</v>
      </c>
    </row>
    <row r="297" spans="1:37">
      <c r="A297" t="str">
        <f t="shared" si="89"/>
        <v>SG296</v>
      </c>
      <c r="B297" s="9" t="s">
        <v>419</v>
      </c>
      <c r="C297" s="9" t="s">
        <v>427</v>
      </c>
      <c r="D297" t="str">
        <f t="shared" si="72"/>
        <v>Masculino</v>
      </c>
      <c r="E297" t="str">
        <f t="shared" si="73"/>
        <v>De 18 a 20 años</v>
      </c>
      <c r="F297">
        <f t="shared" si="74"/>
        <v>19</v>
      </c>
      <c r="G297" s="9" t="s">
        <v>430</v>
      </c>
      <c r="H297" s="9" t="str">
        <f t="shared" si="75"/>
        <v>Técnico</v>
      </c>
      <c r="I297" s="9" t="str">
        <f t="shared" si="76"/>
        <v>Actualmente no trabajo y estoy buscando empleo</v>
      </c>
      <c r="J297" s="13" t="str">
        <f>IF(I297="Trabajo actualmente como empleado",IF(MOD((COUNTIF($I$2:I297,"Trabajo actualmente como empleado")-1)*37,150)&lt;100,"Empleado con contrato","Empleado sin contrato formal"),IF(I297="Trabajo de manera independiente","Trabajo independiente",""))</f>
        <v/>
      </c>
      <c r="K297" s="9" t="str">
        <f>IF(OR(I297="Trabajo actualmente como empleado",I297="Trabajo de manera independiente"),CHOOSE(MOD(COUNTIF($I$2:I297,I297)-1,4)+1,"Menos de 3 meses","De 3 a 6 meses","De 7 a 12 meses","Más de un año"),"")</f>
        <v/>
      </c>
      <c r="L297" t="str">
        <f>IF(OR(I297="Trabajo actualmente como empleado",I297="Trabajo de manera independiente"),CHOOSE(MOD(COUNTIF($I$2:I297,I297)-1,3)+1,"Sí, completamente","Parcialmente","No"),"")</f>
        <v/>
      </c>
      <c r="M297" t="str">
        <f>IF(OR(I297="Trabajo actualmente como empleado",I297="Trabajo de manera independiente"),CHOOSE(MOD(INT((COUNTIF($I$2:I297,I297)-1)/3),4)+1,"1- Muy satisfecho/a","2- Satisfecho/a","3- Insatisfecho/a","4- Muy insatisfecho/a"),"")</f>
        <v/>
      </c>
      <c r="N297" t="str">
        <f>IF(OR(I297="Trabajo actualmente como empleado",I297="Trabajo de manera independiente"),_xlfn.LET(_xlpm.opcion,MOD(INT((COUNTIF($I$2:I297,I297)-1)/5),6)+1,CHOOSE(IF(AND(_xlpm.opcion=6,L297="Sí, completamente"),5,_xlpm.opcion),"Salario","Estabilidad laboral","Horario","Acceso a prestaciones","Oportunidades de crecimiento","Trabajar en un área relacionada con mi formación")),"")</f>
        <v/>
      </c>
      <c r="O297" s="9" t="str">
        <f>IF(OR(I297="Trabajo actualmente como empleado",I297="Trabajo de manera independiente"),_xlfn.LET(_xlpm.turno,MOD(COUNTIF($I$2:I297,I297)-1,5),_xlpm.nivel,VALUE(LEFT(M297,1)),IF(_xlpm.turno=4,"No estoy seguro/a",IF(_xlpm.turno&lt;IF(_xlpm.nivel&lt;=2,1,3),"Sí","No"))),"")</f>
        <v/>
      </c>
      <c r="P297" s="9" t="str">
        <f>_xlfn.LET(_xlpm.perfil,I297,_xlpm.turno,COUNTIF($I$2:I297,_xlpm.perfil)-1,_xlpm.busca,OR(_xlpm.perfil="Actualmente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trabajar"),IF(AND(_xlpm.trabaja,O297="No"),"Todavía no he iniciado una búsqueda activa",CHOOSE(MOD(_xlpm.turno*3,5)+1,"Menos de 1 mes","Entre 1 y 3 meses","Entre 4 y 6 meses","Más de 6 meses","Todavía no he iniciado una búsqueda activa")),"")))</f>
        <v>Más de 6 meses</v>
      </c>
      <c r="Q297" t="str">
        <f>IF(I297="Tengo un emprendimiento o quiero iniciar uno","",CHOOSE(MOD(INT((COUNTIF($I$2:I297,I297)-1)/7),3)+1,"Sí","No","Tengo una pero necesito actualizarla"))</f>
        <v>No</v>
      </c>
      <c r="R297" s="9" t="str">
        <f>IF(I297="Tengo un emprendimiento o quiero iniciar uno","",IF(I297="Busco mi primer empleo","No",IF(MOD(COUNTIF($I$2:I297,I297)-1,2)=0,"Sí","No")))</f>
        <v>No</v>
      </c>
      <c r="S297" t="str">
        <f>IF(I297="Tengo un emprendimiento o quiero iniciar uno","",CHOOSE(MOD(INT((COUNTIF($I$2:I297,I297)-1)/3),10)+1,"Portales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297" t="str">
        <f>IF(I297="Tengo un emprendimiento o quiero iniciar uno","",_xlfn.LET(_xlpm.opcion,MOD(INT((COUNTIF($I$2:I297,I297)-1)/4),6)+1,CHOOSE(IF(AND(_xlpm.opcion=3,Q297="Sí"),1,_xlpm.opcion),"Falta de experiencia","Falta de formación","Dificultades con la hoja de vida","Horarios disponibles","Transporte","Internet")))</f>
        <v>Falta de formación</v>
      </c>
      <c r="U297" s="9" t="str">
        <f>IF(I297="Tengo un emprendimiento o quiero iniciar uno","",IF(MOD(INT((COUNTIF($I$2:I297,I297)-1)/3),2)=0,"Sí","No"))</f>
        <v>No</v>
      </c>
      <c r="V297" s="9" t="str">
        <f>IF(I297="Tengo un emprendimiento o quiero iniciar uno",CHOOSE(MOD(COUNTIF($I$2:I297,I297)-1,3)+1,"Tengo un emprendimiento","Estoy iniciando un emprendimiento","Me interesa emprender"),"")</f>
        <v/>
      </c>
      <c r="W297" t="str">
        <f t="shared" si="77"/>
        <v/>
      </c>
      <c r="X297" s="9" t="str">
        <f>IF(I297="Tengo un emprendimiento o quiero iniciar uno",CHOOSE(MOD(COUNTIF($I$2:I297,I297)-1,5)+1,"Falta de financiación","Falta de conocimientos administrativos","Falta de conocimientos financieros","Falta de tiempo","Falta de herramientas"),"")</f>
        <v/>
      </c>
      <c r="Y297" s="9" t="str">
        <f t="shared" si="78"/>
        <v/>
      </c>
      <c r="Z297" t="str">
        <f>IF(I297="Tengo un emprendimiento o quiero iniciar uno",CHOOSE(INT(MOD((COUNTIF($I$2:I297,I297)-1)*7,39)/13)+1,"Sí","No","No conozco programas de ese tipo"),"")</f>
        <v/>
      </c>
      <c r="AA297" t="str">
        <f t="shared" si="79"/>
        <v>Puedo hacerlo con dificultad</v>
      </c>
      <c r="AB297" t="str">
        <f t="shared" si="79"/>
        <v>Puedo hacerlo con dificultad</v>
      </c>
      <c r="AC297" t="str">
        <f t="shared" si="80"/>
        <v>Puedo hacerlo sin ayuda</v>
      </c>
      <c r="AD297" s="9" t="str">
        <f t="shared" si="81"/>
        <v>No puedo hacerlo</v>
      </c>
      <c r="AE297" t="str">
        <f t="shared" si="82"/>
        <v>Puedo hacerlo con ayuda</v>
      </c>
      <c r="AF297" s="9" t="str">
        <f t="shared" si="83"/>
        <v>Comunicación;Liderazgo</v>
      </c>
      <c r="AG297" s="9" t="str">
        <f t="shared" si="84"/>
        <v>Horarios</v>
      </c>
      <c r="AH297" t="str">
        <f t="shared" si="85"/>
        <v>Programas de emprendimiento</v>
      </c>
      <c r="AI297" s="9" t="str">
        <f t="shared" si="86"/>
        <v>Virtual</v>
      </c>
      <c r="AJ297" s="9" t="str">
        <f t="shared" si="87"/>
        <v>Mañana entre semana</v>
      </c>
      <c r="AK297" s="9" t="str">
        <f t="shared" si="88"/>
        <v>Redes sociales</v>
      </c>
    </row>
    <row r="298" spans="1:37">
      <c r="A298" t="str">
        <f t="shared" si="89"/>
        <v>SG297</v>
      </c>
      <c r="B298" s="9" t="s">
        <v>419</v>
      </c>
      <c r="C298" s="9" t="s">
        <v>427</v>
      </c>
      <c r="D298" t="str">
        <f t="shared" si="72"/>
        <v>Femenino</v>
      </c>
      <c r="E298" t="str">
        <f t="shared" si="73"/>
        <v>De 20 a 22 años</v>
      </c>
      <c r="F298">
        <f t="shared" si="74"/>
        <v>21</v>
      </c>
      <c r="G298" s="9" t="s">
        <v>430</v>
      </c>
      <c r="H298" s="9" t="str">
        <f t="shared" si="75"/>
        <v>Tecnólogo</v>
      </c>
      <c r="I298" s="9" t="str">
        <f t="shared" si="76"/>
        <v>Estudio y quiero comenzar a trabajar</v>
      </c>
      <c r="J298" s="13" t="str">
        <f>IF(I298="Trabajo actualmente como empleado",IF(MOD((COUNTIF($I$2:I298,"Trabajo actualmente como empleado")-1)*37,150)&lt;100,"Empleado con contrato","Empleado sin contrato formal"),IF(I298="Trabajo de manera independiente","Trabajo independiente",""))</f>
        <v/>
      </c>
      <c r="K298" s="9" t="str">
        <f>IF(OR(I298="Trabajo actualmente como empleado",I298="Trabajo de manera independiente"),CHOOSE(MOD(COUNTIF($I$2:I298,I298)-1,4)+1,"Menos de 3 meses","De 3 a 6 meses","De 7 a 12 meses","Más de un año"),"")</f>
        <v/>
      </c>
      <c r="L298" t="str">
        <f>IF(OR(I298="Trabajo actualmente como empleado",I298="Trabajo de manera independiente"),CHOOSE(MOD(COUNTIF($I$2:I298,I298)-1,3)+1,"Sí, completamente","Parcialmente","No"),"")</f>
        <v/>
      </c>
      <c r="M298" t="str">
        <f>IF(OR(I298="Trabajo actualmente como empleado",I298="Trabajo de manera independiente"),CHOOSE(MOD(INT((COUNTIF($I$2:I298,I298)-1)/3),4)+1,"1- Muy satisfecho/a","2- Satisfecho/a","3- Insatisfecho/a","4- Muy insatisfecho/a"),"")</f>
        <v/>
      </c>
      <c r="N298" t="str">
        <f>IF(OR(I298="Trabajo actualmente como empleado",I298="Trabajo de manera independiente"),_xlfn.LET(_xlpm.opcion,MOD(INT((COUNTIF($I$2:I298,I298)-1)/5),6)+1,CHOOSE(IF(AND(_xlpm.opcion=6,L298="Sí, completamente"),5,_xlpm.opcion),"Salario","Estabilidad laboral","Horario","Acceso a prestaciones","Oportunidades de crecimiento","Trabajar en un área relacionada con mi formación")),"")</f>
        <v/>
      </c>
      <c r="O298" s="9" t="str">
        <f>IF(OR(I298="Trabajo actualmente como empleado",I298="Trabajo de manera independiente"),_xlfn.LET(_xlpm.turno,MOD(COUNTIF($I$2:I298,I298)-1,5),_xlpm.nivel,VALUE(LEFT(M298,1)),IF(_xlpm.turno=4,"No estoy seguro/a",IF(_xlpm.turno&lt;IF(_xlpm.nivel&lt;=2,1,3),"Sí","No"))),"")</f>
        <v/>
      </c>
      <c r="P298" s="9" t="str">
        <f>_xlfn.LET(_xlpm.perfil,I298,_xlpm.turno,COUNTIF($I$2:I298,_xlpm.perfil)-1,_xlpm.busca,OR(_xlpm.perfil="Actualmente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trabajar"),IF(AND(_xlpm.trabaja,O298="No"),"Todavía no he iniciado una búsqueda activa",CHOOSE(MOD(_xlpm.turno*3,5)+1,"Menos de 1 mes","Entre 1 y 3 meses","Entre 4 y 6 meses","Más de 6 meses","Todavía no he iniciado una búsqueda activa")),"")))</f>
        <v>Entre 4 y 6 meses</v>
      </c>
      <c r="Q298" t="str">
        <f>IF(I298="Tengo un emprendimiento o quiero iniciar uno","",CHOOSE(MOD(INT((COUNTIF($I$2:I298,I298)-1)/7),3)+1,"Sí","No","Tengo una pero necesito actualizarla"))</f>
        <v>No</v>
      </c>
      <c r="R298" s="9" t="str">
        <f>IF(I298="Tengo un emprendimiento o quiero iniciar uno","",IF(I298="Busco mi primer empleo","No",IF(MOD(COUNTIF($I$2:I298,I298)-1,2)=0,"Sí","No")))</f>
        <v>Sí</v>
      </c>
      <c r="S298" t="str">
        <f>IF(I298="Tengo un emprendimiento o quiero iniciar uno","",CHOOSE(MOD(INT((COUNTIF($I$2:I298,I298)-1)/3),10)+1,"Portales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98" t="str">
        <f>IF(I298="Tengo un emprendimiento o quiero iniciar uno","",_xlfn.LET(_xlpm.opcion,MOD(INT((COUNTIF($I$2:I298,I298)-1)/4),6)+1,CHOOSE(IF(AND(_xlpm.opcion=3,Q298="Sí"),1,_xlpm.opcion),"Falta de experiencia","Falta de formación","Dificultades con la hoja de vida","Horarios disponibles","Transporte","Internet")))</f>
        <v>Dificultades con la hoja de vida</v>
      </c>
      <c r="U298" s="9" t="str">
        <f>IF(I298="Tengo un emprendimiento o quiero iniciar uno","",IF(MOD(INT((COUNTIF($I$2:I298,I298)-1)/3),2)=0,"Sí","No"))</f>
        <v>No</v>
      </c>
      <c r="V298" s="9" t="str">
        <f>IF(I298="Tengo un emprendimiento o quiero iniciar uno",CHOOSE(MOD(COUNTIF($I$2:I298,I298)-1,3)+1,"Tengo un emprendimiento","Estoy iniciando un emprendimiento","Me interesa emprender"),"")</f>
        <v/>
      </c>
      <c r="W298" t="str">
        <f t="shared" si="77"/>
        <v/>
      </c>
      <c r="X298" s="9" t="str">
        <f>IF(I298="Tengo un emprendimiento o quiero iniciar uno",CHOOSE(MOD(COUNTIF($I$2:I298,I298)-1,5)+1,"Falta de financiación","Falta de conocimientos administrativos","Falta de conocimientos financieros","Falta de tiempo","Falta de herramientas"),"")</f>
        <v/>
      </c>
      <c r="Y298" s="9" t="str">
        <f t="shared" si="78"/>
        <v/>
      </c>
      <c r="Z298" t="str">
        <f>IF(I298="Tengo un emprendimiento o quiero iniciar uno",CHOOSE(INT(MOD((COUNTIF($I$2:I298,I298)-1)*7,39)/13)+1,"Sí","No","No conozco programas de ese tipo"),"")</f>
        <v/>
      </c>
      <c r="AA298" t="str">
        <f t="shared" si="79"/>
        <v>No puedo hacerlo</v>
      </c>
      <c r="AB298" t="str">
        <f t="shared" si="79"/>
        <v>No puedo hacerlo</v>
      </c>
      <c r="AC298" t="str">
        <f t="shared" si="80"/>
        <v>No puedo hacerlo</v>
      </c>
      <c r="AD298" s="9" t="str">
        <f t="shared" si="81"/>
        <v>Puedo hacerlo con ayuda</v>
      </c>
      <c r="AE298" t="str">
        <f t="shared" si="82"/>
        <v>Puedo hacerlo con ayuda</v>
      </c>
      <c r="AF298" s="9" t="str">
        <f t="shared" si="83"/>
        <v>Herramientas digitales;Educación financiera</v>
      </c>
      <c r="AG298" s="9" t="str">
        <f t="shared" si="84"/>
        <v>Horarios</v>
      </c>
      <c r="AH298" t="str">
        <f t="shared" si="85"/>
        <v>Oficina de orientación laboral</v>
      </c>
      <c r="AI298" s="9" t="str">
        <f t="shared" si="86"/>
        <v>Presencial y virtual</v>
      </c>
      <c r="AJ298" s="9" t="str">
        <f t="shared" si="87"/>
        <v>Fines de semana</v>
      </c>
      <c r="AK298" s="9" t="str">
        <f t="shared" si="88"/>
        <v>WhatsApp</v>
      </c>
    </row>
    <row r="299" spans="1:37">
      <c r="A299" t="str">
        <f t="shared" si="89"/>
        <v>SG298</v>
      </c>
      <c r="B299" s="9" t="s">
        <v>419</v>
      </c>
      <c r="C299" s="9" t="s">
        <v>427</v>
      </c>
      <c r="D299" t="str">
        <f t="shared" si="72"/>
        <v>Femenino</v>
      </c>
      <c r="E299" t="str">
        <f t="shared" si="73"/>
        <v>De 22 a 24 años</v>
      </c>
      <c r="F299">
        <f t="shared" si="74"/>
        <v>23</v>
      </c>
      <c r="G299" s="9" t="s">
        <v>430</v>
      </c>
      <c r="H299" s="9" t="str">
        <f t="shared" si="75"/>
        <v>Tecnólogo</v>
      </c>
      <c r="I299" s="9" t="str">
        <f t="shared" si="76"/>
        <v>Trabajo actualmente como empleado</v>
      </c>
      <c r="J299" s="13" t="str">
        <f>IF(I299="Trabajo actualmente como empleado",IF(MOD((COUNTIF($I$2:I299,"Trabajo actualmente como empleado")-1)*37,150)&lt;100,"Empleado con contrato","Empleado sin contrato formal"),IF(I299="Trabajo de manera independiente","Trabajo independiente",""))</f>
        <v>Empleado con contrato</v>
      </c>
      <c r="K299" s="9" t="str">
        <f>IF(OR(I299="Trabajo actualmente como empleado",I299="Trabajo de manera independiente"),CHOOSE(MOD(COUNTIF($I$2:I299,I299)-1,4)+1,"Menos de 3 meses","De 3 a 6 meses","De 7 a 12 meses","Más de un año"),"")</f>
        <v>De 7 a 12 meses</v>
      </c>
      <c r="L299" t="str">
        <f>IF(OR(I299="Trabajo actualmente como empleado",I299="Trabajo de manera independiente"),CHOOSE(MOD(COUNTIF($I$2:I299,I299)-1,3)+1,"Sí, completamente","Parcialmente","No"),"")</f>
        <v>Parcialmente</v>
      </c>
      <c r="M299" t="str">
        <f>IF(OR(I299="Trabajo actualmente como empleado",I299="Trabajo de manera independiente"),CHOOSE(MOD(INT((COUNTIF($I$2:I299,I299)-1)/3),4)+1,"1- Muy satisfecho/a","2- Satisfecho/a","3- Insatisfecho/a","4- Muy insatisfecho/a"),"")</f>
        <v>4- Muy insatisfecho/a</v>
      </c>
      <c r="N299" t="str">
        <f>IF(OR(I299="Trabajo actualmente como empleado",I299="Trabajo de manera independiente"),_xlfn.LET(_xlpm.opcion,MOD(INT((COUNTIF($I$2:I299,I299)-1)/5),6)+1,CHOOSE(IF(AND(_xlpm.opcion=6,L299="Sí, completamente"),5,_xlpm.opcion),"Salario","Estabilidad laboral","Horario","Acceso a prestaciones","Oportunidades de crecimiento","Trabajar en un área relacionada con mi formación")),"")</f>
        <v>Salario</v>
      </c>
      <c r="O299" s="9" t="str">
        <f>IF(OR(I299="Trabajo actualmente como empleado",I299="Trabajo de manera independiente"),_xlfn.LET(_xlpm.turno,MOD(COUNTIF($I$2:I299,I299)-1,5),_xlpm.nivel,VALUE(LEFT(M299,1)),IF(_xlpm.turno=4,"No estoy seguro/a",IF(_xlpm.turno&lt;IF(_xlpm.nivel&lt;=2,1,3),"Sí","No"))),"")</f>
        <v>No estoy seguro/a</v>
      </c>
      <c r="P299" s="9" t="str">
        <f>_xlfn.LET(_xlpm.perfil,I299,_xlpm.turno,COUNTIF($I$2:I299,_xlpm.perfil)-1,_xlpm.busca,OR(_xlpm.perfil="Actualmente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trabajar"),IF(AND(_xlpm.trabaja,O299="No"),"Todavía no he iniciado una búsqueda activa",CHOOSE(MOD(_xlpm.turno*3,5)+1,"Menos de 1 mes","Entre 1 y 3 meses","Entre 4 y 6 meses","Más de 6 meses","Todavía no he iniciado una búsqueda activa")),"")))</f>
        <v>Entre 4 y 6 meses</v>
      </c>
      <c r="Q299" t="str">
        <f>IF(I299="Tengo un emprendimiento o quiero iniciar uno","",CHOOSE(MOD(INT((COUNTIF($I$2:I299,I299)-1)/7),3)+1,"Sí","No","Tengo una pero necesito actualizarla"))</f>
        <v>No</v>
      </c>
      <c r="R299" s="9" t="str">
        <f>IF(I299="Tengo un emprendimiento o quiero iniciar uno","",IF(I299="Busco mi primer empleo","No",IF(MOD(COUNTIF($I$2:I299,I299)-1,2)=0,"Sí","No")))</f>
        <v>Sí</v>
      </c>
      <c r="S299" t="str">
        <f>IF(I299="Tengo un emprendimiento o quiero iniciar uno","",CHOOSE(MOD(INT((COUNTIF($I$2:I299,I299)-1)/3),10)+1,"Portales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299" t="str">
        <f>IF(I299="Tengo un emprendimiento o quiero iniciar uno","",_xlfn.LET(_xlpm.opcion,MOD(INT((COUNTIF($I$2:I299,I299)-1)/4),6)+1,CHOOSE(IF(AND(_xlpm.opcion=3,Q299="Sí"),1,_xlpm.opcion),"Falta de experiencia","Falta de formación","Dificultades con la hoja de vida","Horarios disponibles","Transporte","Internet")))</f>
        <v>Internet</v>
      </c>
      <c r="U299" s="9" t="str">
        <f>IF(I299="Tengo un emprendimiento o quiero iniciar uno","",IF(MOD(INT((COUNTIF($I$2:I299,I299)-1)/3),2)=0,"Sí","No"))</f>
        <v>No</v>
      </c>
      <c r="V299" s="9" t="str">
        <f>IF(I299="Tengo un emprendimiento o quiero iniciar uno",CHOOSE(MOD(COUNTIF($I$2:I299,I299)-1,3)+1,"Tengo un emprendimiento","Estoy iniciando un emprendimiento","Me interesa emprender"),"")</f>
        <v/>
      </c>
      <c r="W299" t="str">
        <f t="shared" si="77"/>
        <v/>
      </c>
      <c r="X299" s="9" t="str">
        <f>IF(I299="Tengo un emprendimiento o quiero iniciar uno",CHOOSE(MOD(COUNTIF($I$2:I299,I299)-1,5)+1,"Falta de financiación","Falta de conocimientos administrativos","Falta de conocimientos financieros","Falta de tiempo","Falta de herramientas"),"")</f>
        <v/>
      </c>
      <c r="Y299" s="9" t="str">
        <f t="shared" si="78"/>
        <v/>
      </c>
      <c r="Z299" t="str">
        <f>IF(I299="Tengo un emprendimiento o quiero iniciar uno",CHOOSE(INT(MOD((COUNTIF($I$2:I299,I299)-1)*7,39)/13)+1,"Sí","No","No conozco programas de ese tipo"),"")</f>
        <v/>
      </c>
      <c r="AA299" t="str">
        <f t="shared" si="79"/>
        <v>Puedo hacerlo con ayuda</v>
      </c>
      <c r="AB299" t="str">
        <f t="shared" si="79"/>
        <v>Puedo hacerlo con ayuda</v>
      </c>
      <c r="AC299" t="str">
        <f t="shared" si="80"/>
        <v>Puedo hacerlo con dificultad</v>
      </c>
      <c r="AD299" s="9" t="str">
        <f t="shared" si="81"/>
        <v>Puedo hacerlo con ayuda</v>
      </c>
      <c r="AE299" t="str">
        <f t="shared" si="82"/>
        <v>Puedo hacerlo con dificultad</v>
      </c>
      <c r="AF299" s="9" t="str">
        <f t="shared" si="83"/>
        <v>Crear una hoja de vida</v>
      </c>
      <c r="AG299" s="9" t="str">
        <f t="shared" si="84"/>
        <v>Costos de transporte</v>
      </c>
      <c r="AH299" t="str">
        <f t="shared" si="85"/>
        <v>Programas de emprendimiento</v>
      </c>
      <c r="AI299" s="9" t="str">
        <f t="shared" si="86"/>
        <v>Me es indiferente</v>
      </c>
      <c r="AJ299" s="9" t="str">
        <f t="shared" si="87"/>
        <v>Nocturno</v>
      </c>
      <c r="AK299" s="9" t="str">
        <f t="shared" si="88"/>
        <v>Correo electrónico</v>
      </c>
    </row>
    <row r="300" spans="1:37">
      <c r="A300" t="str">
        <f t="shared" si="89"/>
        <v>SG299</v>
      </c>
      <c r="B300" s="9" t="s">
        <v>419</v>
      </c>
      <c r="C300" s="9" t="s">
        <v>427</v>
      </c>
      <c r="D300" t="str">
        <f t="shared" si="72"/>
        <v>Masculino</v>
      </c>
      <c r="E300" t="str">
        <f t="shared" si="73"/>
        <v>De 24 a 26 años</v>
      </c>
      <c r="F300">
        <f t="shared" si="74"/>
        <v>25</v>
      </c>
      <c r="G300" s="9" t="s">
        <v>430</v>
      </c>
      <c r="H300" s="9" t="str">
        <f t="shared" si="75"/>
        <v>Profesional</v>
      </c>
      <c r="I300" s="9" t="str">
        <f t="shared" si="76"/>
        <v>Actualmente no trabajo y estoy buscando empleo</v>
      </c>
      <c r="J300" s="13" t="str">
        <f>IF(I300="Trabajo actualmente como empleado",IF(MOD((COUNTIF($I$2:I300,"Trabajo actualmente como empleado")-1)*37,150)&lt;100,"Empleado con contrato","Empleado sin contrato formal"),IF(I300="Trabajo de manera independiente","Trabajo independiente",""))</f>
        <v/>
      </c>
      <c r="K300" s="9" t="str">
        <f>IF(OR(I300="Trabajo actualmente como empleado",I300="Trabajo de manera independiente"),CHOOSE(MOD(COUNTIF($I$2:I300,I300)-1,4)+1,"Menos de 3 meses","De 3 a 6 meses","De 7 a 12 meses","Más de un año"),"")</f>
        <v/>
      </c>
      <c r="L300" t="str">
        <f>IF(OR(I300="Trabajo actualmente como empleado",I300="Trabajo de manera independiente"),CHOOSE(MOD(COUNTIF($I$2:I300,I300)-1,3)+1,"Sí, completamente","Parcialmente","No"),"")</f>
        <v/>
      </c>
      <c r="M300" t="str">
        <f>IF(OR(I300="Trabajo actualmente como empleado",I300="Trabajo de manera independiente"),CHOOSE(MOD(INT((COUNTIF($I$2:I300,I300)-1)/3),4)+1,"1- Muy satisfecho/a","2- Satisfecho/a","3- Insatisfecho/a","4- Muy insatisfecho/a"),"")</f>
        <v/>
      </c>
      <c r="N300" t="str">
        <f>IF(OR(I300="Trabajo actualmente como empleado",I300="Trabajo de manera independiente"),_xlfn.LET(_xlpm.opcion,MOD(INT((COUNTIF($I$2:I300,I300)-1)/5),6)+1,CHOOSE(IF(AND(_xlpm.opcion=6,L300="Sí, completamente"),5,_xlpm.opcion),"Salario","Estabilidad laboral","Horario","Acceso a prestaciones","Oportunidades de crecimiento","Trabajar en un área relacionada con mi formación")),"")</f>
        <v/>
      </c>
      <c r="O300" s="9" t="str">
        <f>IF(OR(I300="Trabajo actualmente como empleado",I300="Trabajo de manera independiente"),_xlfn.LET(_xlpm.turno,MOD(COUNTIF($I$2:I300,I300)-1,5),_xlpm.nivel,VALUE(LEFT(M300,1)),IF(_xlpm.turno=4,"No estoy seguro/a",IF(_xlpm.turno&lt;IF(_xlpm.nivel&lt;=2,1,3),"Sí","No"))),"")</f>
        <v/>
      </c>
      <c r="P300" s="9" t="str">
        <f>_xlfn.LET(_xlpm.perfil,I300,_xlpm.turno,COUNTIF($I$2:I300,_xlpm.perfil)-1,_xlpm.busca,OR(_xlpm.perfil="Actualmente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trabajar"),IF(AND(_xlpm.trabaja,O300="No"),"Todavía no he iniciado una búsqueda activa",CHOOSE(MOD(_xlpm.turno*3,5)+1,"Menos de 1 mes","Entre 1 y 3 meses","Entre 4 y 6 meses","Más de 6 meses","Todavía no he iniciado una búsqueda activa")),"")))</f>
        <v>Entre 4 y 6 meses</v>
      </c>
      <c r="Q300" t="str">
        <f>IF(I300="Tengo un emprendimiento o quiero iniciar uno","",CHOOSE(MOD(INT((COUNTIF($I$2:I300,I300)-1)/7),3)+1,"Sí","No","Tengo una pero necesito actualizarla"))</f>
        <v>No</v>
      </c>
      <c r="R300" s="9" t="str">
        <f>IF(I300="Tengo un emprendimiento o quiero iniciar uno","",IF(I300="Busco mi primer empleo","No",IF(MOD(COUNTIF($I$2:I300,I300)-1,2)=0,"Sí","No")))</f>
        <v>Sí</v>
      </c>
      <c r="S300" t="str">
        <f>IF(I300="Tengo un emprendimiento o quiero iniciar uno","",CHOOSE(MOD(INT((COUNTIF($I$2:I300,I300)-1)/3),10)+1,"Portales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00" t="str">
        <f>IF(I300="Tengo un emprendimiento o quiero iniciar uno","",_xlfn.LET(_xlpm.opcion,MOD(INT((COUNTIF($I$2:I300,I300)-1)/4),6)+1,CHOOSE(IF(AND(_xlpm.opcion=3,Q300="Sí"),1,_xlpm.opcion),"Falta de experiencia","Falta de formación","Dificultades con la hoja de vida","Horarios disponibles","Transporte","Internet")))</f>
        <v>Falta de formación</v>
      </c>
      <c r="U300" s="9" t="str">
        <f>IF(I300="Tengo un emprendimiento o quiero iniciar uno","",IF(MOD(INT((COUNTIF($I$2:I300,I300)-1)/3),2)=0,"Sí","No"))</f>
        <v>Sí</v>
      </c>
      <c r="V300" s="9" t="str">
        <f>IF(I300="Tengo un emprendimiento o quiero iniciar uno",CHOOSE(MOD(COUNTIF($I$2:I300,I300)-1,3)+1,"Tengo un emprendimiento","Estoy iniciando un emprendimiento","Me interesa emprender"),"")</f>
        <v/>
      </c>
      <c r="W300" t="str">
        <f t="shared" si="77"/>
        <v/>
      </c>
      <c r="X300" s="9" t="str">
        <f>IF(I300="Tengo un emprendimiento o quiero iniciar uno",CHOOSE(MOD(COUNTIF($I$2:I300,I300)-1,5)+1,"Falta de financiación","Falta de conocimientos administrativos","Falta de conocimientos financieros","Falta de tiempo","Falta de herramientas"),"")</f>
        <v/>
      </c>
      <c r="Y300" s="9" t="str">
        <f t="shared" si="78"/>
        <v/>
      </c>
      <c r="Z300" t="str">
        <f>IF(I300="Tengo un emprendimiento o quiero iniciar uno",CHOOSE(INT(MOD((COUNTIF($I$2:I300,I300)-1)*7,39)/13)+1,"Sí","No","No conozco programas de ese tipo"),"")</f>
        <v/>
      </c>
      <c r="AA300" t="str">
        <f t="shared" si="79"/>
        <v>Puedo hacerlo sin ayuda</v>
      </c>
      <c r="AB300" t="str">
        <f t="shared" si="79"/>
        <v>Puedo hacerlo sin ayuda</v>
      </c>
      <c r="AC300" t="str">
        <f t="shared" si="80"/>
        <v>Puedo hacerlo sin ayuda</v>
      </c>
      <c r="AD300" s="9" t="str">
        <f t="shared" si="81"/>
        <v>Puedo hacerlo con dificultad</v>
      </c>
      <c r="AE300" t="str">
        <f t="shared" si="82"/>
        <v>Puedo hacerlo sin ayuda</v>
      </c>
      <c r="AF300" s="9" t="str">
        <f t="shared" si="83"/>
        <v>Preparación para entrevista</v>
      </c>
      <c r="AG300" s="9" t="str">
        <f t="shared" si="84"/>
        <v>Costos de transporte</v>
      </c>
      <c r="AH300" t="str">
        <f t="shared" si="85"/>
        <v>No conozco ninguno</v>
      </c>
      <c r="AI300" s="9" t="str">
        <f t="shared" si="86"/>
        <v>Presencial</v>
      </c>
      <c r="AJ300" s="9" t="str">
        <f t="shared" si="87"/>
        <v>Mañana entre semana</v>
      </c>
      <c r="AK300" s="9" t="str">
        <f t="shared" si="88"/>
        <v>Celular</v>
      </c>
    </row>
    <row r="301" spans="1:37">
      <c r="A301" t="str">
        <f t="shared" si="89"/>
        <v>SG300</v>
      </c>
      <c r="B301" s="9" t="s">
        <v>419</v>
      </c>
      <c r="C301" s="9" t="s">
        <v>427</v>
      </c>
      <c r="D301" t="str">
        <f t="shared" si="72"/>
        <v>Femenino</v>
      </c>
      <c r="E301" t="str">
        <f t="shared" si="73"/>
        <v>De 26 a 28 años</v>
      </c>
      <c r="F301">
        <f t="shared" si="74"/>
        <v>28</v>
      </c>
      <c r="G301" s="9" t="s">
        <v>430</v>
      </c>
      <c r="H301" s="9" t="str">
        <f t="shared" si="75"/>
        <v>Posgrado</v>
      </c>
      <c r="I301" s="9" t="str">
        <f t="shared" si="76"/>
        <v>Tengo un emprendimiento o quiero iniciar uno</v>
      </c>
      <c r="J301" s="13" t="str">
        <f>IF(I301="Trabajo actualmente como empleado",IF(MOD((COUNTIF($I$2:I301,"Trabajo actualmente como empleado")-1)*37,150)&lt;100,"Empleado con contrato","Empleado sin contrato formal"),IF(I301="Trabajo de manera independiente","Trabajo independiente",""))</f>
        <v/>
      </c>
      <c r="K301" s="9" t="str">
        <f>IF(OR(I301="Trabajo actualmente como empleado",I301="Trabajo de manera independiente"),CHOOSE(MOD(COUNTIF($I$2:I301,I301)-1,4)+1,"Menos de 3 meses","De 3 a 6 meses","De 7 a 12 meses","Más de un año"),"")</f>
        <v/>
      </c>
      <c r="L301" t="str">
        <f>IF(OR(I301="Trabajo actualmente como empleado",I301="Trabajo de manera independiente"),CHOOSE(MOD(COUNTIF($I$2:I301,I301)-1,3)+1,"Sí, completamente","Parcialmente","No"),"")</f>
        <v/>
      </c>
      <c r="M301" t="str">
        <f>IF(OR(I301="Trabajo actualmente como empleado",I301="Trabajo de manera independiente"),CHOOSE(MOD(INT((COUNTIF($I$2:I301,I301)-1)/3),4)+1,"1- Muy satisfecho/a","2- Satisfecho/a","3- Insatisfecho/a","4- Muy insatisfecho/a"),"")</f>
        <v/>
      </c>
      <c r="N301" t="str">
        <f>IF(OR(I301="Trabajo actualmente como empleado",I301="Trabajo de manera independiente"),_xlfn.LET(_xlpm.opcion,MOD(INT((COUNTIF($I$2:I301,I301)-1)/5),6)+1,CHOOSE(IF(AND(_xlpm.opcion=6,L301="Sí, completamente"),5,_xlpm.opcion),"Salario","Estabilidad laboral","Horario","Acceso a prestaciones","Oportunidades de crecimiento","Trabajar en un área relacionada con mi formación")),"")</f>
        <v/>
      </c>
      <c r="O301" s="9" t="str">
        <f>IF(OR(I301="Trabajo actualmente como empleado",I301="Trabajo de manera independiente"),_xlfn.LET(_xlpm.turno,MOD(COUNTIF($I$2:I301,I301)-1,5),_xlpm.nivel,VALUE(LEFT(M301,1)),IF(_xlpm.turno=4,"No estoy seguro/a",IF(_xlpm.turno&lt;IF(_xlpm.nivel&lt;=2,1,3),"Sí","No"))),"")</f>
        <v/>
      </c>
      <c r="P301" s="9" t="str">
        <f>_xlfn.LET(_xlpm.perfil,I301,_xlpm.turno,COUNTIF($I$2:I301,_xlpm.perfil)-1,_xlpm.busca,OR(_xlpm.perfil="Actualmente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trabajar"),IF(AND(_xlpm.trabaja,O301="No"),"Todavía no he iniciado una búsqueda activa",CHOOSE(MOD(_xlpm.turno*3,5)+1,"Menos de 1 mes","Entre 1 y 3 meses","Entre 4 y 6 meses","Más de 6 meses","Todavía no he iniciado una búsqueda activa")),"")))</f>
        <v/>
      </c>
      <c r="Q301" t="str">
        <f>IF(I301="Tengo un emprendimiento o quiero iniciar uno","",CHOOSE(MOD(INT((COUNTIF($I$2:I301,I301)-1)/7),3)+1,"Sí","No","Tengo una pero necesito actualizarla"))</f>
        <v/>
      </c>
      <c r="R301" s="9" t="str">
        <f>IF(I301="Tengo un emprendimiento o quiero iniciar uno","",IF(I301="Busco mi primer empleo","No",IF(MOD(COUNTIF($I$2:I301,I301)-1,2)=0,"Sí","No")))</f>
        <v/>
      </c>
      <c r="S301" t="str">
        <f>IF(I301="Tengo un emprendimiento o quiero iniciar uno","",CHOOSE(MOD(INT((COUNTIF($I$2:I301,I301)-1)/3),10)+1,"Portales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01" t="str">
        <f>IF(I301="Tengo un emprendimiento o quiero iniciar uno","",_xlfn.LET(_xlpm.opcion,MOD(INT((COUNTIF($I$2:I301,I301)-1)/4),6)+1,CHOOSE(IF(AND(_xlpm.opcion=3,Q301="Sí"),1,_xlpm.opcion),"Falta de experiencia","Falta de formación","Dificultades con la hoja de vida","Horarios disponibles","Transporte","Internet")))</f>
        <v/>
      </c>
      <c r="U301" s="9" t="str">
        <f>IF(I301="Tengo un emprendimiento o quiero iniciar uno","",IF(MOD(INT((COUNTIF($I$2:I301,I301)-1)/3),2)=0,"Sí","No"))</f>
        <v/>
      </c>
      <c r="V301" s="9" t="str">
        <f>IF(I301="Tengo un emprendimiento o quiero iniciar uno",CHOOSE(MOD(COUNTIF($I$2:I301,I301)-1,3)+1,"Tengo un emprendimiento","Estoy iniciando un emprendimiento","Me interesa emprender"),"")</f>
        <v>Tengo un emprendimiento</v>
      </c>
      <c r="W301" t="str">
        <f t="shared" si="77"/>
        <v>Funcionamiento estable</v>
      </c>
      <c r="X301" s="9" t="str">
        <f>IF(I301="Tengo un emprendimiento o quiero iniciar uno",CHOOSE(MOD(COUNTIF($I$2:I301,I301)-1,5)+1,"Falta de financiación","Falta de conocimientos administrativos","Falta de conocimientos financieros","Falta de tiempo","Falta de herramientas"),"")</f>
        <v>Falta de herramientas</v>
      </c>
      <c r="Y301" s="9" t="str">
        <f t="shared" si="78"/>
        <v>Falta de herramientas</v>
      </c>
      <c r="Z301" t="str">
        <f>IF(I301="Tengo un emprendimiento o quiero iniciar uno",CHOOSE(INT(MOD((COUNTIF($I$2:I301,I301)-1)*7,39)/13)+1,"Sí","No","No conozco programas de ese tipo"),"")</f>
        <v>Sí</v>
      </c>
      <c r="AA301" t="str">
        <f t="shared" si="79"/>
        <v>No puedo hacerlo</v>
      </c>
      <c r="AB301" t="str">
        <f t="shared" si="79"/>
        <v>No puedo hacerlo</v>
      </c>
      <c r="AC301" t="str">
        <f t="shared" si="80"/>
        <v>No puedo hacerlo</v>
      </c>
      <c r="AD301" s="9" t="str">
        <f t="shared" si="81"/>
        <v>Puedo hacerlo sin ayuda</v>
      </c>
      <c r="AE301" t="str">
        <f t="shared" si="82"/>
        <v>Puedo hacerlo sin ayuda</v>
      </c>
      <c r="AF301" s="9" t="str">
        <f t="shared" si="83"/>
        <v>Comunicación</v>
      </c>
      <c r="AG301" s="9" t="str">
        <f t="shared" si="84"/>
        <v>Costos de transporte</v>
      </c>
      <c r="AH301" t="str">
        <f t="shared" si="85"/>
        <v>Ferias de empleo</v>
      </c>
      <c r="AI301" s="9" t="str">
        <f t="shared" si="86"/>
        <v>Virtual</v>
      </c>
      <c r="AJ301" s="9" t="str">
        <f t="shared" si="87"/>
        <v>Fines de semana</v>
      </c>
      <c r="AK301" s="9" t="str">
        <f t="shared" si="88"/>
        <v>WhatsApp</v>
      </c>
    </row>
    <row r="302" spans="1:37">
      <c r="A302" t="str">
        <f t="shared" si="89"/>
        <v>SG301</v>
      </c>
      <c r="B302" s="9" t="s">
        <v>419</v>
      </c>
      <c r="C302" s="9" t="s">
        <v>427</v>
      </c>
      <c r="D302" t="str">
        <f t="shared" si="72"/>
        <v>Femenino</v>
      </c>
      <c r="E302" t="str">
        <f t="shared" si="73"/>
        <v>De 18 a 20 años</v>
      </c>
      <c r="F302">
        <f t="shared" si="74"/>
        <v>18</v>
      </c>
      <c r="G302" s="9" t="s">
        <v>430</v>
      </c>
      <c r="H302" s="9" t="str">
        <f t="shared" si="75"/>
        <v>Bachiller</v>
      </c>
      <c r="I302" s="9" t="str">
        <f t="shared" si="76"/>
        <v>Trabajo de manera independiente</v>
      </c>
      <c r="J302" s="13" t="str">
        <f>IF(I302="Trabajo actualmente como empleado",IF(MOD((COUNTIF($I$2:I302,"Trabajo actualmente como empleado")-1)*37,150)&lt;100,"Empleado con contrato","Empleado sin contrato formal"),IF(I302="Trabajo de manera independiente","Trabajo independiente",""))</f>
        <v>Trabajo independiente</v>
      </c>
      <c r="K302" s="9" t="str">
        <f>IF(OR(I302="Trabajo actualmente como empleado",I302="Trabajo de manera independiente"),CHOOSE(MOD(COUNTIF($I$2:I302,I302)-1,4)+1,"Menos de 3 meses","De 3 a 6 meses","De 7 a 12 meses","Más de un año"),"")</f>
        <v>De 7 a 12 meses</v>
      </c>
      <c r="L302" t="str">
        <f>IF(OR(I302="Trabajo actualmente como empleado",I302="Trabajo de manera independiente"),CHOOSE(MOD(COUNTIF($I$2:I302,I302)-1,3)+1,"Sí, completamente","Parcialmente","No"),"")</f>
        <v>No</v>
      </c>
      <c r="M302" t="str">
        <f>IF(OR(I302="Trabajo actualmente como empleado",I302="Trabajo de manera independiente"),CHOOSE(MOD(INT((COUNTIF($I$2:I302,I302)-1)/3),4)+1,"1- Muy satisfecho/a","2- Satisfecho/a","3- Insatisfecho/a","4- Muy insatisfecho/a"),"")</f>
        <v>1- Muy satisfecho/a</v>
      </c>
      <c r="N302" t="str">
        <f>IF(OR(I302="Trabajo actualmente como empleado",I302="Trabajo de manera independiente"),_xlfn.LET(_xlpm.opcion,MOD(INT((COUNTIF($I$2:I302,I302)-1)/5),6)+1,CHOOSE(IF(AND(_xlpm.opcion=6,L302="Sí, completamente"),5,_xlpm.opcion),"Salario","Estabilidad laboral","Horario","Acceso a prestaciones","Oportunidades de crecimiento","Trabajar en un área relacionada con mi formación")),"")</f>
        <v>Oportunidades de crecimiento</v>
      </c>
      <c r="O302" s="9" t="str">
        <f>IF(OR(I302="Trabajo actualmente como empleado",I302="Trabajo de manera independiente"),_xlfn.LET(_xlpm.turno,MOD(COUNTIF($I$2:I302,I302)-1,5),_xlpm.nivel,VALUE(LEFT(M302,1)),IF(_xlpm.turno=4,"No estoy seguro/a",IF(_xlpm.turno&lt;IF(_xlpm.nivel&lt;=2,1,3),"Sí","No"))),"")</f>
        <v>Sí</v>
      </c>
      <c r="P302" s="9" t="str">
        <f>_xlfn.LET(_xlpm.perfil,I302,_xlpm.turno,COUNTIF($I$2:I302,_xlpm.perfil)-1,_xlpm.busca,OR(_xlpm.perfil="Actualmente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trabajar"),IF(AND(_xlpm.trabaja,O302="No"),"Todavía no he iniciado una búsqueda activa",CHOOSE(MOD(_xlpm.turno*3,5)+1,"Menos de 1 mes","Entre 1 y 3 meses","Entre 4 y 6 meses","Más de 6 meses","Todavía no he iniciado una búsqueda activa")),"")))</f>
        <v>Menos de 1 mes</v>
      </c>
      <c r="Q302" t="str">
        <f>IF(I302="Tengo un emprendimiento o quiero iniciar uno","",CHOOSE(MOD(INT((COUNTIF($I$2:I302,I302)-1)/7),3)+1,"Sí","No","Tengo una pero necesito actualizarla"))</f>
        <v>No</v>
      </c>
      <c r="R302" s="9" t="str">
        <f>IF(I302="Tengo un emprendimiento o quiero iniciar uno","",IF(I302="Busco mi primer empleo","No",IF(MOD(COUNTIF($I$2:I302,I302)-1,2)=0,"Sí","No")))</f>
        <v>Sí</v>
      </c>
      <c r="S302" t="str">
        <f>IF(I302="Tengo un emprendimiento o quiero iniciar uno","",CHOOSE(MOD(INT((COUNTIF($I$2:I302,I302)-1)/3),10)+1,"Portales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302" t="str">
        <f>IF(I302="Tengo un emprendimiento o quiero iniciar uno","",_xlfn.LET(_xlpm.opcion,MOD(INT((COUNTIF($I$2:I302,I302)-1)/4),6)+1,CHOOSE(IF(AND(_xlpm.opcion=3,Q302="Sí"),1,_xlpm.opcion),"Falta de experiencia","Falta de formación","Dificultades con la hoja de vida","Horarios disponibles","Transporte","Internet")))</f>
        <v>Falta de experiencia</v>
      </c>
      <c r="U302" s="9" t="str">
        <f>IF(I302="Tengo un emprendimiento o quiero iniciar uno","",IF(MOD(INT((COUNTIF($I$2:I302,I302)-1)/3),2)=0,"Sí","No"))</f>
        <v>Sí</v>
      </c>
      <c r="V302" s="9" t="str">
        <f>IF(I302="Tengo un emprendimiento o quiero iniciar uno",CHOOSE(MOD(COUNTIF($I$2:I302,I302)-1,3)+1,"Tengo un emprendimiento","Estoy iniciando un emprendimiento","Me interesa emprender"),"")</f>
        <v/>
      </c>
      <c r="W302" t="str">
        <f t="shared" si="77"/>
        <v/>
      </c>
      <c r="X302" s="9" t="str">
        <f>IF(I302="Tengo un emprendimiento o quiero iniciar uno",CHOOSE(MOD(COUNTIF($I$2:I302,I302)-1,5)+1,"Falta de financiación","Falta de conocimientos administrativos","Falta de conocimientos financieros","Falta de tiempo","Falta de herramientas"),"")</f>
        <v/>
      </c>
      <c r="Y302" s="9" t="str">
        <f t="shared" si="78"/>
        <v/>
      </c>
      <c r="Z302" t="str">
        <f>IF(I302="Tengo un emprendimiento o quiero iniciar uno",CHOOSE(INT(MOD((COUNTIF($I$2:I302,I302)-1)*7,39)/13)+1,"Sí","No","No conozco programas de ese tipo"),"")</f>
        <v/>
      </c>
      <c r="AA302" t="str">
        <f t="shared" si="79"/>
        <v>Puedo hacerlo con dificultad</v>
      </c>
      <c r="AB302" t="str">
        <f t="shared" si="79"/>
        <v>Puedo hacerlo con dificultad</v>
      </c>
      <c r="AC302" t="str">
        <f t="shared" si="80"/>
        <v>Puedo hacerlo con dificultad</v>
      </c>
      <c r="AD302" s="9" t="str">
        <f t="shared" si="81"/>
        <v>No puedo hacerlo</v>
      </c>
      <c r="AE302" t="str">
        <f t="shared" si="82"/>
        <v>No puedo hacerlo</v>
      </c>
      <c r="AF302" s="9" t="str">
        <f t="shared" si="83"/>
        <v>Liderazgo</v>
      </c>
      <c r="AG302" s="9" t="str">
        <f t="shared" si="84"/>
        <v>Horarios;Falta de información</v>
      </c>
      <c r="AH302" t="str">
        <f t="shared" si="85"/>
        <v>No conozco ninguno</v>
      </c>
      <c r="AI302" s="9" t="str">
        <f t="shared" si="86"/>
        <v>Presencial y virtual</v>
      </c>
      <c r="AJ302" s="9" t="str">
        <f t="shared" si="87"/>
        <v>Nocturno</v>
      </c>
      <c r="AK302" s="9" t="str">
        <f t="shared" si="88"/>
        <v>Redes sociales</v>
      </c>
    </row>
    <row r="303" spans="1:37">
      <c r="A303" t="str">
        <f t="shared" si="89"/>
        <v>SG302</v>
      </c>
      <c r="B303" s="9" t="s">
        <v>419</v>
      </c>
      <c r="C303" s="9" t="s">
        <v>427</v>
      </c>
      <c r="D303" t="str">
        <f t="shared" si="72"/>
        <v>Masculino</v>
      </c>
      <c r="E303" t="str">
        <f t="shared" si="73"/>
        <v>De 20 a 22 años</v>
      </c>
      <c r="F303">
        <f t="shared" si="74"/>
        <v>20</v>
      </c>
      <c r="G303" s="9" t="s">
        <v>430</v>
      </c>
      <c r="H303" s="9" t="str">
        <f t="shared" si="75"/>
        <v>Bachiller</v>
      </c>
      <c r="I303" s="9" t="str">
        <f t="shared" si="76"/>
        <v>Busco mi primer empleo</v>
      </c>
      <c r="J303" s="13" t="str">
        <f>IF(I303="Trabajo actualmente como empleado",IF(MOD((COUNTIF($I$2:I303,"Trabajo actualmente como empleado")-1)*37,150)&lt;100,"Empleado con contrato","Empleado sin contrato formal"),IF(I303="Trabajo de manera independiente","Trabajo independiente",""))</f>
        <v/>
      </c>
      <c r="K303" s="9" t="str">
        <f>IF(OR(I303="Trabajo actualmente como empleado",I303="Trabajo de manera independiente"),CHOOSE(MOD(COUNTIF($I$2:I303,I303)-1,4)+1,"Menos de 3 meses","De 3 a 6 meses","De 7 a 12 meses","Más de un año"),"")</f>
        <v/>
      </c>
      <c r="L303" t="str">
        <f>IF(OR(I303="Trabajo actualmente como empleado",I303="Trabajo de manera independiente"),CHOOSE(MOD(COUNTIF($I$2:I303,I303)-1,3)+1,"Sí, completamente","Parcialmente","No"),"")</f>
        <v/>
      </c>
      <c r="M303" t="str">
        <f>IF(OR(I303="Trabajo actualmente como empleado",I303="Trabajo de manera independiente"),CHOOSE(MOD(INT((COUNTIF($I$2:I303,I303)-1)/3),4)+1,"1- Muy satisfecho/a","2- Satisfecho/a","3- Insatisfecho/a","4- Muy insatisfecho/a"),"")</f>
        <v/>
      </c>
      <c r="N303" t="str">
        <f>IF(OR(I303="Trabajo actualmente como empleado",I303="Trabajo de manera independiente"),_xlfn.LET(_xlpm.opcion,MOD(INT((COUNTIF($I$2:I303,I303)-1)/5),6)+1,CHOOSE(IF(AND(_xlpm.opcion=6,L303="Sí, completamente"),5,_xlpm.opcion),"Salario","Estabilidad laboral","Horario","Acceso a prestaciones","Oportunidades de crecimiento","Trabajar en un área relacionada con mi formación")),"")</f>
        <v/>
      </c>
      <c r="O303" s="9" t="str">
        <f>IF(OR(I303="Trabajo actualmente como empleado",I303="Trabajo de manera independiente"),_xlfn.LET(_xlpm.turno,MOD(COUNTIF($I$2:I303,I303)-1,5),_xlpm.nivel,VALUE(LEFT(M303,1)),IF(_xlpm.turno=4,"No estoy seguro/a",IF(_xlpm.turno&lt;IF(_xlpm.nivel&lt;=2,1,3),"Sí","No"))),"")</f>
        <v/>
      </c>
      <c r="P303" s="9" t="str">
        <f>_xlfn.LET(_xlpm.perfil,I303,_xlpm.turno,COUNTIF($I$2:I303,_xlpm.perfil)-1,_xlpm.busca,OR(_xlpm.perfil="Actualmente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trabajar"),IF(AND(_xlpm.trabaja,O303="No"),"Todavía no he iniciado una búsqueda activa",CHOOSE(MOD(_xlpm.turno*3,5)+1,"Menos de 1 mes","Entre 1 y 3 meses","Entre 4 y 6 meses","Más de 6 meses","Todavía no he iniciado una búsqueda activa")),"")))</f>
        <v>Menos de 1 mes</v>
      </c>
      <c r="Q303" t="str">
        <f>IF(I303="Tengo un emprendimiento o quiero iniciar uno","",CHOOSE(MOD(INT((COUNTIF($I$2:I303,I303)-1)/7),3)+1,"Sí","No","Tengo una pero necesito actualizarla"))</f>
        <v>Tengo una pero necesito actualizarla</v>
      </c>
      <c r="R303" s="9" t="str">
        <f>IF(I303="Tengo un emprendimiento o quiero iniciar uno","",IF(I303="Busco mi primer empleo","No",IF(MOD(COUNTIF($I$2:I303,I303)-1,2)=0,"Sí","No")))</f>
        <v>No</v>
      </c>
      <c r="S303" t="str">
        <f>IF(I303="Tengo un emprendimiento o quiero iniciar uno","",CHOOSE(MOD(INT((COUNTIF($I$2:I303,I303)-1)/3),10)+1,"Portales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03" t="str">
        <f>IF(I303="Tengo un emprendimiento o quiero iniciar uno","",_xlfn.LET(_xlpm.opcion,MOD(INT((COUNTIF($I$2:I303,I303)-1)/4),6)+1,CHOOSE(IF(AND(_xlpm.opcion=3,Q303="Sí"),1,_xlpm.opcion),"Falta de experiencia","Falta de formación","Dificultades con la hoja de vida","Horarios disponibles","Transporte","Internet")))</f>
        <v>Transporte</v>
      </c>
      <c r="U303" s="9" t="str">
        <f>IF(I303="Tengo un emprendimiento o quiero iniciar uno","",IF(MOD(INT((COUNTIF($I$2:I303,I303)-1)/3),2)=0,"Sí","No"))</f>
        <v>No</v>
      </c>
      <c r="V303" s="9" t="str">
        <f>IF(I303="Tengo un emprendimiento o quiero iniciar uno",CHOOSE(MOD(COUNTIF($I$2:I303,I303)-1,3)+1,"Tengo un emprendimiento","Estoy iniciando un emprendimiento","Me interesa emprender"),"")</f>
        <v/>
      </c>
      <c r="W303" t="str">
        <f t="shared" si="77"/>
        <v/>
      </c>
      <c r="X303" s="9" t="str">
        <f>IF(I303="Tengo un emprendimiento o quiero iniciar uno",CHOOSE(MOD(COUNTIF($I$2:I303,I303)-1,5)+1,"Falta de financiación","Falta de conocimientos administrativos","Falta de conocimientos financieros","Falta de tiempo","Falta de herramientas"),"")</f>
        <v/>
      </c>
      <c r="Y303" s="9" t="str">
        <f t="shared" si="78"/>
        <v/>
      </c>
      <c r="Z303" t="str">
        <f>IF(I303="Tengo un emprendimiento o quiero iniciar uno",CHOOSE(INT(MOD((COUNTIF($I$2:I303,I303)-1)*7,39)/13)+1,"Sí","No","No conozco programas de ese tipo"),"")</f>
        <v/>
      </c>
      <c r="AA303" t="str">
        <f t="shared" si="79"/>
        <v>No puedo hacerlo</v>
      </c>
      <c r="AB303" t="str">
        <f t="shared" si="79"/>
        <v>No puedo hacerlo</v>
      </c>
      <c r="AC303" t="str">
        <f t="shared" si="80"/>
        <v>Puedo hacerlo sin ayuda</v>
      </c>
      <c r="AD303" s="9" t="str">
        <f t="shared" si="81"/>
        <v>No puedo hacerlo</v>
      </c>
      <c r="AE303" t="str">
        <f t="shared" si="82"/>
        <v>No puedo hacerlo</v>
      </c>
      <c r="AF303" s="9" t="str">
        <f t="shared" si="83"/>
        <v>Emprendimiento</v>
      </c>
      <c r="AG303" s="9" t="str">
        <f t="shared" si="84"/>
        <v>Horarios;Falta de información</v>
      </c>
      <c r="AH303" t="str">
        <f t="shared" si="85"/>
        <v>Oficina de orientación laboral</v>
      </c>
      <c r="AI303" s="9" t="str">
        <f t="shared" si="86"/>
        <v>Me es indiferente</v>
      </c>
      <c r="AJ303" s="9" t="str">
        <f t="shared" si="87"/>
        <v>Mañana entre semana</v>
      </c>
      <c r="AK303" s="9" t="str">
        <f t="shared" si="88"/>
        <v>Celular</v>
      </c>
    </row>
    <row r="304" spans="1:37">
      <c r="A304" t="str">
        <f t="shared" si="89"/>
        <v>SG303</v>
      </c>
      <c r="B304" s="9" t="s">
        <v>419</v>
      </c>
      <c r="C304" s="9" t="s">
        <v>427</v>
      </c>
      <c r="D304" t="str">
        <f t="shared" si="72"/>
        <v>Masculino</v>
      </c>
      <c r="E304" t="str">
        <f t="shared" si="73"/>
        <v>De 22 a 24 años</v>
      </c>
      <c r="F304">
        <f t="shared" si="74"/>
        <v>22</v>
      </c>
      <c r="G304" s="9" t="s">
        <v>430</v>
      </c>
      <c r="H304" s="9" t="str">
        <f t="shared" si="75"/>
        <v>Bachiller</v>
      </c>
      <c r="I304" s="9" t="str">
        <f t="shared" si="76"/>
        <v>Trabajo actualmente como empleado</v>
      </c>
      <c r="J304" s="13" t="str">
        <f>IF(I304="Trabajo actualmente como empleado",IF(MOD((COUNTIF($I$2:I304,"Trabajo actualmente como empleado")-1)*37,150)&lt;100,"Empleado con contrato","Empleado sin contrato formal"),IF(I304="Trabajo de manera independiente","Trabajo independiente",""))</f>
        <v>Empleado con contrato</v>
      </c>
      <c r="K304" s="9" t="str">
        <f>IF(OR(I304="Trabajo actualmente como empleado",I304="Trabajo de manera independiente"),CHOOSE(MOD(COUNTIF($I$2:I304,I304)-1,4)+1,"Menos de 3 meses","De 3 a 6 meses","De 7 a 12 meses","Más de un año"),"")</f>
        <v>Más de un año</v>
      </c>
      <c r="L304" t="str">
        <f>IF(OR(I304="Trabajo actualmente como empleado",I304="Trabajo de manera independiente"),CHOOSE(MOD(COUNTIF($I$2:I304,I304)-1,3)+1,"Sí, completamente","Parcialmente","No"),"")</f>
        <v>No</v>
      </c>
      <c r="M304" t="str">
        <f>IF(OR(I304="Trabajo actualmente como empleado",I304="Trabajo de manera independiente"),CHOOSE(MOD(INT((COUNTIF($I$2:I304,I304)-1)/3),4)+1,"1- Muy satisfecho/a","2- Satisfecho/a","3- Insatisfecho/a","4- Muy insatisfecho/a"),"")</f>
        <v>4- Muy insatisfecho/a</v>
      </c>
      <c r="N304" t="str">
        <f>IF(OR(I304="Trabajo actualmente como empleado",I304="Trabajo de manera independiente"),_xlfn.LET(_xlpm.opcion,MOD(INT((COUNTIF($I$2:I304,I304)-1)/5),6)+1,CHOOSE(IF(AND(_xlpm.opcion=6,L304="Sí, completamente"),5,_xlpm.opcion),"Salario","Estabilidad laboral","Horario","Acceso a prestaciones","Oportunidades de crecimiento","Trabajar en un área relacionada con mi formación")),"")</f>
        <v>Estabilidad laboral</v>
      </c>
      <c r="O304" s="9" t="str">
        <f>IF(OR(I304="Trabajo actualmente como empleado",I304="Trabajo de manera independiente"),_xlfn.LET(_xlpm.turno,MOD(COUNTIF($I$2:I304,I304)-1,5),_xlpm.nivel,VALUE(LEFT(M304,1)),IF(_xlpm.turno=4,"No estoy seguro/a",IF(_xlpm.turno&lt;IF(_xlpm.nivel&lt;=2,1,3),"Sí","No"))),"")</f>
        <v>Sí</v>
      </c>
      <c r="P304" s="9" t="str">
        <f>_xlfn.LET(_xlpm.perfil,I304,_xlpm.turno,COUNTIF($I$2:I304,_xlpm.perfil)-1,_xlpm.busca,OR(_xlpm.perfil="Actualmente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trabajar"),IF(AND(_xlpm.trabaja,O304="No"),"Todavía no he iniciado una búsqueda activa",CHOOSE(MOD(_xlpm.turno*3,5)+1,"Menos de 1 mes","Entre 1 y 3 meses","Entre 4 y 6 meses","Más de 6 meses","Todavía no he iniciado una búsqueda activa")),"")))</f>
        <v>Menos de 1 mes</v>
      </c>
      <c r="Q304" t="str">
        <f>IF(I304="Tengo un emprendimiento o quiero iniciar uno","",CHOOSE(MOD(INT((COUNTIF($I$2:I304,I304)-1)/7),3)+1,"Sí","No","Tengo una pero necesito actualizarla"))</f>
        <v>No</v>
      </c>
      <c r="R304" s="9" t="str">
        <f>IF(I304="Tengo un emprendimiento o quiero iniciar uno","",IF(I304="Busco mi primer empleo","No",IF(MOD(COUNTIF($I$2:I304,I304)-1,2)=0,"Sí","No")))</f>
        <v>No</v>
      </c>
      <c r="S304" t="str">
        <f>IF(I304="Tengo un emprendimiento o quiero iniciar uno","",CHOOSE(MOD(INT((COUNTIF($I$2:I304,I304)-1)/3),10)+1,"Portales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04" t="str">
        <f>IF(I304="Tengo un emprendimiento o quiero iniciar uno","",_xlfn.LET(_xlpm.opcion,MOD(INT((COUNTIF($I$2:I304,I304)-1)/4),6)+1,CHOOSE(IF(AND(_xlpm.opcion=3,Q304="Sí"),1,_xlpm.opcion),"Falta de experiencia","Falta de formación","Dificultades con la hoja de vida","Horarios disponibles","Transporte","Internet")))</f>
        <v>Internet</v>
      </c>
      <c r="U304" s="9" t="str">
        <f>IF(I304="Tengo un emprendimiento o quiero iniciar uno","",IF(MOD(INT((COUNTIF($I$2:I304,I304)-1)/3),2)=0,"Sí","No"))</f>
        <v>No</v>
      </c>
      <c r="V304" s="9" t="str">
        <f>IF(I304="Tengo un emprendimiento o quiero iniciar uno",CHOOSE(MOD(COUNTIF($I$2:I304,I304)-1,3)+1,"Tengo un emprendimiento","Estoy iniciando un emprendimiento","Me interesa emprender"),"")</f>
        <v/>
      </c>
      <c r="W304" t="str">
        <f t="shared" si="77"/>
        <v/>
      </c>
      <c r="X304" s="9" t="str">
        <f>IF(I304="Tengo un emprendimiento o quiero iniciar uno",CHOOSE(MOD(COUNTIF($I$2:I304,I304)-1,5)+1,"Falta de financiación","Falta de conocimientos administrativos","Falta de conocimientos financieros","Falta de tiempo","Falta de herramientas"),"")</f>
        <v/>
      </c>
      <c r="Y304" s="9" t="str">
        <f t="shared" si="78"/>
        <v/>
      </c>
      <c r="Z304" t="str">
        <f>IF(I304="Tengo un emprendimiento o quiero iniciar uno",CHOOSE(INT(MOD((COUNTIF($I$2:I304,I304)-1)*7,39)/13)+1,"Sí","No","No conozco programas de ese tipo"),"")</f>
        <v/>
      </c>
      <c r="AA304" t="str">
        <f t="shared" si="79"/>
        <v>Puedo hacerlo con ayuda</v>
      </c>
      <c r="AB304" t="str">
        <f t="shared" si="79"/>
        <v>Puedo hacerlo con ayuda</v>
      </c>
      <c r="AC304" t="str">
        <f t="shared" si="80"/>
        <v>No puedo hacerlo</v>
      </c>
      <c r="AD304" s="9" t="str">
        <f t="shared" si="81"/>
        <v>Puedo hacerlo con ayuda</v>
      </c>
      <c r="AE304" t="str">
        <f t="shared" si="82"/>
        <v>Puedo hacerlo con ayuda</v>
      </c>
      <c r="AF304" s="9" t="str">
        <f t="shared" si="83"/>
        <v>Herramientas digitales</v>
      </c>
      <c r="AG304" s="9" t="str">
        <f t="shared" si="84"/>
        <v>Horarios;Falta de información</v>
      </c>
      <c r="AH304" t="str">
        <f t="shared" si="85"/>
        <v>Programas de emprendimiento</v>
      </c>
      <c r="AI304" s="9" t="str">
        <f t="shared" si="86"/>
        <v>Presencial</v>
      </c>
      <c r="AJ304" s="9" t="str">
        <f t="shared" si="87"/>
        <v>Fines de semana</v>
      </c>
      <c r="AK304" s="9" t="str">
        <f t="shared" si="88"/>
        <v>Correo electrónico</v>
      </c>
    </row>
    <row r="305" spans="1:37">
      <c r="A305" t="str">
        <f t="shared" si="89"/>
        <v>SG304</v>
      </c>
      <c r="B305" s="9" t="s">
        <v>419</v>
      </c>
      <c r="C305" s="9" t="s">
        <v>427</v>
      </c>
      <c r="D305" t="str">
        <f t="shared" si="72"/>
        <v>Femenino</v>
      </c>
      <c r="E305" t="str">
        <f t="shared" si="73"/>
        <v>De 24 a 26 años</v>
      </c>
      <c r="F305">
        <f t="shared" si="74"/>
        <v>24</v>
      </c>
      <c r="G305" s="9" t="s">
        <v>430</v>
      </c>
      <c r="H305" s="9" t="str">
        <f t="shared" si="75"/>
        <v>Técnico</v>
      </c>
      <c r="I305" s="9" t="str">
        <f t="shared" si="76"/>
        <v>Trabajo de manera independiente</v>
      </c>
      <c r="J305" s="13" t="str">
        <f>IF(I305="Trabajo actualmente como empleado",IF(MOD((COUNTIF($I$2:I305,"Trabajo actualmente como empleado")-1)*37,150)&lt;100,"Empleado con contrato","Empleado sin contrato formal"),IF(I305="Trabajo de manera independiente","Trabajo independiente",""))</f>
        <v>Trabajo independiente</v>
      </c>
      <c r="K305" s="9" t="str">
        <f>IF(OR(I305="Trabajo actualmente como empleado",I305="Trabajo de manera independiente"),CHOOSE(MOD(COUNTIF($I$2:I305,I305)-1,4)+1,"Menos de 3 meses","De 3 a 6 meses","De 7 a 12 meses","Más de un año"),"")</f>
        <v>Más de un año</v>
      </c>
      <c r="L305" t="str">
        <f>IF(OR(I305="Trabajo actualmente como empleado",I305="Trabajo de manera independiente"),CHOOSE(MOD(COUNTIF($I$2:I305,I305)-1,3)+1,"Sí, completamente","Parcialmente","No"),"")</f>
        <v>Sí, completamente</v>
      </c>
      <c r="M305" t="str">
        <f>IF(OR(I305="Trabajo actualmente como empleado",I305="Trabajo de manera independiente"),CHOOSE(MOD(INT((COUNTIF($I$2:I305,I305)-1)/3),4)+1,"1- Muy satisfecho/a","2- Satisfecho/a","3- Insatisfecho/a","4- Muy insatisfecho/a"),"")</f>
        <v>2- Satisfecho/a</v>
      </c>
      <c r="N305" t="str">
        <f>IF(OR(I305="Trabajo actualmente como empleado",I305="Trabajo de manera independiente"),_xlfn.LET(_xlpm.opcion,MOD(INT((COUNTIF($I$2:I305,I305)-1)/5),6)+1,CHOOSE(IF(AND(_xlpm.opcion=6,L305="Sí, completamente"),5,_xlpm.opcion),"Salario","Estabilidad laboral","Horario","Acceso a prestaciones","Oportunidades de crecimiento","Trabajar en un área relacionada con mi formación")),"")</f>
        <v>Oportunidades de crecimiento</v>
      </c>
      <c r="O305" s="9" t="str">
        <f>IF(OR(I305="Trabajo actualmente como empleado",I305="Trabajo de manera independiente"),_xlfn.LET(_xlpm.turno,MOD(COUNTIF($I$2:I305,I305)-1,5),_xlpm.nivel,VALUE(LEFT(M305,1)),IF(_xlpm.turno=4,"No estoy seguro/a",IF(_xlpm.turno&lt;IF(_xlpm.nivel&lt;=2,1,3),"Sí","No"))),"")</f>
        <v>No</v>
      </c>
      <c r="P305" s="9" t="str">
        <f>_xlfn.LET(_xlpm.perfil,I305,_xlpm.turno,COUNTIF($I$2:I305,_xlpm.perfil)-1,_xlpm.busca,OR(_xlpm.perfil="Actualmente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05" t="str">
        <f>IF(I305="Tengo un emprendimiento o quiero iniciar uno","",CHOOSE(MOD(INT((COUNTIF($I$2:I305,I305)-1)/7),3)+1,"Sí","No","Tengo una pero necesito actualizarla"))</f>
        <v>No</v>
      </c>
      <c r="R305" s="9" t="str">
        <f>IF(I305="Tengo un emprendimiento o quiero iniciar uno","",IF(I305="Busco mi primer empleo","No",IF(MOD(COUNTIF($I$2:I305,I305)-1,2)=0,"Sí","No")))</f>
        <v>No</v>
      </c>
      <c r="S305" t="str">
        <f>IF(I305="Tengo un emprendimiento o quiero iniciar uno","",CHOOSE(MOD(INT((COUNTIF($I$2:I305,I305)-1)/3),10)+1,"Portales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305" t="str">
        <f>IF(I305="Tengo un emprendimiento o quiero iniciar uno","",_xlfn.LET(_xlpm.opcion,MOD(INT((COUNTIF($I$2:I305,I305)-1)/4),6)+1,CHOOSE(IF(AND(_xlpm.opcion=3,Q305="Sí"),1,_xlpm.opcion),"Falta de experiencia","Falta de formación","Dificultades con la hoja de vida","Horarios disponibles","Transporte","Internet")))</f>
        <v>Falta de experiencia</v>
      </c>
      <c r="U305" s="9" t="str">
        <f>IF(I305="Tengo un emprendimiento o quiero iniciar uno","",IF(MOD(INT((COUNTIF($I$2:I305,I305)-1)/3),2)=0,"Sí","No"))</f>
        <v>No</v>
      </c>
      <c r="V305" s="9" t="str">
        <f>IF(I305="Tengo un emprendimiento o quiero iniciar uno",CHOOSE(MOD(COUNTIF($I$2:I305,I305)-1,3)+1,"Tengo un emprendimiento","Estoy iniciando un emprendimiento","Me interesa emprender"),"")</f>
        <v/>
      </c>
      <c r="W305" t="str">
        <f t="shared" si="77"/>
        <v/>
      </c>
      <c r="X305" s="9" t="str">
        <f>IF(I305="Tengo un emprendimiento o quiero iniciar uno",CHOOSE(MOD(COUNTIF($I$2:I305,I305)-1,5)+1,"Falta de financiación","Falta de conocimientos administrativos","Falta de conocimientos financieros","Falta de tiempo","Falta de herramientas"),"")</f>
        <v/>
      </c>
      <c r="Y305" s="9" t="str">
        <f t="shared" si="78"/>
        <v/>
      </c>
      <c r="Z305" t="str">
        <f>IF(I305="Tengo un emprendimiento o quiero iniciar uno",CHOOSE(INT(MOD((COUNTIF($I$2:I305,I305)-1)*7,39)/13)+1,"Sí","No","No conozco programas de ese tipo"),"")</f>
        <v/>
      </c>
      <c r="AA305" t="str">
        <f t="shared" si="79"/>
        <v>Puedo hacerlo sin ayuda</v>
      </c>
      <c r="AB305" t="str">
        <f t="shared" si="79"/>
        <v>Puedo hacerlo sin ayuda</v>
      </c>
      <c r="AC305" t="str">
        <f t="shared" si="80"/>
        <v>Puedo hacerlo con ayuda</v>
      </c>
      <c r="AD305" s="9" t="str">
        <f t="shared" si="81"/>
        <v>Puedo hacerlo con dificultad</v>
      </c>
      <c r="AE305" t="str">
        <f t="shared" si="82"/>
        <v>Puedo hacerlo con dificultad</v>
      </c>
      <c r="AF305" s="9" t="str">
        <f t="shared" si="83"/>
        <v>Educación financiera</v>
      </c>
      <c r="AG305" s="9" t="str">
        <f t="shared" si="84"/>
        <v>Ninguna</v>
      </c>
      <c r="AH305" t="str">
        <f t="shared" si="85"/>
        <v>Oficina de orientación laboral</v>
      </c>
      <c r="AI305" s="9" t="str">
        <f t="shared" si="86"/>
        <v>Virtual</v>
      </c>
      <c r="AJ305" s="9" t="str">
        <f t="shared" si="87"/>
        <v>Nocturno</v>
      </c>
      <c r="AK305" s="9" t="str">
        <f t="shared" si="88"/>
        <v>Redes sociales</v>
      </c>
    </row>
    <row r="306" spans="1:37">
      <c r="A306" t="str">
        <f t="shared" si="89"/>
        <v>SG305</v>
      </c>
      <c r="B306" s="9" t="s">
        <v>419</v>
      </c>
      <c r="C306" s="9" t="s">
        <v>427</v>
      </c>
      <c r="D306" t="str">
        <f t="shared" si="72"/>
        <v>Femenino</v>
      </c>
      <c r="E306" t="str">
        <f t="shared" si="73"/>
        <v>De 26 a 28 años</v>
      </c>
      <c r="F306">
        <f t="shared" si="74"/>
        <v>26</v>
      </c>
      <c r="G306" s="9" t="s">
        <v>430</v>
      </c>
      <c r="H306" s="9" t="str">
        <f t="shared" si="75"/>
        <v>Tecnólogo</v>
      </c>
      <c r="I306" s="9" t="str">
        <f t="shared" si="76"/>
        <v>Estudio y quiero comenzar a trabajar</v>
      </c>
      <c r="J306" s="13" t="str">
        <f>IF(I306="Trabajo actualmente como empleado",IF(MOD((COUNTIF($I$2:I306,"Trabajo actualmente como empleado")-1)*37,150)&lt;100,"Empleado con contrato","Empleado sin contrato formal"),IF(I306="Trabajo de manera independiente","Trabajo independiente",""))</f>
        <v/>
      </c>
      <c r="K306" s="9" t="str">
        <f>IF(OR(I306="Trabajo actualmente como empleado",I306="Trabajo de manera independiente"),CHOOSE(MOD(COUNTIF($I$2:I306,I306)-1,4)+1,"Menos de 3 meses","De 3 a 6 meses","De 7 a 12 meses","Más de un año"),"")</f>
        <v/>
      </c>
      <c r="L306" t="str">
        <f>IF(OR(I306="Trabajo actualmente como empleado",I306="Trabajo de manera independiente"),CHOOSE(MOD(COUNTIF($I$2:I306,I306)-1,3)+1,"Sí, completamente","Parcialmente","No"),"")</f>
        <v/>
      </c>
      <c r="M306" t="str">
        <f>IF(OR(I306="Trabajo actualmente como empleado",I306="Trabajo de manera independiente"),CHOOSE(MOD(INT((COUNTIF($I$2:I306,I306)-1)/3),4)+1,"1- Muy satisfecho/a","2- Satisfecho/a","3- Insatisfecho/a","4- Muy insatisfecho/a"),"")</f>
        <v/>
      </c>
      <c r="N306" t="str">
        <f>IF(OR(I306="Trabajo actualmente como empleado",I306="Trabajo de manera independiente"),_xlfn.LET(_xlpm.opcion,MOD(INT((COUNTIF($I$2:I306,I306)-1)/5),6)+1,CHOOSE(IF(AND(_xlpm.opcion=6,L306="Sí, completamente"),5,_xlpm.opcion),"Salario","Estabilidad laboral","Horario","Acceso a prestaciones","Oportunidades de crecimiento","Trabajar en un área relacionada con mi formación")),"")</f>
        <v/>
      </c>
      <c r="O306" s="9" t="str">
        <f>IF(OR(I306="Trabajo actualmente como empleado",I306="Trabajo de manera independiente"),_xlfn.LET(_xlpm.turno,MOD(COUNTIF($I$2:I306,I306)-1,5),_xlpm.nivel,VALUE(LEFT(M306,1)),IF(_xlpm.turno=4,"No estoy seguro/a",IF(_xlpm.turno&lt;IF(_xlpm.nivel&lt;=2,1,3),"Sí","No"))),"")</f>
        <v/>
      </c>
      <c r="P306" s="9" t="str">
        <f>_xlfn.LET(_xlpm.perfil,I306,_xlpm.turno,COUNTIF($I$2:I306,_xlpm.perfil)-1,_xlpm.busca,OR(_xlpm.perfil="Actualmente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trabajar"),IF(AND(_xlpm.trabaja,O306="No"),"Todavía no he iniciado una búsqueda activa",CHOOSE(MOD(_xlpm.turno*3,5)+1,"Menos de 1 mes","Entre 1 y 3 meses","Entre 4 y 6 meses","Más de 6 meses","Todavía no he iniciado una búsqueda activa")),"")))</f>
        <v>Menos de 1 mes</v>
      </c>
      <c r="Q306" t="str">
        <f>IF(I306="Tengo un emprendimiento o quiero iniciar uno","",CHOOSE(MOD(INT((COUNTIF($I$2:I306,I306)-1)/7),3)+1,"Sí","No","Tengo una pero necesito actualizarla"))</f>
        <v>Tengo una pero necesito actualizarla</v>
      </c>
      <c r="R306" s="9" t="str">
        <f>IF(I306="Tengo un emprendimiento o quiero iniciar uno","",IF(I306="Busco mi primer empleo","No",IF(MOD(COUNTIF($I$2:I306,I306)-1,2)=0,"Sí","No")))</f>
        <v>No</v>
      </c>
      <c r="S306" t="str">
        <f>IF(I306="Tengo un emprendimiento o quiero iniciar uno","",CHOOSE(MOD(INT((COUNTIF($I$2:I306,I306)-1)/3),10)+1,"Portales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06" t="str">
        <f>IF(I306="Tengo un emprendimiento o quiero iniciar uno","",_xlfn.LET(_xlpm.opcion,MOD(INT((COUNTIF($I$2:I306,I306)-1)/4),6)+1,CHOOSE(IF(AND(_xlpm.opcion=3,Q306="Sí"),1,_xlpm.opcion),"Falta de experiencia","Falta de formación","Dificultades con la hoja de vida","Horarios disponibles","Transporte","Internet")))</f>
        <v>Dificultades con la hoja de vida</v>
      </c>
      <c r="U306" s="9" t="str">
        <f>IF(I306="Tengo un emprendimiento o quiero iniciar uno","",IF(MOD(INT((COUNTIF($I$2:I306,I306)-1)/3),2)=0,"Sí","No"))</f>
        <v>No</v>
      </c>
      <c r="V306" s="9" t="str">
        <f>IF(I306="Tengo un emprendimiento o quiero iniciar uno",CHOOSE(MOD(COUNTIF($I$2:I306,I306)-1,3)+1,"Tengo un emprendimiento","Estoy iniciando un emprendimiento","Me interesa emprender"),"")</f>
        <v/>
      </c>
      <c r="W306" t="str">
        <f t="shared" si="77"/>
        <v/>
      </c>
      <c r="X306" s="9" t="str">
        <f>IF(I306="Tengo un emprendimiento o quiero iniciar uno",CHOOSE(MOD(COUNTIF($I$2:I306,I306)-1,5)+1,"Falta de financiación","Falta de conocimientos administrativos","Falta de conocimientos financieros","Falta de tiempo","Falta de herramientas"),"")</f>
        <v/>
      </c>
      <c r="Y306" s="9" t="str">
        <f t="shared" si="78"/>
        <v/>
      </c>
      <c r="Z306" t="str">
        <f>IF(I306="Tengo un emprendimiento o quiero iniciar uno",CHOOSE(INT(MOD((COUNTIF($I$2:I306,I306)-1)*7,39)/13)+1,"Sí","No","No conozco programas de ese tipo"),"")</f>
        <v/>
      </c>
      <c r="AA306" t="str">
        <f t="shared" si="79"/>
        <v>No puedo hacerlo</v>
      </c>
      <c r="AB306" t="str">
        <f t="shared" si="79"/>
        <v>No puedo hacerlo</v>
      </c>
      <c r="AC306" t="str">
        <f t="shared" si="80"/>
        <v>Puedo hacerlo sin ayuda</v>
      </c>
      <c r="AD306" s="9" t="str">
        <f t="shared" si="81"/>
        <v>Puedo hacerlo sin ayuda</v>
      </c>
      <c r="AE306" t="str">
        <f t="shared" si="82"/>
        <v>Puedo hacerlo con dificultad</v>
      </c>
      <c r="AF306" s="9" t="str">
        <f t="shared" si="83"/>
        <v>Crear una hoja de vida;Preparación para entrevista</v>
      </c>
      <c r="AG306" s="9" t="str">
        <f t="shared" si="84"/>
        <v>Ninguna</v>
      </c>
      <c r="AH306" t="str">
        <f t="shared" si="85"/>
        <v>Ferias de empleo</v>
      </c>
      <c r="AI306" s="9" t="str">
        <f t="shared" si="86"/>
        <v>Presencial y virtual</v>
      </c>
      <c r="AJ306" s="9" t="str">
        <f t="shared" si="87"/>
        <v>Mañana entre semana</v>
      </c>
      <c r="AK306" s="9" t="str">
        <f t="shared" si="88"/>
        <v>WhatsApp</v>
      </c>
    </row>
    <row r="307" spans="1:37">
      <c r="A307" t="str">
        <f t="shared" si="89"/>
        <v>SG306</v>
      </c>
      <c r="B307" s="9" t="s">
        <v>419</v>
      </c>
      <c r="C307" s="9" t="s">
        <v>427</v>
      </c>
      <c r="D307" t="str">
        <f t="shared" si="72"/>
        <v>Masculino</v>
      </c>
      <c r="E307" t="str">
        <f t="shared" si="73"/>
        <v>De 18 a 20 años</v>
      </c>
      <c r="F307">
        <f t="shared" si="74"/>
        <v>19</v>
      </c>
      <c r="G307" s="9" t="s">
        <v>430</v>
      </c>
      <c r="H307" s="9" t="str">
        <f t="shared" si="75"/>
        <v>Bachiller</v>
      </c>
      <c r="I307" s="9" t="str">
        <f t="shared" si="76"/>
        <v>Trabajo actualmente como empleado</v>
      </c>
      <c r="J307" s="13" t="str">
        <f>IF(I307="Trabajo actualmente como empleado",IF(MOD((COUNTIF($I$2:I307,"Trabajo actualmente como empleado")-1)*37,150)&lt;100,"Empleado con contrato","Empleado sin contrato formal"),IF(I307="Trabajo de manera independiente","Trabajo independiente",""))</f>
        <v>Empleado sin contrato formal</v>
      </c>
      <c r="K307" s="9" t="str">
        <f>IF(OR(I307="Trabajo actualmente como empleado",I307="Trabajo de manera independiente"),CHOOSE(MOD(COUNTIF($I$2:I307,I307)-1,4)+1,"Menos de 3 meses","De 3 a 6 meses","De 7 a 12 meses","Más de un año"),"")</f>
        <v>Menos de 3 meses</v>
      </c>
      <c r="L307" t="str">
        <f>IF(OR(I307="Trabajo actualmente como empleado",I307="Trabajo de manera independiente"),CHOOSE(MOD(COUNTIF($I$2:I307,I307)-1,3)+1,"Sí, completamente","Parcialmente","No"),"")</f>
        <v>Sí, completamente</v>
      </c>
      <c r="M307" t="str">
        <f>IF(OR(I307="Trabajo actualmente como empleado",I307="Trabajo de manera independiente"),CHOOSE(MOD(INT((COUNTIF($I$2:I307,I307)-1)/3),4)+1,"1- Muy satisfecho/a","2- Satisfecho/a","3- Insatisfecho/a","4- Muy insatisfecho/a"),"")</f>
        <v>1- Muy satisfecho/a</v>
      </c>
      <c r="N307" t="str">
        <f>IF(OR(I307="Trabajo actualmente como empleado",I307="Trabajo de manera independiente"),_xlfn.LET(_xlpm.opcion,MOD(INT((COUNTIF($I$2:I307,I307)-1)/5),6)+1,CHOOSE(IF(AND(_xlpm.opcion=6,L307="Sí, completamente"),5,_xlpm.opcion),"Salario","Estabilidad laboral","Horario","Acceso a prestaciones","Oportunidades de crecimiento","Trabajar en un área relacionada con mi formación")),"")</f>
        <v>Estabilidad laboral</v>
      </c>
      <c r="O307" s="9" t="str">
        <f>IF(OR(I307="Trabajo actualmente como empleado",I307="Trabajo de manera independiente"),_xlfn.LET(_xlpm.turno,MOD(COUNTIF($I$2:I307,I307)-1,5),_xlpm.nivel,VALUE(LEFT(M307,1)),IF(_xlpm.turno=4,"No estoy seguro/a",IF(_xlpm.turno&lt;IF(_xlpm.nivel&lt;=2,1,3),"Sí","No"))),"")</f>
        <v>No</v>
      </c>
      <c r="P307" s="9" t="str">
        <f>_xlfn.LET(_xlpm.perfil,I307,_xlpm.turno,COUNTIF($I$2:I307,_xlpm.perfil)-1,_xlpm.busca,OR(_xlpm.perfil="Actualmente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07" t="str">
        <f>IF(I307="Tengo un emprendimiento o quiero iniciar uno","",CHOOSE(MOD(INT((COUNTIF($I$2:I307,I307)-1)/7),3)+1,"Sí","No","Tengo una pero necesito actualizarla"))</f>
        <v>No</v>
      </c>
      <c r="R307" s="9" t="str">
        <f>IF(I307="Tengo un emprendimiento o quiero iniciar uno","",IF(I307="Busco mi primer empleo","No",IF(MOD(COUNTIF($I$2:I307,I307)-1,2)=0,"Sí","No")))</f>
        <v>Sí</v>
      </c>
      <c r="S307" t="str">
        <f>IF(I307="Tengo un emprendimiento o quiero iniciar uno","",CHOOSE(MOD(INT((COUNTIF($I$2:I307,I307)-1)/3),10)+1,"Portales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07" t="str">
        <f>IF(I307="Tengo un emprendimiento o quiero iniciar uno","",_xlfn.LET(_xlpm.opcion,MOD(INT((COUNTIF($I$2:I307,I307)-1)/4),6)+1,CHOOSE(IF(AND(_xlpm.opcion=3,Q307="Sí"),1,_xlpm.opcion),"Falta de experiencia","Falta de formación","Dificultades con la hoja de vida","Horarios disponibles","Transporte","Internet")))</f>
        <v>Falta de experiencia</v>
      </c>
      <c r="U307" s="9" t="str">
        <f>IF(I307="Tengo un emprendimiento o quiero iniciar uno","",IF(MOD(INT((COUNTIF($I$2:I307,I307)-1)/3),2)=0,"Sí","No"))</f>
        <v>Sí</v>
      </c>
      <c r="V307" s="9" t="str">
        <f>IF(I307="Tengo un emprendimiento o quiero iniciar uno",CHOOSE(MOD(COUNTIF($I$2:I307,I307)-1,3)+1,"Tengo un emprendimiento","Estoy iniciando un emprendimiento","Me interesa emprender"),"")</f>
        <v/>
      </c>
      <c r="W307" t="str">
        <f t="shared" si="77"/>
        <v/>
      </c>
      <c r="X307" s="9" t="str">
        <f>IF(I307="Tengo un emprendimiento o quiero iniciar uno",CHOOSE(MOD(COUNTIF($I$2:I307,I307)-1,5)+1,"Falta de financiación","Falta de conocimientos administrativos","Falta de conocimientos financieros","Falta de tiempo","Falta de herramientas"),"")</f>
        <v/>
      </c>
      <c r="Y307" s="9" t="str">
        <f t="shared" si="78"/>
        <v/>
      </c>
      <c r="Z307" t="str">
        <f>IF(I307="Tengo un emprendimiento o quiero iniciar uno",CHOOSE(INT(MOD((COUNTIF($I$2:I307,I307)-1)*7,39)/13)+1,"Sí","No","No conozco programas de ese tipo"),"")</f>
        <v/>
      </c>
      <c r="AA307" t="str">
        <f t="shared" si="79"/>
        <v>Puedo hacerlo con dificultad</v>
      </c>
      <c r="AB307" t="str">
        <f t="shared" si="79"/>
        <v>Puedo hacerlo con dificultad</v>
      </c>
      <c r="AC307" t="str">
        <f t="shared" si="80"/>
        <v>No puedo hacerlo</v>
      </c>
      <c r="AD307" s="9" t="str">
        <f t="shared" si="81"/>
        <v>Puedo hacerlo sin ayuda</v>
      </c>
      <c r="AE307" t="str">
        <f t="shared" si="82"/>
        <v>Puedo hacerlo sin ayuda</v>
      </c>
      <c r="AF307" s="9" t="str">
        <f t="shared" si="83"/>
        <v>Comunicación;Liderazgo</v>
      </c>
      <c r="AG307" s="9" t="str">
        <f t="shared" si="84"/>
        <v>Ninguna</v>
      </c>
      <c r="AH307" t="str">
        <f t="shared" si="85"/>
        <v>No conozco ninguno</v>
      </c>
      <c r="AI307" s="9" t="str">
        <f t="shared" si="86"/>
        <v>Presencial</v>
      </c>
      <c r="AJ307" s="9" t="str">
        <f t="shared" si="87"/>
        <v>Fines de semana</v>
      </c>
      <c r="AK307" s="9" t="str">
        <f t="shared" si="88"/>
        <v>Correo electrónico</v>
      </c>
    </row>
    <row r="308" spans="1:37">
      <c r="A308" t="str">
        <f t="shared" si="89"/>
        <v>SG307</v>
      </c>
      <c r="B308" s="9" t="s">
        <v>419</v>
      </c>
      <c r="C308" s="9" t="s">
        <v>427</v>
      </c>
      <c r="D308" t="str">
        <f t="shared" si="72"/>
        <v>Femenino</v>
      </c>
      <c r="E308" t="str">
        <f t="shared" si="73"/>
        <v>De 20 a 22 años</v>
      </c>
      <c r="F308">
        <f t="shared" si="74"/>
        <v>21</v>
      </c>
      <c r="G308" s="9" t="s">
        <v>430</v>
      </c>
      <c r="H308" s="9" t="str">
        <f t="shared" si="75"/>
        <v>Técnico</v>
      </c>
      <c r="I308" s="9" t="str">
        <f t="shared" si="76"/>
        <v>Actualmente no trabajo y estoy buscando empleo</v>
      </c>
      <c r="J308" s="13" t="str">
        <f>IF(I308="Trabajo actualmente como empleado",IF(MOD((COUNTIF($I$2:I308,"Trabajo actualmente como empleado")-1)*37,150)&lt;100,"Empleado con contrato","Empleado sin contrato formal"),IF(I308="Trabajo de manera independiente","Trabajo independiente",""))</f>
        <v/>
      </c>
      <c r="K308" s="9" t="str">
        <f>IF(OR(I308="Trabajo actualmente como empleado",I308="Trabajo de manera independiente"),CHOOSE(MOD(COUNTIF($I$2:I308,I308)-1,4)+1,"Menos de 3 meses","De 3 a 6 meses","De 7 a 12 meses","Más de un año"),"")</f>
        <v/>
      </c>
      <c r="L308" t="str">
        <f>IF(OR(I308="Trabajo actualmente como empleado",I308="Trabajo de manera independiente"),CHOOSE(MOD(COUNTIF($I$2:I308,I308)-1,3)+1,"Sí, completamente","Parcialmente","No"),"")</f>
        <v/>
      </c>
      <c r="M308" t="str">
        <f>IF(OR(I308="Trabajo actualmente como empleado",I308="Trabajo de manera independiente"),CHOOSE(MOD(INT((COUNTIF($I$2:I308,I308)-1)/3),4)+1,"1- Muy satisfecho/a","2- Satisfecho/a","3- Insatisfecho/a","4- Muy insatisfecho/a"),"")</f>
        <v/>
      </c>
      <c r="N308" t="str">
        <f>IF(OR(I308="Trabajo actualmente como empleado",I308="Trabajo de manera independiente"),_xlfn.LET(_xlpm.opcion,MOD(INT((COUNTIF($I$2:I308,I308)-1)/5),6)+1,CHOOSE(IF(AND(_xlpm.opcion=6,L308="Sí, completamente"),5,_xlpm.opcion),"Salario","Estabilidad laboral","Horario","Acceso a prestaciones","Oportunidades de crecimiento","Trabajar en un área relacionada con mi formación")),"")</f>
        <v/>
      </c>
      <c r="O308" s="9" t="str">
        <f>IF(OR(I308="Trabajo actualmente como empleado",I308="Trabajo de manera independiente"),_xlfn.LET(_xlpm.turno,MOD(COUNTIF($I$2:I308,I308)-1,5),_xlpm.nivel,VALUE(LEFT(M308,1)),IF(_xlpm.turno=4,"No estoy seguro/a",IF(_xlpm.turno&lt;IF(_xlpm.nivel&lt;=2,1,3),"Sí","No"))),"")</f>
        <v/>
      </c>
      <c r="P308" s="9" t="str">
        <f>_xlfn.LET(_xlpm.perfil,I308,_xlpm.turno,COUNTIF($I$2:I308,_xlpm.perfil)-1,_xlpm.busca,OR(_xlpm.perfil="Actualmente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trabajar"),IF(AND(_xlpm.trabaja,O308="No"),"Todavía no he iniciado una búsqueda activa",CHOOSE(MOD(_xlpm.turno*3,5)+1,"Menos de 1 mes","Entre 1 y 3 meses","Entre 4 y 6 meses","Más de 6 meses","Todavía no he iniciado una búsqueda activa")),"")))</f>
        <v>Entre 1 y 3 meses</v>
      </c>
      <c r="Q308" t="str">
        <f>IF(I308="Tengo un emprendimiento o quiero iniciar uno","",CHOOSE(MOD(INT((COUNTIF($I$2:I308,I308)-1)/7),3)+1,"Sí","No","Tengo una pero necesito actualizarla"))</f>
        <v>No</v>
      </c>
      <c r="R308" s="9" t="str">
        <f>IF(I308="Tengo un emprendimiento o quiero iniciar uno","",IF(I308="Busco mi primer empleo","No",IF(MOD(COUNTIF($I$2:I308,I308)-1,2)=0,"Sí","No")))</f>
        <v>No</v>
      </c>
      <c r="S308" t="str">
        <f>IF(I308="Tengo un emprendimiento o quiero iniciar uno","",CHOOSE(MOD(INT((COUNTIF($I$2:I308,I308)-1)/3),10)+1,"Portales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08" t="str">
        <f>IF(I308="Tengo un emprendimiento o quiero iniciar uno","",_xlfn.LET(_xlpm.opcion,MOD(INT((COUNTIF($I$2:I308,I308)-1)/4),6)+1,CHOOSE(IF(AND(_xlpm.opcion=3,Q308="Sí"),1,_xlpm.opcion),"Falta de experiencia","Falta de formación","Dificultades con la hoja de vida","Horarios disponibles","Transporte","Internet")))</f>
        <v>Falta de formación</v>
      </c>
      <c r="U308" s="9" t="str">
        <f>IF(I308="Tengo un emprendimiento o quiero iniciar uno","",IF(MOD(INT((COUNTIF($I$2:I308,I308)-1)/3),2)=0,"Sí","No"))</f>
        <v>Sí</v>
      </c>
      <c r="V308" s="9" t="str">
        <f>IF(I308="Tengo un emprendimiento o quiero iniciar uno",CHOOSE(MOD(COUNTIF($I$2:I308,I308)-1,3)+1,"Tengo un emprendimiento","Estoy iniciando un emprendimiento","Me interesa emprender"),"")</f>
        <v/>
      </c>
      <c r="W308" t="str">
        <f t="shared" si="77"/>
        <v/>
      </c>
      <c r="X308" s="9" t="str">
        <f>IF(I308="Tengo un emprendimiento o quiero iniciar uno",CHOOSE(MOD(COUNTIF($I$2:I308,I308)-1,5)+1,"Falta de financiación","Falta de conocimientos administrativos","Falta de conocimientos financieros","Falta de tiempo","Falta de herramientas"),"")</f>
        <v/>
      </c>
      <c r="Y308" s="9" t="str">
        <f t="shared" si="78"/>
        <v/>
      </c>
      <c r="Z308" t="str">
        <f>IF(I308="Tengo un emprendimiento o quiero iniciar uno",CHOOSE(INT(MOD((COUNTIF($I$2:I308,I308)-1)*7,39)/13)+1,"Sí","No","No conozco programas de ese tipo"),"")</f>
        <v/>
      </c>
      <c r="AA308" t="str">
        <f t="shared" si="79"/>
        <v>No puedo hacerlo</v>
      </c>
      <c r="AB308" t="str">
        <f t="shared" si="79"/>
        <v>No puedo hacerlo</v>
      </c>
      <c r="AC308" t="str">
        <f t="shared" si="80"/>
        <v>Puedo hacerlo con ayuda</v>
      </c>
      <c r="AD308" s="9" t="str">
        <f t="shared" si="81"/>
        <v>No puedo hacerlo</v>
      </c>
      <c r="AE308" t="str">
        <f t="shared" si="82"/>
        <v>No puedo hacerlo</v>
      </c>
      <c r="AF308" s="9" t="str">
        <f t="shared" si="83"/>
        <v>Herramientas digitales;Educación financiera</v>
      </c>
      <c r="AG308" s="9" t="str">
        <f t="shared" si="84"/>
        <v>Falta de experiencia</v>
      </c>
      <c r="AH308" t="str">
        <f t="shared" si="85"/>
        <v>Ferias de empleo</v>
      </c>
      <c r="AI308" s="9" t="str">
        <f t="shared" si="86"/>
        <v>Virtual</v>
      </c>
      <c r="AJ308" s="9" t="str">
        <f t="shared" si="87"/>
        <v>Nocturno</v>
      </c>
      <c r="AK308" s="9" t="str">
        <f t="shared" si="88"/>
        <v>Celular</v>
      </c>
    </row>
    <row r="309" spans="1:37">
      <c r="A309" t="str">
        <f t="shared" si="89"/>
        <v>SG308</v>
      </c>
      <c r="B309" s="9" t="s">
        <v>419</v>
      </c>
      <c r="C309" s="9" t="s">
        <v>427</v>
      </c>
      <c r="D309" t="str">
        <f t="shared" si="72"/>
        <v>Femenino</v>
      </c>
      <c r="E309" t="str">
        <f t="shared" si="73"/>
        <v>De 22 a 24 años</v>
      </c>
      <c r="F309">
        <f t="shared" si="74"/>
        <v>23</v>
      </c>
      <c r="G309" s="9" t="s">
        <v>430</v>
      </c>
      <c r="H309" s="9" t="str">
        <f t="shared" si="75"/>
        <v>Tecnólogo</v>
      </c>
      <c r="I309" s="9" t="str">
        <f t="shared" si="76"/>
        <v>Estudio y quiero comenzar a trabajar</v>
      </c>
      <c r="J309" s="13" t="str">
        <f>IF(I309="Trabajo actualmente como empleado",IF(MOD((COUNTIF($I$2:I309,"Trabajo actualmente como empleado")-1)*37,150)&lt;100,"Empleado con contrato","Empleado sin contrato formal"),IF(I309="Trabajo de manera independiente","Trabajo independiente",""))</f>
        <v/>
      </c>
      <c r="K309" s="9" t="str">
        <f>IF(OR(I309="Trabajo actualmente como empleado",I309="Trabajo de manera independiente"),CHOOSE(MOD(COUNTIF($I$2:I309,I309)-1,4)+1,"Menos de 3 meses","De 3 a 6 meses","De 7 a 12 meses","Más de un año"),"")</f>
        <v/>
      </c>
      <c r="L309" t="str">
        <f>IF(OR(I309="Trabajo actualmente como empleado",I309="Trabajo de manera independiente"),CHOOSE(MOD(COUNTIF($I$2:I309,I309)-1,3)+1,"Sí, completamente","Parcialmente","No"),"")</f>
        <v/>
      </c>
      <c r="M309" t="str">
        <f>IF(OR(I309="Trabajo actualmente como empleado",I309="Trabajo de manera independiente"),CHOOSE(MOD(INT((COUNTIF($I$2:I309,I309)-1)/3),4)+1,"1- Muy satisfecho/a","2- Satisfecho/a","3- Insatisfecho/a","4- Muy insatisfecho/a"),"")</f>
        <v/>
      </c>
      <c r="N309" t="str">
        <f>IF(OR(I309="Trabajo actualmente como empleado",I309="Trabajo de manera independiente"),_xlfn.LET(_xlpm.opcion,MOD(INT((COUNTIF($I$2:I309,I309)-1)/5),6)+1,CHOOSE(IF(AND(_xlpm.opcion=6,L309="Sí, completamente"),5,_xlpm.opcion),"Salario","Estabilidad laboral","Horario","Acceso a prestaciones","Oportunidades de crecimiento","Trabajar en un área relacionada con mi formación")),"")</f>
        <v/>
      </c>
      <c r="O309" s="9" t="str">
        <f>IF(OR(I309="Trabajo actualmente como empleado",I309="Trabajo de manera independiente"),_xlfn.LET(_xlpm.turno,MOD(COUNTIF($I$2:I309,I309)-1,5),_xlpm.nivel,VALUE(LEFT(M309,1)),IF(_xlpm.turno=4,"No estoy seguro/a",IF(_xlpm.turno&lt;IF(_xlpm.nivel&lt;=2,1,3),"Sí","No"))),"")</f>
        <v/>
      </c>
      <c r="P309" s="9" t="str">
        <f>_xlfn.LET(_xlpm.perfil,I309,_xlpm.turno,COUNTIF($I$2:I309,_xlpm.perfil)-1,_xlpm.busca,OR(_xlpm.perfil="Actualmente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trabajar"),IF(AND(_xlpm.trabaja,O309="No"),"Todavía no he iniciado una búsqueda activa",CHOOSE(MOD(_xlpm.turno*3,5)+1,"Menos de 1 mes","Entre 1 y 3 meses","Entre 4 y 6 meses","Más de 6 meses","Todavía no he iniciado una búsqueda activa")),"")))</f>
        <v>Más de 6 meses</v>
      </c>
      <c r="Q309" t="str">
        <f>IF(I309="Tengo un emprendimiento o quiero iniciar uno","",CHOOSE(MOD(INT((COUNTIF($I$2:I309,I309)-1)/7),3)+1,"Sí","No","Tengo una pero necesito actualizarla"))</f>
        <v>Tengo una pero necesito actualizarla</v>
      </c>
      <c r="R309" s="9" t="str">
        <f>IF(I309="Tengo un emprendimiento o quiero iniciar uno","",IF(I309="Busco mi primer empleo","No",IF(MOD(COUNTIF($I$2:I309,I309)-1,2)=0,"Sí","No")))</f>
        <v>Sí</v>
      </c>
      <c r="S309" t="str">
        <f>IF(I309="Tengo un emprendimiento o quiero iniciar uno","",CHOOSE(MOD(INT((COUNTIF($I$2:I309,I309)-1)/3),10)+1,"Portales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09" t="str">
        <f>IF(I309="Tengo un emprendimiento o quiero iniciar uno","",_xlfn.LET(_xlpm.opcion,MOD(INT((COUNTIF($I$2:I309,I309)-1)/4),6)+1,CHOOSE(IF(AND(_xlpm.opcion=3,Q309="Sí"),1,_xlpm.opcion),"Falta de experiencia","Falta de formación","Dificultades con la hoja de vida","Horarios disponibles","Transporte","Internet")))</f>
        <v>Horarios disponibles</v>
      </c>
      <c r="U309" s="9" t="str">
        <f>IF(I309="Tengo un emprendimiento o quiero iniciar uno","",IF(MOD(INT((COUNTIF($I$2:I309,I309)-1)/3),2)=0,"Sí","No"))</f>
        <v>Sí</v>
      </c>
      <c r="V309" s="9" t="str">
        <f>IF(I309="Tengo un emprendimiento o quiero iniciar uno",CHOOSE(MOD(COUNTIF($I$2:I309,I309)-1,3)+1,"Tengo un emprendimiento","Estoy iniciando un emprendimiento","Me interesa emprender"),"")</f>
        <v/>
      </c>
      <c r="W309" t="str">
        <f t="shared" si="77"/>
        <v/>
      </c>
      <c r="X309" s="9" t="str">
        <f>IF(I309="Tengo un emprendimiento o quiero iniciar uno",CHOOSE(MOD(COUNTIF($I$2:I309,I309)-1,5)+1,"Falta de financiación","Falta de conocimientos administrativos","Falta de conocimientos financieros","Falta de tiempo","Falta de herramientas"),"")</f>
        <v/>
      </c>
      <c r="Y309" s="9" t="str">
        <f t="shared" si="78"/>
        <v/>
      </c>
      <c r="Z309" t="str">
        <f>IF(I309="Tengo un emprendimiento o quiero iniciar uno",CHOOSE(INT(MOD((COUNTIF($I$2:I309,I309)-1)*7,39)/13)+1,"Sí","No","No conozco programas de ese tipo"),"")</f>
        <v/>
      </c>
      <c r="AA309" t="str">
        <f t="shared" si="79"/>
        <v>Puedo hacerlo con ayuda</v>
      </c>
      <c r="AB309" t="str">
        <f t="shared" si="79"/>
        <v>Puedo hacerlo con ayuda</v>
      </c>
      <c r="AC309" t="str">
        <f t="shared" si="80"/>
        <v>Puedo hacerlo sin ayuda</v>
      </c>
      <c r="AD309" s="9" t="str">
        <f t="shared" si="81"/>
        <v>Puedo hacerlo con ayuda</v>
      </c>
      <c r="AE309" t="str">
        <f t="shared" si="82"/>
        <v>No puedo hacerlo</v>
      </c>
      <c r="AF309" s="9" t="str">
        <f t="shared" si="83"/>
        <v>Crear una hoja de vida</v>
      </c>
      <c r="AG309" s="9" t="str">
        <f t="shared" si="84"/>
        <v>Falta de experiencia</v>
      </c>
      <c r="AH309" t="str">
        <f t="shared" si="85"/>
        <v>Programas de emprendimiento</v>
      </c>
      <c r="AI309" s="9" t="str">
        <f t="shared" si="86"/>
        <v>Presencial y virtual</v>
      </c>
      <c r="AJ309" s="9" t="str">
        <f t="shared" si="87"/>
        <v>Mañana entre semana</v>
      </c>
      <c r="AK309" s="9" t="str">
        <f t="shared" si="88"/>
        <v>WhatsApp</v>
      </c>
    </row>
    <row r="310" spans="1:37">
      <c r="A310" t="str">
        <f t="shared" si="89"/>
        <v>SG309</v>
      </c>
      <c r="B310" s="9" t="s">
        <v>419</v>
      </c>
      <c r="C310" s="9" t="s">
        <v>427</v>
      </c>
      <c r="D310" t="str">
        <f t="shared" si="72"/>
        <v>Masculino</v>
      </c>
      <c r="E310" t="str">
        <f t="shared" si="73"/>
        <v>De 24 a 26 años</v>
      </c>
      <c r="F310">
        <f t="shared" si="74"/>
        <v>25</v>
      </c>
      <c r="G310" s="9" t="s">
        <v>430</v>
      </c>
      <c r="H310" s="9" t="str">
        <f t="shared" si="75"/>
        <v>Tecnólogo</v>
      </c>
      <c r="I310" s="9" t="str">
        <f t="shared" si="76"/>
        <v>Trabajo actualmente como empleado</v>
      </c>
      <c r="J310" s="13" t="str">
        <f>IF(I310="Trabajo actualmente como empleado",IF(MOD((COUNTIF($I$2:I310,"Trabajo actualmente como empleado")-1)*37,150)&lt;100,"Empleado con contrato","Empleado sin contrato formal"),IF(I310="Trabajo de manera independiente","Trabajo independiente",""))</f>
        <v>Empleado sin contrato formal</v>
      </c>
      <c r="K310" s="9" t="str">
        <f>IF(OR(I310="Trabajo actualmente como empleado",I310="Trabajo de manera independiente"),CHOOSE(MOD(COUNTIF($I$2:I310,I310)-1,4)+1,"Menos de 3 meses","De 3 a 6 meses","De 7 a 12 meses","Más de un año"),"")</f>
        <v>De 3 a 6 meses</v>
      </c>
      <c r="L310" t="str">
        <f>IF(OR(I310="Trabajo actualmente como empleado",I310="Trabajo de manera independiente"),CHOOSE(MOD(COUNTIF($I$2:I310,I310)-1,3)+1,"Sí, completamente","Parcialmente","No"),"")</f>
        <v>Parcialmente</v>
      </c>
      <c r="M310" t="str">
        <f>IF(OR(I310="Trabajo actualmente como empleado",I310="Trabajo de manera independiente"),CHOOSE(MOD(INT((COUNTIF($I$2:I310,I310)-1)/3),4)+1,"1- Muy satisfecho/a","2- Satisfecho/a","3- Insatisfecho/a","4- Muy insatisfecho/a"),"")</f>
        <v>1- Muy satisfecho/a</v>
      </c>
      <c r="N310" t="str">
        <f>IF(OR(I310="Trabajo actualmente como empleado",I310="Trabajo de manera independiente"),_xlfn.LET(_xlpm.opcion,MOD(INT((COUNTIF($I$2:I310,I310)-1)/5),6)+1,CHOOSE(IF(AND(_xlpm.opcion=6,L310="Sí, completamente"),5,_xlpm.opcion),"Salario","Estabilidad laboral","Horario","Acceso a prestaciones","Oportunidades de crecimiento","Trabajar en un área relacionada con mi formación")),"")</f>
        <v>Estabilidad laboral</v>
      </c>
      <c r="O310" s="9" t="str">
        <f>IF(OR(I310="Trabajo actualmente como empleado",I310="Trabajo de manera independiente"),_xlfn.LET(_xlpm.turno,MOD(COUNTIF($I$2:I310,I310)-1,5),_xlpm.nivel,VALUE(LEFT(M310,1)),IF(_xlpm.turno=4,"No estoy seguro/a",IF(_xlpm.turno&lt;IF(_xlpm.nivel&lt;=2,1,3),"Sí","No"))),"")</f>
        <v>No</v>
      </c>
      <c r="P310" s="9" t="str">
        <f>_xlfn.LET(_xlpm.perfil,I310,_xlpm.turno,COUNTIF($I$2:I310,_xlpm.perfil)-1,_xlpm.busca,OR(_xlpm.perfil="Actualmente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10" t="str">
        <f>IF(I310="Tengo un emprendimiento o quiero iniciar uno","",CHOOSE(MOD(INT((COUNTIF($I$2:I310,I310)-1)/7),3)+1,"Sí","No","Tengo una pero necesito actualizarla"))</f>
        <v>No</v>
      </c>
      <c r="R310" s="9" t="str">
        <f>IF(I310="Tengo un emprendimiento o quiero iniciar uno","",IF(I310="Busco mi primer empleo","No",IF(MOD(COUNTIF($I$2:I310,I310)-1,2)=0,"Sí","No")))</f>
        <v>No</v>
      </c>
      <c r="S310" t="str">
        <f>IF(I310="Tengo un emprendimiento o quiero iniciar uno","",CHOOSE(MOD(INT((COUNTIF($I$2:I310,I310)-1)/3),10)+1,"Portales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10" t="str">
        <f>IF(I310="Tengo un emprendimiento o quiero iniciar uno","",_xlfn.LET(_xlpm.opcion,MOD(INT((COUNTIF($I$2:I310,I310)-1)/4),6)+1,CHOOSE(IF(AND(_xlpm.opcion=3,Q310="Sí"),1,_xlpm.opcion),"Falta de experiencia","Falta de formación","Dificultades con la hoja de vida","Horarios disponibles","Transporte","Internet")))</f>
        <v>Falta de experiencia</v>
      </c>
      <c r="U310" s="9" t="str">
        <f>IF(I310="Tengo un emprendimiento o quiero iniciar uno","",IF(MOD(INT((COUNTIF($I$2:I310,I310)-1)/3),2)=0,"Sí","No"))</f>
        <v>Sí</v>
      </c>
      <c r="V310" s="9" t="str">
        <f>IF(I310="Tengo un emprendimiento o quiero iniciar uno",CHOOSE(MOD(COUNTIF($I$2:I310,I310)-1,3)+1,"Tengo un emprendimiento","Estoy iniciando un emprendimiento","Me interesa emprender"),"")</f>
        <v/>
      </c>
      <c r="W310" t="str">
        <f t="shared" si="77"/>
        <v/>
      </c>
      <c r="X310" s="9" t="str">
        <f>IF(I310="Tengo un emprendimiento o quiero iniciar uno",CHOOSE(MOD(COUNTIF($I$2:I310,I310)-1,5)+1,"Falta de financiación","Falta de conocimientos administrativos","Falta de conocimientos financieros","Falta de tiempo","Falta de herramientas"),"")</f>
        <v/>
      </c>
      <c r="Y310" s="9" t="str">
        <f t="shared" si="78"/>
        <v/>
      </c>
      <c r="Z310" t="str">
        <f>IF(I310="Tengo un emprendimiento o quiero iniciar uno",CHOOSE(INT(MOD((COUNTIF($I$2:I310,I310)-1)*7,39)/13)+1,"Sí","No","No conozco programas de ese tipo"),"")</f>
        <v/>
      </c>
      <c r="AA310" t="str">
        <f t="shared" si="79"/>
        <v>Puedo hacerlo sin ayuda</v>
      </c>
      <c r="AB310" t="str">
        <f t="shared" si="79"/>
        <v>Puedo hacerlo sin ayuda</v>
      </c>
      <c r="AC310" t="str">
        <f t="shared" si="80"/>
        <v>No puedo hacerlo</v>
      </c>
      <c r="AD310" s="9" t="str">
        <f t="shared" si="81"/>
        <v>Puedo hacerlo con dificultad</v>
      </c>
      <c r="AE310" t="str">
        <f t="shared" si="82"/>
        <v>Puedo hacerlo con ayuda</v>
      </c>
      <c r="AF310" s="9" t="str">
        <f t="shared" si="83"/>
        <v>Preparación para entrevista</v>
      </c>
      <c r="AG310" s="9" t="str">
        <f t="shared" si="84"/>
        <v>Falta de experiencia</v>
      </c>
      <c r="AH310" t="str">
        <f t="shared" si="85"/>
        <v>Oficina de orientación laboral</v>
      </c>
      <c r="AI310" s="9" t="str">
        <f t="shared" si="86"/>
        <v>Me es indiferente</v>
      </c>
      <c r="AJ310" s="9" t="str">
        <f t="shared" si="87"/>
        <v>Diurno</v>
      </c>
      <c r="AK310" s="9" t="str">
        <f t="shared" si="88"/>
        <v>Redes sociales</v>
      </c>
    </row>
    <row r="311" spans="1:37">
      <c r="A311" t="str">
        <f t="shared" si="89"/>
        <v>SG310</v>
      </c>
      <c r="B311" s="9" t="s">
        <v>419</v>
      </c>
      <c r="C311" s="9" t="s">
        <v>427</v>
      </c>
      <c r="D311" t="str">
        <f t="shared" si="72"/>
        <v>Masculino</v>
      </c>
      <c r="E311" t="str">
        <f t="shared" si="73"/>
        <v>De 26 a 28 años</v>
      </c>
      <c r="F311">
        <f t="shared" si="74"/>
        <v>27</v>
      </c>
      <c r="G311" s="9" t="s">
        <v>430</v>
      </c>
      <c r="H311" s="9" t="str">
        <f t="shared" si="75"/>
        <v>Profesional</v>
      </c>
      <c r="I311" s="9" t="str">
        <f t="shared" si="76"/>
        <v>Actualmente no trabajo y estoy buscando empleo</v>
      </c>
      <c r="J311" s="13" t="str">
        <f>IF(I311="Trabajo actualmente como empleado",IF(MOD((COUNTIF($I$2:I311,"Trabajo actualmente como empleado")-1)*37,150)&lt;100,"Empleado con contrato","Empleado sin contrato formal"),IF(I311="Trabajo de manera independiente","Trabajo independiente",""))</f>
        <v/>
      </c>
      <c r="K311" s="9" t="str">
        <f>IF(OR(I311="Trabajo actualmente como empleado",I311="Trabajo de manera independiente"),CHOOSE(MOD(COUNTIF($I$2:I311,I311)-1,4)+1,"Menos de 3 meses","De 3 a 6 meses","De 7 a 12 meses","Más de un año"),"")</f>
        <v/>
      </c>
      <c r="L311" t="str">
        <f>IF(OR(I311="Trabajo actualmente como empleado",I311="Trabajo de manera independiente"),CHOOSE(MOD(COUNTIF($I$2:I311,I311)-1,3)+1,"Sí, completamente","Parcialmente","No"),"")</f>
        <v/>
      </c>
      <c r="M311" t="str">
        <f>IF(OR(I311="Trabajo actualmente como empleado",I311="Trabajo de manera independiente"),CHOOSE(MOD(INT((COUNTIF($I$2:I311,I311)-1)/3),4)+1,"1- Muy satisfecho/a","2- Satisfecho/a","3- Insatisfecho/a","4- Muy insatisfecho/a"),"")</f>
        <v/>
      </c>
      <c r="N311" t="str">
        <f>IF(OR(I311="Trabajo actualmente como empleado",I311="Trabajo de manera independiente"),_xlfn.LET(_xlpm.opcion,MOD(INT((COUNTIF($I$2:I311,I311)-1)/5),6)+1,CHOOSE(IF(AND(_xlpm.opcion=6,L311="Sí, completamente"),5,_xlpm.opcion),"Salario","Estabilidad laboral","Horario","Acceso a prestaciones","Oportunidades de crecimiento","Trabajar en un área relacionada con mi formación")),"")</f>
        <v/>
      </c>
      <c r="O311" s="9" t="str">
        <f>IF(OR(I311="Trabajo actualmente como empleado",I311="Trabajo de manera independiente"),_xlfn.LET(_xlpm.turno,MOD(COUNTIF($I$2:I311,I311)-1,5),_xlpm.nivel,VALUE(LEFT(M311,1)),IF(_xlpm.turno=4,"No estoy seguro/a",IF(_xlpm.turno&lt;IF(_xlpm.nivel&lt;=2,1,3),"Sí","No"))),"")</f>
        <v/>
      </c>
      <c r="P311" s="9" t="str">
        <f>_xlfn.LET(_xlpm.perfil,I311,_xlpm.turno,COUNTIF($I$2:I311,_xlpm.perfil)-1,_xlpm.busca,OR(_xlpm.perfil="Actualmente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trabajar"),IF(AND(_xlpm.trabaja,O311="No"),"Todavía no he iniciado una búsqueda activa",CHOOSE(MOD(_xlpm.turno*3,5)+1,"Menos de 1 mes","Entre 1 y 3 meses","Entre 4 y 6 meses","Más de 6 meses","Todavía no he iniciado una búsqueda activa")),"")))</f>
        <v>Menos de 1 mes</v>
      </c>
      <c r="Q311" t="str">
        <f>IF(I311="Tengo un emprendimiento o quiero iniciar uno","",CHOOSE(MOD(INT((COUNTIF($I$2:I311,I311)-1)/7),3)+1,"Sí","No","Tengo una pero necesito actualizarla"))</f>
        <v>Tengo una pero necesito actualizarla</v>
      </c>
      <c r="R311" s="9" t="str">
        <f>IF(I311="Tengo un emprendimiento o quiero iniciar uno","",IF(I311="Busco mi primer empleo","No",IF(MOD(COUNTIF($I$2:I311,I311)-1,2)=0,"Sí","No")))</f>
        <v>Sí</v>
      </c>
      <c r="S311" t="str">
        <f>IF(I311="Tengo un emprendimiento o quiero iniciar uno","",CHOOSE(MOD(INT((COUNTIF($I$2:I311,I311)-1)/3),10)+1,"Portales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11" t="str">
        <f>IF(I311="Tengo un emprendimiento o quiero iniciar uno","",_xlfn.LET(_xlpm.opcion,MOD(INT((COUNTIF($I$2:I311,I311)-1)/4),6)+1,CHOOSE(IF(AND(_xlpm.opcion=3,Q311="Sí"),1,_xlpm.opcion),"Falta de experiencia","Falta de formación","Dificultades con la hoja de vida","Horarios disponibles","Transporte","Internet")))</f>
        <v>Dificultades con la hoja de vida</v>
      </c>
      <c r="U311" s="9" t="str">
        <f>IF(I311="Tengo un emprendimiento o quiero iniciar uno","",IF(MOD(INT((COUNTIF($I$2:I311,I311)-1)/3),2)=0,"Sí","No"))</f>
        <v>Sí</v>
      </c>
      <c r="V311" s="9" t="str">
        <f>IF(I311="Tengo un emprendimiento o quiero iniciar uno",CHOOSE(MOD(COUNTIF($I$2:I311,I311)-1,3)+1,"Tengo un emprendimiento","Estoy iniciando un emprendimiento","Me interesa emprender"),"")</f>
        <v/>
      </c>
      <c r="W311" t="str">
        <f t="shared" si="77"/>
        <v/>
      </c>
      <c r="X311" s="9" t="str">
        <f>IF(I311="Tengo un emprendimiento o quiero iniciar uno",CHOOSE(MOD(COUNTIF($I$2:I311,I311)-1,5)+1,"Falta de financiación","Falta de conocimientos administrativos","Falta de conocimientos financieros","Falta de tiempo","Falta de herramientas"),"")</f>
        <v/>
      </c>
      <c r="Y311" s="9" t="str">
        <f t="shared" si="78"/>
        <v/>
      </c>
      <c r="Z311" t="str">
        <f>IF(I311="Tengo un emprendimiento o quiero iniciar uno",CHOOSE(INT(MOD((COUNTIF($I$2:I311,I311)-1)*7,39)/13)+1,"Sí","No","No conozco programas de ese tipo"),"")</f>
        <v/>
      </c>
      <c r="AA311" t="str">
        <f t="shared" si="79"/>
        <v>No puedo hacerlo</v>
      </c>
      <c r="AB311" t="str">
        <f t="shared" si="79"/>
        <v>No puedo hacerlo</v>
      </c>
      <c r="AC311" t="str">
        <f t="shared" si="80"/>
        <v>Puedo hacerlo con ayuda</v>
      </c>
      <c r="AD311" s="9" t="str">
        <f t="shared" si="81"/>
        <v>Puedo hacerlo con dificultad</v>
      </c>
      <c r="AE311" t="str">
        <f t="shared" si="82"/>
        <v>Puedo hacerlo con ayuda</v>
      </c>
      <c r="AF311" s="9" t="str">
        <f t="shared" si="83"/>
        <v>Comunicación</v>
      </c>
      <c r="AG311" s="9" t="str">
        <f t="shared" si="84"/>
        <v>Distancia</v>
      </c>
      <c r="AH311" t="str">
        <f t="shared" si="85"/>
        <v>Ferias de empleo</v>
      </c>
      <c r="AI311" s="9" t="str">
        <f t="shared" si="86"/>
        <v>Presencial</v>
      </c>
      <c r="AJ311" s="9" t="str">
        <f t="shared" si="87"/>
        <v>Nocturno</v>
      </c>
      <c r="AK311" s="9" t="str">
        <f t="shared" si="88"/>
        <v>Celular</v>
      </c>
    </row>
    <row r="312" spans="1:37">
      <c r="A312" t="str">
        <f t="shared" si="89"/>
        <v>SG311</v>
      </c>
      <c r="B312" s="9" t="s">
        <v>419</v>
      </c>
      <c r="C312" s="9" t="s">
        <v>427</v>
      </c>
      <c r="D312" t="str">
        <f t="shared" si="72"/>
        <v>Femenino</v>
      </c>
      <c r="E312" t="str">
        <f t="shared" si="73"/>
        <v>De 18 a 20 años</v>
      </c>
      <c r="F312">
        <f t="shared" si="74"/>
        <v>18</v>
      </c>
      <c r="G312" s="9" t="s">
        <v>430</v>
      </c>
      <c r="H312" s="9" t="str">
        <f t="shared" si="75"/>
        <v>Tecnólogo</v>
      </c>
      <c r="I312" s="9" t="str">
        <f t="shared" si="76"/>
        <v>Tengo un emprendimiento o quiero iniciar uno</v>
      </c>
      <c r="J312" s="13" t="str">
        <f>IF(I312="Trabajo actualmente como empleado",IF(MOD((COUNTIF($I$2:I312,"Trabajo actualmente como empleado")-1)*37,150)&lt;100,"Empleado con contrato","Empleado sin contrato formal"),IF(I312="Trabajo de manera independiente","Trabajo independiente",""))</f>
        <v/>
      </c>
      <c r="K312" s="9" t="str">
        <f>IF(OR(I312="Trabajo actualmente como empleado",I312="Trabajo de manera independiente"),CHOOSE(MOD(COUNTIF($I$2:I312,I312)-1,4)+1,"Menos de 3 meses","De 3 a 6 meses","De 7 a 12 meses","Más de un año"),"")</f>
        <v/>
      </c>
      <c r="L312" t="str">
        <f>IF(OR(I312="Trabajo actualmente como empleado",I312="Trabajo de manera independiente"),CHOOSE(MOD(COUNTIF($I$2:I312,I312)-1,3)+1,"Sí, completamente","Parcialmente","No"),"")</f>
        <v/>
      </c>
      <c r="M312" t="str">
        <f>IF(OR(I312="Trabajo actualmente como empleado",I312="Trabajo de manera independiente"),CHOOSE(MOD(INT((COUNTIF($I$2:I312,I312)-1)/3),4)+1,"1- Muy satisfecho/a","2- Satisfecho/a","3- Insatisfecho/a","4- Muy insatisfecho/a"),"")</f>
        <v/>
      </c>
      <c r="N312" t="str">
        <f>IF(OR(I312="Trabajo actualmente como empleado",I312="Trabajo de manera independiente"),_xlfn.LET(_xlpm.opcion,MOD(INT((COUNTIF($I$2:I312,I312)-1)/5),6)+1,CHOOSE(IF(AND(_xlpm.opcion=6,L312="Sí, completamente"),5,_xlpm.opcion),"Salario","Estabilidad laboral","Horario","Acceso a prestaciones","Oportunidades de crecimiento","Trabajar en un área relacionada con mi formación")),"")</f>
        <v/>
      </c>
      <c r="O312" s="9" t="str">
        <f>IF(OR(I312="Trabajo actualmente como empleado",I312="Trabajo de manera independiente"),_xlfn.LET(_xlpm.turno,MOD(COUNTIF($I$2:I312,I312)-1,5),_xlpm.nivel,VALUE(LEFT(M312,1)),IF(_xlpm.turno=4,"No estoy seguro/a",IF(_xlpm.turno&lt;IF(_xlpm.nivel&lt;=2,1,3),"Sí","No"))),"")</f>
        <v/>
      </c>
      <c r="P312" s="9" t="str">
        <f>_xlfn.LET(_xlpm.perfil,I312,_xlpm.turno,COUNTIF($I$2:I312,_xlpm.perfil)-1,_xlpm.busca,OR(_xlpm.perfil="Actualmente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trabajar"),IF(AND(_xlpm.trabaja,O312="No"),"Todavía no he iniciado una búsqueda activa",CHOOSE(MOD(_xlpm.turno*3,5)+1,"Menos de 1 mes","Entre 1 y 3 meses","Entre 4 y 6 meses","Más de 6 meses","Todavía no he iniciado una búsqueda activa")),"")))</f>
        <v/>
      </c>
      <c r="Q312" t="str">
        <f>IF(I312="Tengo un emprendimiento o quiero iniciar uno","",CHOOSE(MOD(INT((COUNTIF($I$2:I312,I312)-1)/7),3)+1,"Sí","No","Tengo una pero necesito actualizarla"))</f>
        <v/>
      </c>
      <c r="R312" s="9" t="str">
        <f>IF(I312="Tengo un emprendimiento o quiero iniciar uno","",IF(I312="Busco mi primer empleo","No",IF(MOD(COUNTIF($I$2:I312,I312)-1,2)=0,"Sí","No")))</f>
        <v/>
      </c>
      <c r="S312" t="str">
        <f>IF(I312="Tengo un emprendimiento o quiero iniciar uno","",CHOOSE(MOD(INT((COUNTIF($I$2:I312,I312)-1)/3),10)+1,"Portales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12" t="str">
        <f>IF(I312="Tengo un emprendimiento o quiero iniciar uno","",_xlfn.LET(_xlpm.opcion,MOD(INT((COUNTIF($I$2:I312,I312)-1)/4),6)+1,CHOOSE(IF(AND(_xlpm.opcion=3,Q312="Sí"),1,_xlpm.opcion),"Falta de experiencia","Falta de formación","Dificultades con la hoja de vida","Horarios disponibles","Transporte","Internet")))</f>
        <v/>
      </c>
      <c r="U312" s="9" t="str">
        <f>IF(I312="Tengo un emprendimiento o quiero iniciar uno","",IF(MOD(INT((COUNTIF($I$2:I312,I312)-1)/3),2)=0,"Sí","No"))</f>
        <v/>
      </c>
      <c r="V312" s="9" t="str">
        <f>IF(I312="Tengo un emprendimiento o quiero iniciar uno",CHOOSE(MOD(COUNTIF($I$2:I312,I312)-1,3)+1,"Tengo un emprendimiento","Estoy iniciando un emprendimiento","Me interesa emprender"),"")</f>
        <v>Estoy iniciando un emprendimiento</v>
      </c>
      <c r="W312" t="str">
        <f t="shared" si="77"/>
        <v>Inicio</v>
      </c>
      <c r="X312" s="9" t="str">
        <f>IF(I312="Tengo un emprendimiento o quiero iniciar uno",CHOOSE(MOD(COUNTIF($I$2:I312,I312)-1,5)+1,"Falta de financiación","Falta de conocimientos administrativos","Falta de conocimientos financieros","Falta de tiempo","Falta de herramientas"),"")</f>
        <v>Falta de financiación</v>
      </c>
      <c r="Y312" s="9" t="str">
        <f t="shared" si="78"/>
        <v>Falta de financiación</v>
      </c>
      <c r="Z312" t="str">
        <f>IF(I312="Tengo un emprendimiento o quiero iniciar uno",CHOOSE(INT(MOD((COUNTIF($I$2:I312,I312)-1)*7,39)/13)+1,"Sí","No","No conozco programas de ese tipo"),"")</f>
        <v>No</v>
      </c>
      <c r="AA312" t="str">
        <f t="shared" si="79"/>
        <v>Puedo hacerlo con dificultad</v>
      </c>
      <c r="AB312" t="str">
        <f t="shared" si="79"/>
        <v>Puedo hacerlo con dificultad</v>
      </c>
      <c r="AC312" t="str">
        <f t="shared" si="80"/>
        <v>Puedo hacerlo sin ayuda</v>
      </c>
      <c r="AD312" s="9" t="str">
        <f t="shared" si="81"/>
        <v>Puedo hacerlo sin ayuda</v>
      </c>
      <c r="AE312" t="str">
        <f t="shared" si="82"/>
        <v>Puedo hacerlo con dificultad</v>
      </c>
      <c r="AF312" s="9" t="str">
        <f t="shared" si="83"/>
        <v>Liderazgo</v>
      </c>
      <c r="AG312" s="9" t="str">
        <f t="shared" si="84"/>
        <v>Distancia</v>
      </c>
      <c r="AH312" t="str">
        <f t="shared" si="85"/>
        <v>No conozco ninguno</v>
      </c>
      <c r="AI312" s="9" t="str">
        <f t="shared" si="86"/>
        <v>Virtual</v>
      </c>
      <c r="AJ312" s="9" t="str">
        <f t="shared" si="87"/>
        <v>Mañana entre semana</v>
      </c>
      <c r="AK312" s="9" t="str">
        <f t="shared" si="88"/>
        <v>Correo electrónico</v>
      </c>
    </row>
    <row r="313" spans="1:37">
      <c r="A313" t="str">
        <f t="shared" si="89"/>
        <v>SG312</v>
      </c>
      <c r="B313" s="9" t="s">
        <v>419</v>
      </c>
      <c r="C313" s="9" t="s">
        <v>427</v>
      </c>
      <c r="D313" t="str">
        <f t="shared" si="72"/>
        <v>Femenino</v>
      </c>
      <c r="E313" t="str">
        <f t="shared" si="73"/>
        <v>De 20 a 22 años</v>
      </c>
      <c r="F313">
        <f t="shared" si="74"/>
        <v>20</v>
      </c>
      <c r="G313" s="9" t="s">
        <v>430</v>
      </c>
      <c r="H313" s="9" t="str">
        <f t="shared" si="75"/>
        <v>Tecnólogo</v>
      </c>
      <c r="I313" s="9" t="str">
        <f t="shared" si="76"/>
        <v>Trabajo de manera independiente</v>
      </c>
      <c r="J313" s="13" t="str">
        <f>IF(I313="Trabajo actualmente como empleado",IF(MOD((COUNTIF($I$2:I313,"Trabajo actualmente como empleado")-1)*37,150)&lt;100,"Empleado con contrato","Empleado sin contrato formal"),IF(I313="Trabajo de manera independiente","Trabajo independiente",""))</f>
        <v>Trabajo independiente</v>
      </c>
      <c r="K313" s="9" t="str">
        <f>IF(OR(I313="Trabajo actualmente como empleado",I313="Trabajo de manera independiente"),CHOOSE(MOD(COUNTIF($I$2:I313,I313)-1,4)+1,"Menos de 3 meses","De 3 a 6 meses","De 7 a 12 meses","Más de un año"),"")</f>
        <v>Menos de 3 meses</v>
      </c>
      <c r="L313" t="str">
        <f>IF(OR(I313="Trabajo actualmente como empleado",I313="Trabajo de manera independiente"),CHOOSE(MOD(COUNTIF($I$2:I313,I313)-1,3)+1,"Sí, completamente","Parcialmente","No"),"")</f>
        <v>Parcialmente</v>
      </c>
      <c r="M313" t="str">
        <f>IF(OR(I313="Trabajo actualmente como empleado",I313="Trabajo de manera independiente"),CHOOSE(MOD(INT((COUNTIF($I$2:I313,I313)-1)/3),4)+1,"1- Muy satisfecho/a","2- Satisfecho/a","3- Insatisfecho/a","4- Muy insatisfecho/a"),"")</f>
        <v>2- Satisfecho/a</v>
      </c>
      <c r="N313" t="str">
        <f>IF(OR(I313="Trabajo actualmente como empleado",I313="Trabajo de manera independiente"),_xlfn.LET(_xlpm.opcion,MOD(INT((COUNTIF($I$2:I313,I313)-1)/5),6)+1,CHOOSE(IF(AND(_xlpm.opcion=6,L313="Sí, completamente"),5,_xlpm.opcion),"Salario","Estabilidad laboral","Horario","Acceso a prestaciones","Oportunidades de crecimiento","Trabajar en un área relacionada con mi formación")),"")</f>
        <v>Oportunidades de crecimiento</v>
      </c>
      <c r="O313" s="9" t="str">
        <f>IF(OR(I313="Trabajo actualmente como empleado",I313="Trabajo de manera independiente"),_xlfn.LET(_xlpm.turno,MOD(COUNTIF($I$2:I313,I313)-1,5),_xlpm.nivel,VALUE(LEFT(M313,1)),IF(_xlpm.turno=4,"No estoy seguro/a",IF(_xlpm.turno&lt;IF(_xlpm.nivel&lt;=2,1,3),"Sí","No"))),"")</f>
        <v>No</v>
      </c>
      <c r="P313" s="9" t="str">
        <f>_xlfn.LET(_xlpm.perfil,I313,_xlpm.turno,COUNTIF($I$2:I313,_xlpm.perfil)-1,_xlpm.busca,OR(_xlpm.perfil="Actualmente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13" t="str">
        <f>IF(I313="Tengo un emprendimiento o quiero iniciar uno","",CHOOSE(MOD(INT((COUNTIF($I$2:I313,I313)-1)/7),3)+1,"Sí","No","Tengo una pero necesito actualizarla"))</f>
        <v>No</v>
      </c>
      <c r="R313" s="9" t="str">
        <f>IF(I313="Tengo un emprendimiento o quiero iniciar uno","",IF(I313="Busco mi primer empleo","No",IF(MOD(COUNTIF($I$2:I313,I313)-1,2)=0,"Sí","No")))</f>
        <v>Sí</v>
      </c>
      <c r="S313" t="str">
        <f>IF(I313="Tengo un emprendimiento o quiero iniciar uno","",CHOOSE(MOD(INT((COUNTIF($I$2:I313,I313)-1)/3),10)+1,"Portales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313" t="str">
        <f>IF(I313="Tengo un emprendimiento o quiero iniciar uno","",_xlfn.LET(_xlpm.opcion,MOD(INT((COUNTIF($I$2:I313,I313)-1)/4),6)+1,CHOOSE(IF(AND(_xlpm.opcion=3,Q313="Sí"),1,_xlpm.opcion),"Falta de experiencia","Falta de formación","Dificultades con la hoja de vida","Horarios disponibles","Transporte","Internet")))</f>
        <v>Falta de formación</v>
      </c>
      <c r="U313" s="9" t="str">
        <f>IF(I313="Tengo un emprendimiento o quiero iniciar uno","",IF(MOD(INT((COUNTIF($I$2:I313,I313)-1)/3),2)=0,"Sí","No"))</f>
        <v>No</v>
      </c>
      <c r="V313" s="9" t="str">
        <f>IF(I313="Tengo un emprendimiento o quiero iniciar uno",CHOOSE(MOD(COUNTIF($I$2:I313,I313)-1,3)+1,"Tengo un emprendimiento","Estoy iniciando un emprendimiento","Me interesa emprender"),"")</f>
        <v/>
      </c>
      <c r="W313" t="str">
        <f t="shared" si="77"/>
        <v/>
      </c>
      <c r="X313" s="9" t="str">
        <f>IF(I313="Tengo un emprendimiento o quiero iniciar uno",CHOOSE(MOD(COUNTIF($I$2:I313,I313)-1,5)+1,"Falta de financiación","Falta de conocimientos administrativos","Falta de conocimientos financieros","Falta de tiempo","Falta de herramientas"),"")</f>
        <v/>
      </c>
      <c r="Y313" s="9" t="str">
        <f t="shared" si="78"/>
        <v/>
      </c>
      <c r="Z313" t="str">
        <f>IF(I313="Tengo un emprendimiento o quiero iniciar uno",CHOOSE(INT(MOD((COUNTIF($I$2:I313,I313)-1)*7,39)/13)+1,"Sí","No","No conozco programas de ese tipo"),"")</f>
        <v/>
      </c>
      <c r="AA313" t="str">
        <f t="shared" si="79"/>
        <v>No puedo hacerlo</v>
      </c>
      <c r="AB313" t="str">
        <f t="shared" si="79"/>
        <v>No puedo hacerlo</v>
      </c>
      <c r="AC313" t="str">
        <f t="shared" si="80"/>
        <v>No puedo hacerlo</v>
      </c>
      <c r="AD313" s="9" t="str">
        <f t="shared" si="81"/>
        <v>No puedo hacerlo</v>
      </c>
      <c r="AE313" t="str">
        <f t="shared" si="82"/>
        <v>Puedo hacerlo sin ayuda</v>
      </c>
      <c r="AF313" s="9" t="str">
        <f t="shared" si="83"/>
        <v>Emprendimiento</v>
      </c>
      <c r="AG313" s="9" t="str">
        <f t="shared" si="84"/>
        <v>Distancia</v>
      </c>
      <c r="AH313" t="str">
        <f t="shared" si="85"/>
        <v>Ferias de empleo</v>
      </c>
      <c r="AI313" s="9" t="str">
        <f t="shared" si="86"/>
        <v>Presencial y virtual</v>
      </c>
      <c r="AJ313" s="9" t="str">
        <f t="shared" si="87"/>
        <v>Diurno</v>
      </c>
      <c r="AK313" s="9" t="str">
        <f t="shared" si="88"/>
        <v>Redes sociales</v>
      </c>
    </row>
    <row r="314" spans="1:37">
      <c r="A314" t="str">
        <f t="shared" si="89"/>
        <v>SG313</v>
      </c>
      <c r="B314" s="9" t="s">
        <v>419</v>
      </c>
      <c r="C314" s="9" t="s">
        <v>427</v>
      </c>
      <c r="D314" t="str">
        <f t="shared" si="72"/>
        <v>Masculino</v>
      </c>
      <c r="E314" t="str">
        <f t="shared" si="73"/>
        <v>De 22 a 24 años</v>
      </c>
      <c r="F314">
        <f t="shared" si="74"/>
        <v>22</v>
      </c>
      <c r="G314" s="9" t="s">
        <v>430</v>
      </c>
      <c r="H314" s="9" t="str">
        <f t="shared" si="75"/>
        <v>Profesional</v>
      </c>
      <c r="I314" s="9" t="str">
        <f t="shared" si="76"/>
        <v>Busco mi primer empleo</v>
      </c>
      <c r="J314" s="13" t="str">
        <f>IF(I314="Trabajo actualmente como empleado",IF(MOD((COUNTIF($I$2:I314,"Trabajo actualmente como empleado")-1)*37,150)&lt;100,"Empleado con contrato","Empleado sin contrato formal"),IF(I314="Trabajo de manera independiente","Trabajo independiente",""))</f>
        <v/>
      </c>
      <c r="K314" s="9" t="str">
        <f>IF(OR(I314="Trabajo actualmente como empleado",I314="Trabajo de manera independiente"),CHOOSE(MOD(COUNTIF($I$2:I314,I314)-1,4)+1,"Menos de 3 meses","De 3 a 6 meses","De 7 a 12 meses","Más de un año"),"")</f>
        <v/>
      </c>
      <c r="L314" t="str">
        <f>IF(OR(I314="Trabajo actualmente como empleado",I314="Trabajo de manera independiente"),CHOOSE(MOD(COUNTIF($I$2:I314,I314)-1,3)+1,"Sí, completamente","Parcialmente","No"),"")</f>
        <v/>
      </c>
      <c r="M314" t="str">
        <f>IF(OR(I314="Trabajo actualmente como empleado",I314="Trabajo de manera independiente"),CHOOSE(MOD(INT((COUNTIF($I$2:I314,I314)-1)/3),4)+1,"1- Muy satisfecho/a","2- Satisfecho/a","3- Insatisfecho/a","4- Muy insatisfecho/a"),"")</f>
        <v/>
      </c>
      <c r="N314" t="str">
        <f>IF(OR(I314="Trabajo actualmente como empleado",I314="Trabajo de manera independiente"),_xlfn.LET(_xlpm.opcion,MOD(INT((COUNTIF($I$2:I314,I314)-1)/5),6)+1,CHOOSE(IF(AND(_xlpm.opcion=6,L314="Sí, completamente"),5,_xlpm.opcion),"Salario","Estabilidad laboral","Horario","Acceso a prestaciones","Oportunidades de crecimiento","Trabajar en un área relacionada con mi formación")),"")</f>
        <v/>
      </c>
      <c r="O314" s="9" t="str">
        <f>IF(OR(I314="Trabajo actualmente como empleado",I314="Trabajo de manera independiente"),_xlfn.LET(_xlpm.turno,MOD(COUNTIF($I$2:I314,I314)-1,5),_xlpm.nivel,VALUE(LEFT(M314,1)),IF(_xlpm.turno=4,"No estoy seguro/a",IF(_xlpm.turno&lt;IF(_xlpm.nivel&lt;=2,1,3),"Sí","No"))),"")</f>
        <v/>
      </c>
      <c r="P314" s="9" t="str">
        <f>_xlfn.LET(_xlpm.perfil,I314,_xlpm.turno,COUNTIF($I$2:I314,_xlpm.perfil)-1,_xlpm.busca,OR(_xlpm.perfil="Actualmente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trabajar"),IF(AND(_xlpm.trabaja,O314="No"),"Todavía no he iniciado una búsqueda activa",CHOOSE(MOD(_xlpm.turno*3,5)+1,"Menos de 1 mes","Entre 1 y 3 meses","Entre 4 y 6 meses","Más de 6 meses","Todavía no he iniciado una búsqueda activa")),"")))</f>
        <v>Más de 6 meses</v>
      </c>
      <c r="Q314" t="str">
        <f>IF(I314="Tengo un emprendimiento o quiero iniciar uno","",CHOOSE(MOD(INT((COUNTIF($I$2:I314,I314)-1)/7),3)+1,"Sí","No","Tengo una pero necesito actualizarla"))</f>
        <v>Tengo una pero necesito actualizarla</v>
      </c>
      <c r="R314" s="9" t="str">
        <f>IF(I314="Tengo un emprendimiento o quiero iniciar uno","",IF(I314="Busco mi primer empleo","No",IF(MOD(COUNTIF($I$2:I314,I314)-1,2)=0,"Sí","No")))</f>
        <v>No</v>
      </c>
      <c r="S314" t="str">
        <f>IF(I314="Tengo un emprendimiento o quiero iniciar uno","",CHOOSE(MOD(INT((COUNTIF($I$2:I314,I314)-1)/3),10)+1,"Portales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14" t="str">
        <f>IF(I314="Tengo un emprendimiento o quiero iniciar uno","",_xlfn.LET(_xlpm.opcion,MOD(INT((COUNTIF($I$2:I314,I314)-1)/4),6)+1,CHOOSE(IF(AND(_xlpm.opcion=3,Q314="Sí"),1,_xlpm.opcion),"Falta de experiencia","Falta de formación","Dificultades con la hoja de vida","Horarios disponibles","Transporte","Internet")))</f>
        <v>Transporte</v>
      </c>
      <c r="U314" s="9" t="str">
        <f>IF(I314="Tengo un emprendimiento o quiero iniciar uno","",IF(MOD(INT((COUNTIF($I$2:I314,I314)-1)/3),2)=0,"Sí","No"))</f>
        <v>No</v>
      </c>
      <c r="V314" s="9" t="str">
        <f>IF(I314="Tengo un emprendimiento o quiero iniciar uno",CHOOSE(MOD(COUNTIF($I$2:I314,I314)-1,3)+1,"Tengo un emprendimiento","Estoy iniciando un emprendimiento","Me interesa emprender"),"")</f>
        <v/>
      </c>
      <c r="W314" t="str">
        <f t="shared" si="77"/>
        <v/>
      </c>
      <c r="X314" s="9" t="str">
        <f>IF(I314="Tengo un emprendimiento o quiero iniciar uno",CHOOSE(MOD(COUNTIF($I$2:I314,I314)-1,5)+1,"Falta de financiación","Falta de conocimientos administrativos","Falta de conocimientos financieros","Falta de tiempo","Falta de herramientas"),"")</f>
        <v/>
      </c>
      <c r="Y314" s="9" t="str">
        <f t="shared" si="78"/>
        <v/>
      </c>
      <c r="Z314" t="str">
        <f>IF(I314="Tengo un emprendimiento o quiero iniciar uno",CHOOSE(INT(MOD((COUNTIF($I$2:I314,I314)-1)*7,39)/13)+1,"Sí","No","No conozco programas de ese tipo"),"")</f>
        <v/>
      </c>
      <c r="AA314" t="str">
        <f t="shared" si="79"/>
        <v>Puedo hacerlo con ayuda</v>
      </c>
      <c r="AB314" t="str">
        <f t="shared" si="79"/>
        <v>Puedo hacerlo con ayuda</v>
      </c>
      <c r="AC314" t="str">
        <f t="shared" si="80"/>
        <v>Puedo hacerlo con ayuda</v>
      </c>
      <c r="AD314" s="9" t="str">
        <f t="shared" si="81"/>
        <v>No puedo hacerlo</v>
      </c>
      <c r="AE314" t="str">
        <f t="shared" si="82"/>
        <v>Puedo hacerlo sin ayuda</v>
      </c>
      <c r="AF314" s="9" t="str">
        <f t="shared" si="83"/>
        <v>Herramientas digitales</v>
      </c>
      <c r="AG314" s="9" t="str">
        <f t="shared" si="84"/>
        <v>Falta de experiencia;Falta de información</v>
      </c>
      <c r="AH314" t="str">
        <f t="shared" si="85"/>
        <v>Programas de emprendimiento</v>
      </c>
      <c r="AI314" s="9" t="str">
        <f t="shared" si="86"/>
        <v>Me es indiferente</v>
      </c>
      <c r="AJ314" s="9" t="str">
        <f t="shared" si="87"/>
        <v>Nocturno</v>
      </c>
      <c r="AK314" s="9" t="str">
        <f t="shared" si="88"/>
        <v>WhatsApp</v>
      </c>
    </row>
    <row r="315" spans="1:37">
      <c r="A315" t="str">
        <f t="shared" si="89"/>
        <v>SG314</v>
      </c>
      <c r="B315" s="9" t="s">
        <v>419</v>
      </c>
      <c r="C315" s="9" t="s">
        <v>427</v>
      </c>
      <c r="D315" t="str">
        <f t="shared" si="72"/>
        <v>Femenino</v>
      </c>
      <c r="E315" t="str">
        <f t="shared" si="73"/>
        <v>De 24 a 26 años</v>
      </c>
      <c r="F315">
        <f t="shared" si="74"/>
        <v>24</v>
      </c>
      <c r="G315" s="9" t="s">
        <v>430</v>
      </c>
      <c r="H315" s="9" t="str">
        <f t="shared" si="75"/>
        <v>Profesional</v>
      </c>
      <c r="I315" s="9" t="str">
        <f t="shared" si="76"/>
        <v>Trabajo actualmente como empleado</v>
      </c>
      <c r="J315" s="13" t="str">
        <f>IF(I315="Trabajo actualmente como empleado",IF(MOD((COUNTIF($I$2:I315,"Trabajo actualmente como empleado")-1)*37,150)&lt;100,"Empleado con contrato","Empleado sin contrato formal"),IF(I315="Trabajo de manera independiente","Trabajo independiente",""))</f>
        <v>Empleado con contrato</v>
      </c>
      <c r="K315" s="9" t="str">
        <f>IF(OR(I315="Trabajo actualmente como empleado",I315="Trabajo de manera independiente"),CHOOSE(MOD(COUNTIF($I$2:I315,I315)-1,4)+1,"Menos de 3 meses","De 3 a 6 meses","De 7 a 12 meses","Más de un año"),"")</f>
        <v>De 7 a 12 meses</v>
      </c>
      <c r="L315" t="str">
        <f>IF(OR(I315="Trabajo actualmente como empleado",I315="Trabajo de manera independiente"),CHOOSE(MOD(COUNTIF($I$2:I315,I315)-1,3)+1,"Sí, completamente","Parcialmente","No"),"")</f>
        <v>No</v>
      </c>
      <c r="M315" t="str">
        <f>IF(OR(I315="Trabajo actualmente como empleado",I315="Trabajo de manera independiente"),CHOOSE(MOD(INT((COUNTIF($I$2:I315,I315)-1)/3),4)+1,"1- Muy satisfecho/a","2- Satisfecho/a","3- Insatisfecho/a","4- Muy insatisfecho/a"),"")</f>
        <v>1- Muy satisfecho/a</v>
      </c>
      <c r="N315" t="str">
        <f>IF(OR(I315="Trabajo actualmente como empleado",I315="Trabajo de manera independiente"),_xlfn.LET(_xlpm.opcion,MOD(INT((COUNTIF($I$2:I315,I315)-1)/5),6)+1,CHOOSE(IF(AND(_xlpm.opcion=6,L315="Sí, completamente"),5,_xlpm.opcion),"Salario","Estabilidad laboral","Horario","Acceso a prestaciones","Oportunidades de crecimiento","Trabajar en un área relacionada con mi formación")),"")</f>
        <v>Estabilidad laboral</v>
      </c>
      <c r="O315" s="9" t="str">
        <f>IF(OR(I315="Trabajo actualmente como empleado",I315="Trabajo de manera independiente"),_xlfn.LET(_xlpm.turno,MOD(COUNTIF($I$2:I315,I315)-1,5),_xlpm.nivel,VALUE(LEFT(M315,1)),IF(_xlpm.turno=4,"No estoy seguro/a",IF(_xlpm.turno&lt;IF(_xlpm.nivel&lt;=2,1,3),"Sí","No"))),"")</f>
        <v>No</v>
      </c>
      <c r="P315" s="9" t="str">
        <f>_xlfn.LET(_xlpm.perfil,I315,_xlpm.turno,COUNTIF($I$2:I315,_xlpm.perfil)-1,_xlpm.busca,OR(_xlpm.perfil="Actualmente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15" t="str">
        <f>IF(I315="Tengo un emprendimiento o quiero iniciar uno","",CHOOSE(MOD(INT((COUNTIF($I$2:I315,I315)-1)/7),3)+1,"Sí","No","Tengo una pero necesito actualizarla"))</f>
        <v>Tengo una pero necesito actualizarla</v>
      </c>
      <c r="R315" s="9" t="str">
        <f>IF(I315="Tengo un emprendimiento o quiero iniciar uno","",IF(I315="Busco mi primer empleo","No",IF(MOD(COUNTIF($I$2:I315,I315)-1,2)=0,"Sí","No")))</f>
        <v>Sí</v>
      </c>
      <c r="S315" t="str">
        <f>IF(I315="Tengo un emprendimiento o quiero iniciar uno","",CHOOSE(MOD(INT((COUNTIF($I$2:I315,I315)-1)/3),10)+1,"Portales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15" t="str">
        <f>IF(I315="Tengo un emprendimiento o quiero iniciar uno","",_xlfn.LET(_xlpm.opcion,MOD(INT((COUNTIF($I$2:I315,I315)-1)/4),6)+1,CHOOSE(IF(AND(_xlpm.opcion=3,Q315="Sí"),1,_xlpm.opcion),"Falta de experiencia","Falta de formación","Dificultades con la hoja de vida","Horarios disponibles","Transporte","Internet")))</f>
        <v>Falta de experiencia</v>
      </c>
      <c r="U315" s="9" t="str">
        <f>IF(I315="Tengo un emprendimiento o quiero iniciar uno","",IF(MOD(INT((COUNTIF($I$2:I315,I315)-1)/3),2)=0,"Sí","No"))</f>
        <v>Sí</v>
      </c>
      <c r="V315" s="9" t="str">
        <f>IF(I315="Tengo un emprendimiento o quiero iniciar uno",CHOOSE(MOD(COUNTIF($I$2:I315,I315)-1,3)+1,"Tengo un emprendimiento","Estoy iniciando un emprendimiento","Me interesa emprender"),"")</f>
        <v/>
      </c>
      <c r="W315" t="str">
        <f t="shared" si="77"/>
        <v/>
      </c>
      <c r="X315" s="9" t="str">
        <f>IF(I315="Tengo un emprendimiento o quiero iniciar uno",CHOOSE(MOD(COUNTIF($I$2:I315,I315)-1,5)+1,"Falta de financiación","Falta de conocimientos administrativos","Falta de conocimientos financieros","Falta de tiempo","Falta de herramientas"),"")</f>
        <v/>
      </c>
      <c r="Y315" s="9" t="str">
        <f t="shared" si="78"/>
        <v/>
      </c>
      <c r="Z315" t="str">
        <f>IF(I315="Tengo un emprendimiento o quiero iniciar uno",CHOOSE(INT(MOD((COUNTIF($I$2:I315,I315)-1)*7,39)/13)+1,"Sí","No","No conozco programas de ese tipo"),"")</f>
        <v/>
      </c>
      <c r="AA315" t="str">
        <f t="shared" si="79"/>
        <v>Puedo hacerlo sin ayuda</v>
      </c>
      <c r="AB315" t="str">
        <f t="shared" si="79"/>
        <v>Puedo hacerlo sin ayuda</v>
      </c>
      <c r="AC315" t="str">
        <f t="shared" si="80"/>
        <v>Puedo hacerlo sin ayuda</v>
      </c>
      <c r="AD315" s="9" t="str">
        <f t="shared" si="81"/>
        <v>Puedo hacerlo con ayuda</v>
      </c>
      <c r="AE315" t="str">
        <f t="shared" si="82"/>
        <v>No puedo hacerlo</v>
      </c>
      <c r="AF315" s="9" t="str">
        <f t="shared" si="83"/>
        <v>Educación financiera</v>
      </c>
      <c r="AG315" s="9" t="str">
        <f t="shared" si="84"/>
        <v>Falta de experiencia;Falta de información</v>
      </c>
      <c r="AH315" t="str">
        <f t="shared" si="85"/>
        <v>Oficina de orientación laboral</v>
      </c>
      <c r="AI315" s="9" t="str">
        <f t="shared" si="86"/>
        <v>Presencial</v>
      </c>
      <c r="AJ315" s="9" t="str">
        <f t="shared" si="87"/>
        <v>Mañana entre semana</v>
      </c>
      <c r="AK315" s="9" t="str">
        <f t="shared" si="88"/>
        <v>Redes sociales</v>
      </c>
    </row>
    <row r="316" spans="1:37">
      <c r="A316" t="str">
        <f t="shared" si="89"/>
        <v>SG315</v>
      </c>
      <c r="B316" s="9" t="s">
        <v>419</v>
      </c>
      <c r="C316" s="9" t="s">
        <v>427</v>
      </c>
      <c r="D316" t="str">
        <f t="shared" si="72"/>
        <v>Femenino</v>
      </c>
      <c r="E316" t="str">
        <f t="shared" si="73"/>
        <v>De 26 a 28 años</v>
      </c>
      <c r="F316">
        <f t="shared" si="74"/>
        <v>28</v>
      </c>
      <c r="G316" s="9" t="s">
        <v>430</v>
      </c>
      <c r="H316" s="9" t="str">
        <f t="shared" si="75"/>
        <v>Técnico</v>
      </c>
      <c r="I316" s="9" t="str">
        <f t="shared" si="76"/>
        <v>Trabajo de manera independiente</v>
      </c>
      <c r="J316" s="13" t="str">
        <f>IF(I316="Trabajo actualmente como empleado",IF(MOD((COUNTIF($I$2:I316,"Trabajo actualmente como empleado")-1)*37,150)&lt;100,"Empleado con contrato","Empleado sin contrato formal"),IF(I316="Trabajo de manera independiente","Trabajo independiente",""))</f>
        <v>Trabajo independiente</v>
      </c>
      <c r="K316" s="9" t="str">
        <f>IF(OR(I316="Trabajo actualmente como empleado",I316="Trabajo de manera independiente"),CHOOSE(MOD(COUNTIF($I$2:I316,I316)-1,4)+1,"Menos de 3 meses","De 3 a 6 meses","De 7 a 12 meses","Más de un año"),"")</f>
        <v>De 3 a 6 meses</v>
      </c>
      <c r="L316" t="str">
        <f>IF(OR(I316="Trabajo actualmente como empleado",I316="Trabajo de manera independiente"),CHOOSE(MOD(COUNTIF($I$2:I316,I316)-1,3)+1,"Sí, completamente","Parcialmente","No"),"")</f>
        <v>No</v>
      </c>
      <c r="M316" t="str">
        <f>IF(OR(I316="Trabajo actualmente como empleado",I316="Trabajo de manera independiente"),CHOOSE(MOD(INT((COUNTIF($I$2:I316,I316)-1)/3),4)+1,"1- Muy satisfecho/a","2- Satisfecho/a","3- Insatisfecho/a","4- Muy insatisfecho/a"),"")</f>
        <v>2- Satisfecho/a</v>
      </c>
      <c r="N316" t="str">
        <f>IF(OR(I316="Trabajo actualmente como empleado",I316="Trabajo de manera independiente"),_xlfn.LET(_xlpm.opcion,MOD(INT((COUNTIF($I$2:I316,I316)-1)/5),6)+1,CHOOSE(IF(AND(_xlpm.opcion=6,L316="Sí, completamente"),5,_xlpm.opcion),"Salario","Estabilidad laboral","Horario","Acceso a prestaciones","Oportunidades de crecimiento","Trabajar en un área relacionada con mi formación")),"")</f>
        <v>Oportunidades de crecimiento</v>
      </c>
      <c r="O316" s="9" t="str">
        <f>IF(OR(I316="Trabajo actualmente como empleado",I316="Trabajo de manera independiente"),_xlfn.LET(_xlpm.turno,MOD(COUNTIF($I$2:I316,I316)-1,5),_xlpm.nivel,VALUE(LEFT(M316,1)),IF(_xlpm.turno=4,"No estoy seguro/a",IF(_xlpm.turno&lt;IF(_xlpm.nivel&lt;=2,1,3),"Sí","No"))),"")</f>
        <v>No</v>
      </c>
      <c r="P316" s="9" t="str">
        <f>_xlfn.LET(_xlpm.perfil,I316,_xlpm.turno,COUNTIF($I$2:I316,_xlpm.perfil)-1,_xlpm.busca,OR(_xlpm.perfil="Actualmente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16" t="str">
        <f>IF(I316="Tengo un emprendimiento o quiero iniciar uno","",CHOOSE(MOD(INT((COUNTIF($I$2:I316,I316)-1)/7),3)+1,"Sí","No","Tengo una pero necesito actualizarla"))</f>
        <v>No</v>
      </c>
      <c r="R316" s="9" t="str">
        <f>IF(I316="Tengo un emprendimiento o quiero iniciar uno","",IF(I316="Busco mi primer empleo","No",IF(MOD(COUNTIF($I$2:I316,I316)-1,2)=0,"Sí","No")))</f>
        <v>No</v>
      </c>
      <c r="S316" t="str">
        <f>IF(I316="Tengo un emprendimiento o quiero iniciar uno","",CHOOSE(MOD(INT((COUNTIF($I$2:I316,I316)-1)/3),10)+1,"Portales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316" t="str">
        <f>IF(I316="Tengo un emprendimiento o quiero iniciar uno","",_xlfn.LET(_xlpm.opcion,MOD(INT((COUNTIF($I$2:I316,I316)-1)/4),6)+1,CHOOSE(IF(AND(_xlpm.opcion=3,Q316="Sí"),1,_xlpm.opcion),"Falta de experiencia","Falta de formación","Dificultades con la hoja de vida","Horarios disponibles","Transporte","Internet")))</f>
        <v>Falta de formación</v>
      </c>
      <c r="U316" s="9" t="str">
        <f>IF(I316="Tengo un emprendimiento o quiero iniciar uno","",IF(MOD(INT((COUNTIF($I$2:I316,I316)-1)/3),2)=0,"Sí","No"))</f>
        <v>No</v>
      </c>
      <c r="V316" s="9" t="str">
        <f>IF(I316="Tengo un emprendimiento o quiero iniciar uno",CHOOSE(MOD(COUNTIF($I$2:I316,I316)-1,3)+1,"Tengo un emprendimiento","Estoy iniciando un emprendimiento","Me interesa emprender"),"")</f>
        <v/>
      </c>
      <c r="W316" t="str">
        <f t="shared" si="77"/>
        <v/>
      </c>
      <c r="X316" s="9" t="str">
        <f>IF(I316="Tengo un emprendimiento o quiero iniciar uno",CHOOSE(MOD(COUNTIF($I$2:I316,I316)-1,5)+1,"Falta de financiación","Falta de conocimientos administrativos","Falta de conocimientos financieros","Falta de tiempo","Falta de herramientas"),"")</f>
        <v/>
      </c>
      <c r="Y316" s="9" t="str">
        <f t="shared" si="78"/>
        <v/>
      </c>
      <c r="Z316" t="str">
        <f>IF(I316="Tengo un emprendimiento o quiero iniciar uno",CHOOSE(INT(MOD((COUNTIF($I$2:I316,I316)-1)*7,39)/13)+1,"Sí","No","No conozco programas de ese tipo"),"")</f>
        <v/>
      </c>
      <c r="AA316" t="str">
        <f t="shared" si="79"/>
        <v>No puedo hacerlo</v>
      </c>
      <c r="AB316" t="str">
        <f t="shared" si="79"/>
        <v>No puedo hacerlo</v>
      </c>
      <c r="AC316" t="str">
        <f t="shared" si="80"/>
        <v>No puedo hacerlo</v>
      </c>
      <c r="AD316" s="9" t="str">
        <f t="shared" si="81"/>
        <v>Puedo hacerlo con dificultad</v>
      </c>
      <c r="AE316" t="str">
        <f t="shared" si="82"/>
        <v>No puedo hacerlo</v>
      </c>
      <c r="AF316" s="9" t="str">
        <f t="shared" si="83"/>
        <v>Crear una hoja de vida;Preparación para entrevista</v>
      </c>
      <c r="AG316" s="9" t="str">
        <f t="shared" si="84"/>
        <v>Falta de experiencia;Falta de información</v>
      </c>
      <c r="AH316" t="str">
        <f t="shared" si="85"/>
        <v>Programas de emprendimiento</v>
      </c>
      <c r="AI316" s="9" t="str">
        <f t="shared" si="86"/>
        <v>Virtual</v>
      </c>
      <c r="AJ316" s="9" t="str">
        <f t="shared" si="87"/>
        <v>Diurno</v>
      </c>
      <c r="AK316" s="9" t="str">
        <f t="shared" si="88"/>
        <v>Celular</v>
      </c>
    </row>
    <row r="317" spans="1:37">
      <c r="A317" t="str">
        <f t="shared" si="89"/>
        <v>SG316</v>
      </c>
      <c r="B317" s="9" t="s">
        <v>419</v>
      </c>
      <c r="C317" s="9" t="s">
        <v>427</v>
      </c>
      <c r="D317" t="str">
        <f t="shared" si="72"/>
        <v>Masculino</v>
      </c>
      <c r="E317" t="str">
        <f t="shared" si="73"/>
        <v>De 18 a 20 años</v>
      </c>
      <c r="F317">
        <f t="shared" si="74"/>
        <v>19</v>
      </c>
      <c r="G317" s="9" t="s">
        <v>430</v>
      </c>
      <c r="H317" s="9" t="str">
        <f t="shared" si="75"/>
        <v>Bachiller</v>
      </c>
      <c r="I317" s="9" t="str">
        <f t="shared" si="76"/>
        <v>Busco mi primer empleo</v>
      </c>
      <c r="J317" s="13" t="str">
        <f>IF(I317="Trabajo actualmente como empleado",IF(MOD((COUNTIF($I$2:I317,"Trabajo actualmente como empleado")-1)*37,150)&lt;100,"Empleado con contrato","Empleado sin contrato formal"),IF(I317="Trabajo de manera independiente","Trabajo independiente",""))</f>
        <v/>
      </c>
      <c r="K317" s="9" t="str">
        <f>IF(OR(I317="Trabajo actualmente como empleado",I317="Trabajo de manera independiente"),CHOOSE(MOD(COUNTIF($I$2:I317,I317)-1,4)+1,"Menos de 3 meses","De 3 a 6 meses","De 7 a 12 meses","Más de un año"),"")</f>
        <v/>
      </c>
      <c r="L317" t="str">
        <f>IF(OR(I317="Trabajo actualmente como empleado",I317="Trabajo de manera independiente"),CHOOSE(MOD(COUNTIF($I$2:I317,I317)-1,3)+1,"Sí, completamente","Parcialmente","No"),"")</f>
        <v/>
      </c>
      <c r="M317" t="str">
        <f>IF(OR(I317="Trabajo actualmente como empleado",I317="Trabajo de manera independiente"),CHOOSE(MOD(INT((COUNTIF($I$2:I317,I317)-1)/3),4)+1,"1- Muy satisfecho/a","2- Satisfecho/a","3- Insatisfecho/a","4- Muy insatisfecho/a"),"")</f>
        <v/>
      </c>
      <c r="N317" t="str">
        <f>IF(OR(I317="Trabajo actualmente como empleado",I317="Trabajo de manera independiente"),_xlfn.LET(_xlpm.opcion,MOD(INT((COUNTIF($I$2:I317,I317)-1)/5),6)+1,CHOOSE(IF(AND(_xlpm.opcion=6,L317="Sí, completamente"),5,_xlpm.opcion),"Salario","Estabilidad laboral","Horario","Acceso a prestaciones","Oportunidades de crecimiento","Trabajar en un área relacionada con mi formación")),"")</f>
        <v/>
      </c>
      <c r="O317" s="9" t="str">
        <f>IF(OR(I317="Trabajo actualmente como empleado",I317="Trabajo de manera independiente"),_xlfn.LET(_xlpm.turno,MOD(COUNTIF($I$2:I317,I317)-1,5),_xlpm.nivel,VALUE(LEFT(M317,1)),IF(_xlpm.turno=4,"No estoy seguro/a",IF(_xlpm.turno&lt;IF(_xlpm.nivel&lt;=2,1,3),"Sí","No"))),"")</f>
        <v/>
      </c>
      <c r="P317" s="9" t="str">
        <f>_xlfn.LET(_xlpm.perfil,I317,_xlpm.turno,COUNTIF($I$2:I317,_xlpm.perfil)-1,_xlpm.busca,OR(_xlpm.perfil="Actualmente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trabajar"),IF(AND(_xlpm.trabaja,O317="No"),"Todavía no he iniciado una búsqueda activa",CHOOSE(MOD(_xlpm.turno*3,5)+1,"Menos de 1 mes","Entre 1 y 3 meses","Entre 4 y 6 meses","Más de 6 meses","Todavía no he iniciado una búsqueda activa")),"")))</f>
        <v>Entre 4 y 6 meses</v>
      </c>
      <c r="Q317" t="str">
        <f>IF(I317="Tengo un emprendimiento o quiero iniciar uno","",CHOOSE(MOD(INT((COUNTIF($I$2:I317,I317)-1)/7),3)+1,"Sí","No","Tengo una pero necesito actualizarla"))</f>
        <v>Sí</v>
      </c>
      <c r="R317" s="9" t="str">
        <f>IF(I317="Tengo un emprendimiento o quiero iniciar uno","",IF(I317="Busco mi primer empleo","No",IF(MOD(COUNTIF($I$2:I317,I317)-1,2)=0,"Sí","No")))</f>
        <v>No</v>
      </c>
      <c r="S317" t="str">
        <f>IF(I317="Tengo un emprendimiento o quiero iniciar uno","",CHOOSE(MOD(INT((COUNTIF($I$2:I317,I317)-1)/3),10)+1,"Portales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17" t="str">
        <f>IF(I317="Tengo un emprendimiento o quiero iniciar uno","",_xlfn.LET(_xlpm.opcion,MOD(INT((COUNTIF($I$2:I317,I317)-1)/4),6)+1,CHOOSE(IF(AND(_xlpm.opcion=3,Q317="Sí"),1,_xlpm.opcion),"Falta de experiencia","Falta de formación","Dificultades con la hoja de vida","Horarios disponibles","Transporte","Internet")))</f>
        <v>Transporte</v>
      </c>
      <c r="U317" s="9" t="str">
        <f>IF(I317="Tengo un emprendimiento o quiero iniciar uno","",IF(MOD(INT((COUNTIF($I$2:I317,I317)-1)/3),2)=0,"Sí","No"))</f>
        <v>Sí</v>
      </c>
      <c r="V317" s="9" t="str">
        <f>IF(I317="Tengo un emprendimiento o quiero iniciar uno",CHOOSE(MOD(COUNTIF($I$2:I317,I317)-1,3)+1,"Tengo un emprendimiento","Estoy iniciando un emprendimiento","Me interesa emprender"),"")</f>
        <v/>
      </c>
      <c r="W317" t="str">
        <f t="shared" si="77"/>
        <v/>
      </c>
      <c r="X317" s="9" t="str">
        <f>IF(I317="Tengo un emprendimiento o quiero iniciar uno",CHOOSE(MOD(COUNTIF($I$2:I317,I317)-1,5)+1,"Falta de financiación","Falta de conocimientos administrativos","Falta de conocimientos financieros","Falta de tiempo","Falta de herramientas"),"")</f>
        <v/>
      </c>
      <c r="Y317" s="9" t="str">
        <f t="shared" si="78"/>
        <v/>
      </c>
      <c r="Z317" t="str">
        <f>IF(I317="Tengo un emprendimiento o quiero iniciar uno",CHOOSE(INT(MOD((COUNTIF($I$2:I317,I317)-1)*7,39)/13)+1,"Sí","No","No conozco programas de ese tipo"),"")</f>
        <v/>
      </c>
      <c r="AA317" t="str">
        <f t="shared" si="79"/>
        <v>Puedo hacerlo con dificultad</v>
      </c>
      <c r="AB317" t="str">
        <f t="shared" si="79"/>
        <v>Puedo hacerlo con dificultad</v>
      </c>
      <c r="AC317" t="str">
        <f t="shared" si="80"/>
        <v>Puedo hacerlo con ayuda</v>
      </c>
      <c r="AD317" s="9" t="str">
        <f t="shared" si="81"/>
        <v>Puedo hacerlo sin ayuda</v>
      </c>
      <c r="AE317" t="str">
        <f t="shared" si="82"/>
        <v>Puedo hacerlo con ayuda</v>
      </c>
      <c r="AF317" s="9" t="str">
        <f t="shared" si="83"/>
        <v>Comunicación;Liderazgo</v>
      </c>
      <c r="AG317" s="9" t="str">
        <f t="shared" si="84"/>
        <v>Costos de transporte;Distancia</v>
      </c>
      <c r="AH317" t="str">
        <f t="shared" si="85"/>
        <v>No conozco ninguno</v>
      </c>
      <c r="AI317" s="9" t="str">
        <f t="shared" si="86"/>
        <v>Presencial y virtual</v>
      </c>
      <c r="AJ317" s="9" t="str">
        <f t="shared" si="87"/>
        <v>Nocturno</v>
      </c>
      <c r="AK317" s="9" t="str">
        <f t="shared" si="88"/>
        <v>Correo electrónico</v>
      </c>
    </row>
    <row r="318" spans="1:37">
      <c r="A318" t="str">
        <f t="shared" si="89"/>
        <v>SG317</v>
      </c>
      <c r="B318" s="9" t="s">
        <v>419</v>
      </c>
      <c r="C318" s="9" t="s">
        <v>427</v>
      </c>
      <c r="D318" t="str">
        <f t="shared" si="72"/>
        <v>Masculino</v>
      </c>
      <c r="E318" t="str">
        <f t="shared" si="73"/>
        <v>De 20 a 22 años</v>
      </c>
      <c r="F318">
        <f t="shared" si="74"/>
        <v>21</v>
      </c>
      <c r="G318" s="9" t="s">
        <v>430</v>
      </c>
      <c r="H318" s="9" t="str">
        <f t="shared" si="75"/>
        <v>Bachiller</v>
      </c>
      <c r="I318" s="9" t="str">
        <f t="shared" si="76"/>
        <v>Trabajo actualmente como empleado</v>
      </c>
      <c r="J318" s="13" t="str">
        <f>IF(I318="Trabajo actualmente como empleado",IF(MOD((COUNTIF($I$2:I318,"Trabajo actualmente como empleado")-1)*37,150)&lt;100,"Empleado con contrato","Empleado sin contrato formal"),IF(I318="Trabajo de manera independiente","Trabajo independiente",""))</f>
        <v>Empleado con contrato</v>
      </c>
      <c r="K318" s="9" t="str">
        <f>IF(OR(I318="Trabajo actualmente como empleado",I318="Trabajo de manera independiente"),CHOOSE(MOD(COUNTIF($I$2:I318,I318)-1,4)+1,"Menos de 3 meses","De 3 a 6 meses","De 7 a 12 meses","Más de un año"),"")</f>
        <v>Más de un año</v>
      </c>
      <c r="L318" t="str">
        <f>IF(OR(I318="Trabajo actualmente como empleado",I318="Trabajo de manera independiente"),CHOOSE(MOD(COUNTIF($I$2:I318,I318)-1,3)+1,"Sí, completamente","Parcialmente","No"),"")</f>
        <v>Sí, completamente</v>
      </c>
      <c r="M318" t="str">
        <f>IF(OR(I318="Trabajo actualmente como empleado",I318="Trabajo de manera independiente"),CHOOSE(MOD(INT((COUNTIF($I$2:I318,I318)-1)/3),4)+1,"1- Muy satisfecho/a","2- Satisfecho/a","3- Insatisfecho/a","4- Muy insatisfecho/a"),"")</f>
        <v>2- Satisfecho/a</v>
      </c>
      <c r="N318" t="str">
        <f>IF(OR(I318="Trabajo actualmente como empleado",I318="Trabajo de manera independiente"),_xlfn.LET(_xlpm.opcion,MOD(INT((COUNTIF($I$2:I318,I318)-1)/5),6)+1,CHOOSE(IF(AND(_xlpm.opcion=6,L318="Sí, completamente"),5,_xlpm.opcion),"Salario","Estabilidad laboral","Horario","Acceso a prestaciones","Oportunidades de crecimiento","Trabajar en un área relacionada con mi formación")),"")</f>
        <v>Estabilidad laboral</v>
      </c>
      <c r="O318" s="9" t="str">
        <f>IF(OR(I318="Trabajo actualmente como empleado",I318="Trabajo de manera independiente"),_xlfn.LET(_xlpm.turno,MOD(COUNTIF($I$2:I318,I318)-1,5),_xlpm.nivel,VALUE(LEFT(M318,1)),IF(_xlpm.turno=4,"No estoy seguro/a",IF(_xlpm.turno&lt;IF(_xlpm.nivel&lt;=2,1,3),"Sí","No"))),"")</f>
        <v>No estoy seguro/a</v>
      </c>
      <c r="P318" s="9" t="str">
        <f>_xlfn.LET(_xlpm.perfil,I318,_xlpm.turno,COUNTIF($I$2:I318,_xlpm.perfil)-1,_xlpm.busca,OR(_xlpm.perfil="Actualmente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trabajar"),IF(AND(_xlpm.trabaja,O318="No"),"Todavía no he iniciado una búsqueda activa",CHOOSE(MOD(_xlpm.turno*3,5)+1,"Menos de 1 mes","Entre 1 y 3 meses","Entre 4 y 6 meses","Más de 6 meses","Todavía no he iniciado una búsqueda activa")),"")))</f>
        <v>Entre 4 y 6 meses</v>
      </c>
      <c r="Q318" t="str">
        <f>IF(I318="Tengo un emprendimiento o quiero iniciar uno","",CHOOSE(MOD(INT((COUNTIF($I$2:I318,I318)-1)/7),3)+1,"Sí","No","Tengo una pero necesito actualizarla"))</f>
        <v>Tengo una pero necesito actualizarla</v>
      </c>
      <c r="R318" s="9" t="str">
        <f>IF(I318="Tengo un emprendimiento o quiero iniciar uno","",IF(I318="Busco mi primer empleo","No",IF(MOD(COUNTIF($I$2:I318,I318)-1,2)=0,"Sí","No")))</f>
        <v>No</v>
      </c>
      <c r="S318" t="str">
        <f>IF(I318="Tengo un emprendimiento o quiero iniciar uno","",CHOOSE(MOD(INT((COUNTIF($I$2:I318,I318)-1)/3),10)+1,"Portales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18" t="str">
        <f>IF(I318="Tengo un emprendimiento o quiero iniciar uno","",_xlfn.LET(_xlpm.opcion,MOD(INT((COUNTIF($I$2:I318,I318)-1)/4),6)+1,CHOOSE(IF(AND(_xlpm.opcion=3,Q318="Sí"),1,_xlpm.opcion),"Falta de experiencia","Falta de formación","Dificultades con la hoja de vida","Horarios disponibles","Transporte","Internet")))</f>
        <v>Falta de experiencia</v>
      </c>
      <c r="U318" s="9" t="str">
        <f>IF(I318="Tengo un emprendimiento o quiero iniciar uno","",IF(MOD(INT((COUNTIF($I$2:I318,I318)-1)/3),2)=0,"Sí","No"))</f>
        <v>No</v>
      </c>
      <c r="V318" s="9" t="str">
        <f>IF(I318="Tengo un emprendimiento o quiero iniciar uno",CHOOSE(MOD(COUNTIF($I$2:I318,I318)-1,3)+1,"Tengo un emprendimiento","Estoy iniciando un emprendimiento","Me interesa emprender"),"")</f>
        <v/>
      </c>
      <c r="W318" t="str">
        <f t="shared" si="77"/>
        <v/>
      </c>
      <c r="X318" s="9" t="str">
        <f>IF(I318="Tengo un emprendimiento o quiero iniciar uno",CHOOSE(MOD(COUNTIF($I$2:I318,I318)-1,5)+1,"Falta de financiación","Falta de conocimientos administrativos","Falta de conocimientos financieros","Falta de tiempo","Falta de herramientas"),"")</f>
        <v/>
      </c>
      <c r="Y318" s="9" t="str">
        <f t="shared" si="78"/>
        <v/>
      </c>
      <c r="Z318" t="str">
        <f>IF(I318="Tengo un emprendimiento o quiero iniciar uno",CHOOSE(INT(MOD((COUNTIF($I$2:I318,I318)-1)*7,39)/13)+1,"Sí","No","No conozco programas de ese tipo"),"")</f>
        <v/>
      </c>
      <c r="AA318" t="str">
        <f t="shared" si="79"/>
        <v>No puedo hacerlo</v>
      </c>
      <c r="AB318" t="str">
        <f t="shared" si="79"/>
        <v>No puedo hacerlo</v>
      </c>
      <c r="AC318" t="str">
        <f t="shared" si="80"/>
        <v>Puedo hacerlo con dificultad</v>
      </c>
      <c r="AD318" s="9" t="str">
        <f t="shared" si="81"/>
        <v>Puedo hacerlo sin ayuda</v>
      </c>
      <c r="AE318" t="str">
        <f t="shared" si="82"/>
        <v>Puedo hacerlo con dificultad</v>
      </c>
      <c r="AF318" s="9" t="str">
        <f t="shared" si="83"/>
        <v>Herramientas digitales;Educación financiera</v>
      </c>
      <c r="AG318" s="9" t="str">
        <f t="shared" si="84"/>
        <v>Costos de transporte;Distancia</v>
      </c>
      <c r="AH318" t="str">
        <f t="shared" si="85"/>
        <v>Ferias de empleo</v>
      </c>
      <c r="AI318" s="9" t="str">
        <f t="shared" si="86"/>
        <v>Me es indiferente</v>
      </c>
      <c r="AJ318" s="9" t="str">
        <f t="shared" si="87"/>
        <v>Mañana entre semana</v>
      </c>
      <c r="AK318" s="9" t="str">
        <f t="shared" si="88"/>
        <v>Redes sociales</v>
      </c>
    </row>
    <row r="319" spans="1:37">
      <c r="A319" t="str">
        <f t="shared" si="89"/>
        <v>SG318</v>
      </c>
      <c r="B319" s="9" t="s">
        <v>419</v>
      </c>
      <c r="C319" s="9" t="s">
        <v>427</v>
      </c>
      <c r="D319" t="str">
        <f t="shared" si="72"/>
        <v>Femenino</v>
      </c>
      <c r="E319" t="str">
        <f t="shared" si="73"/>
        <v>De 22 a 24 años</v>
      </c>
      <c r="F319">
        <f t="shared" si="74"/>
        <v>23</v>
      </c>
      <c r="G319" s="9" t="s">
        <v>430</v>
      </c>
      <c r="H319" s="9" t="str">
        <f t="shared" si="75"/>
        <v>Técnico</v>
      </c>
      <c r="I319" s="9" t="str">
        <f t="shared" si="76"/>
        <v>Actualmente no trabajo y estoy buscando empleo</v>
      </c>
      <c r="J319" s="13" t="str">
        <f>IF(I319="Trabajo actualmente como empleado",IF(MOD((COUNTIF($I$2:I319,"Trabajo actualmente como empleado")-1)*37,150)&lt;100,"Empleado con contrato","Empleado sin contrato formal"),IF(I319="Trabajo de manera independiente","Trabajo independiente",""))</f>
        <v/>
      </c>
      <c r="K319" s="9" t="str">
        <f>IF(OR(I319="Trabajo actualmente como empleado",I319="Trabajo de manera independiente"),CHOOSE(MOD(COUNTIF($I$2:I319,I319)-1,4)+1,"Menos de 3 meses","De 3 a 6 meses","De 7 a 12 meses","Más de un año"),"")</f>
        <v/>
      </c>
      <c r="L319" t="str">
        <f>IF(OR(I319="Trabajo actualmente como empleado",I319="Trabajo de manera independiente"),CHOOSE(MOD(COUNTIF($I$2:I319,I319)-1,3)+1,"Sí, completamente","Parcialmente","No"),"")</f>
        <v/>
      </c>
      <c r="M319" t="str">
        <f>IF(OR(I319="Trabajo actualmente como empleado",I319="Trabajo de manera independiente"),CHOOSE(MOD(INT((COUNTIF($I$2:I319,I319)-1)/3),4)+1,"1- Muy satisfecho/a","2- Satisfecho/a","3- Insatisfecho/a","4- Muy insatisfecho/a"),"")</f>
        <v/>
      </c>
      <c r="N319" t="str">
        <f>IF(OR(I319="Trabajo actualmente como empleado",I319="Trabajo de manera independiente"),_xlfn.LET(_xlpm.opcion,MOD(INT((COUNTIF($I$2:I319,I319)-1)/5),6)+1,CHOOSE(IF(AND(_xlpm.opcion=6,L319="Sí, completamente"),5,_xlpm.opcion),"Salario","Estabilidad laboral","Horario","Acceso a prestaciones","Oportunidades de crecimiento","Trabajar en un área relacionada con mi formación")),"")</f>
        <v/>
      </c>
      <c r="O319" s="9" t="str">
        <f>IF(OR(I319="Trabajo actualmente como empleado",I319="Trabajo de manera independiente"),_xlfn.LET(_xlpm.turno,MOD(COUNTIF($I$2:I319,I319)-1,5),_xlpm.nivel,VALUE(LEFT(M319,1)),IF(_xlpm.turno=4,"No estoy seguro/a",IF(_xlpm.turno&lt;IF(_xlpm.nivel&lt;=2,1,3),"Sí","No"))),"")</f>
        <v/>
      </c>
      <c r="P319" s="9" t="str">
        <f>_xlfn.LET(_xlpm.perfil,I319,_xlpm.turno,COUNTIF($I$2:I319,_xlpm.perfil)-1,_xlpm.busca,OR(_xlpm.perfil="Actualmente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trabajar"),IF(AND(_xlpm.trabaja,O319="No"),"Todavía no he iniciado una búsqueda activa",CHOOSE(MOD(_xlpm.turno*3,5)+1,"Menos de 1 mes","Entre 1 y 3 meses","Entre 4 y 6 meses","Más de 6 meses","Todavía no he iniciado una búsqueda activa")),"")))</f>
        <v>Más de 6 meses</v>
      </c>
      <c r="Q319" t="str">
        <f>IF(I319="Tengo un emprendimiento o quiero iniciar uno","",CHOOSE(MOD(INT((COUNTIF($I$2:I319,I319)-1)/7),3)+1,"Sí","No","Tengo una pero necesito actualizarla"))</f>
        <v>Tengo una pero necesito actualizarla</v>
      </c>
      <c r="R319" s="9" t="str">
        <f>IF(I319="Tengo un emprendimiento o quiero iniciar uno","",IF(I319="Busco mi primer empleo","No",IF(MOD(COUNTIF($I$2:I319,I319)-1,2)=0,"Sí","No")))</f>
        <v>No</v>
      </c>
      <c r="S319" t="str">
        <f>IF(I319="Tengo un emprendimiento o quiero iniciar uno","",CHOOSE(MOD(INT((COUNTIF($I$2:I319,I319)-1)/3),10)+1,"Portales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19" t="str">
        <f>IF(I319="Tengo un emprendimiento o quiero iniciar uno","",_xlfn.LET(_xlpm.opcion,MOD(INT((COUNTIF($I$2:I319,I319)-1)/4),6)+1,CHOOSE(IF(AND(_xlpm.opcion=3,Q319="Sí"),1,_xlpm.opcion),"Falta de experiencia","Falta de formación","Dificultades con la hoja de vida","Horarios disponibles","Transporte","Internet")))</f>
        <v>Dificultades con la hoja de vida</v>
      </c>
      <c r="U319" s="9" t="str">
        <f>IF(I319="Tengo un emprendimiento o quiero iniciar uno","",IF(MOD(INT((COUNTIF($I$2:I319,I319)-1)/3),2)=0,"Sí","No"))</f>
        <v>No</v>
      </c>
      <c r="V319" s="9" t="str">
        <f>IF(I319="Tengo un emprendimiento o quiero iniciar uno",CHOOSE(MOD(COUNTIF($I$2:I319,I319)-1,3)+1,"Tengo un emprendimiento","Estoy iniciando un emprendimiento","Me interesa emprender"),"")</f>
        <v/>
      </c>
      <c r="W319" t="str">
        <f t="shared" si="77"/>
        <v/>
      </c>
      <c r="X319" s="9" t="str">
        <f>IF(I319="Tengo un emprendimiento o quiero iniciar uno",CHOOSE(MOD(COUNTIF($I$2:I319,I319)-1,5)+1,"Falta de financiación","Falta de conocimientos administrativos","Falta de conocimientos financieros","Falta de tiempo","Falta de herramientas"),"")</f>
        <v/>
      </c>
      <c r="Y319" s="9" t="str">
        <f t="shared" si="78"/>
        <v/>
      </c>
      <c r="Z319" t="str">
        <f>IF(I319="Tengo un emprendimiento o quiero iniciar uno",CHOOSE(INT(MOD((COUNTIF($I$2:I319,I319)-1)*7,39)/13)+1,"Sí","No","No conozco programas de ese tipo"),"")</f>
        <v/>
      </c>
      <c r="AA319" t="str">
        <f t="shared" si="79"/>
        <v>Puedo hacerlo con ayuda</v>
      </c>
      <c r="AB319" t="str">
        <f t="shared" si="79"/>
        <v>Puedo hacerlo con ayuda</v>
      </c>
      <c r="AC319" t="str">
        <f t="shared" si="80"/>
        <v>No puedo hacerlo</v>
      </c>
      <c r="AD319" s="9" t="str">
        <f t="shared" si="81"/>
        <v>No puedo hacerlo</v>
      </c>
      <c r="AE319" t="str">
        <f t="shared" si="82"/>
        <v>Puedo hacerlo con dificultad</v>
      </c>
      <c r="AF319" s="9" t="str">
        <f t="shared" si="83"/>
        <v>Crear una hoja de vida</v>
      </c>
      <c r="AG319" s="9" t="str">
        <f t="shared" si="84"/>
        <v>Costos de transporte;Distancia</v>
      </c>
      <c r="AH319" t="str">
        <f t="shared" si="85"/>
        <v>No conozco ninguno</v>
      </c>
      <c r="AI319" s="9" t="str">
        <f t="shared" si="86"/>
        <v>Presencial</v>
      </c>
      <c r="AJ319" s="9" t="str">
        <f t="shared" si="87"/>
        <v>Diurno</v>
      </c>
      <c r="AK319" s="9" t="str">
        <f t="shared" si="88"/>
        <v>WhatsApp</v>
      </c>
    </row>
    <row r="320" spans="1:37">
      <c r="A320" t="str">
        <f t="shared" si="89"/>
        <v>SG319</v>
      </c>
      <c r="B320" s="9" t="s">
        <v>419</v>
      </c>
      <c r="C320" s="9" t="s">
        <v>427</v>
      </c>
      <c r="D320" t="str">
        <f t="shared" si="72"/>
        <v>Femenino</v>
      </c>
      <c r="E320" t="str">
        <f t="shared" si="73"/>
        <v>De 24 a 26 años</v>
      </c>
      <c r="F320">
        <f t="shared" si="74"/>
        <v>25</v>
      </c>
      <c r="G320" s="9" t="s">
        <v>430</v>
      </c>
      <c r="H320" s="9" t="str">
        <f t="shared" si="75"/>
        <v>Técnico</v>
      </c>
      <c r="I320" s="9" t="str">
        <f t="shared" si="76"/>
        <v>Estudio y quiero comenzar a trabajar</v>
      </c>
      <c r="J320" s="13" t="str">
        <f>IF(I320="Trabajo actualmente como empleado",IF(MOD((COUNTIF($I$2:I320,"Trabajo actualmente como empleado")-1)*37,150)&lt;100,"Empleado con contrato","Empleado sin contrato formal"),IF(I320="Trabajo de manera independiente","Trabajo independiente",""))</f>
        <v/>
      </c>
      <c r="K320" s="9" t="str">
        <f>IF(OR(I320="Trabajo actualmente como empleado",I320="Trabajo de manera independiente"),CHOOSE(MOD(COUNTIF($I$2:I320,I320)-1,4)+1,"Menos de 3 meses","De 3 a 6 meses","De 7 a 12 meses","Más de un año"),"")</f>
        <v/>
      </c>
      <c r="L320" t="str">
        <f>IF(OR(I320="Trabajo actualmente como empleado",I320="Trabajo de manera independiente"),CHOOSE(MOD(COUNTIF($I$2:I320,I320)-1,3)+1,"Sí, completamente","Parcialmente","No"),"")</f>
        <v/>
      </c>
      <c r="M320" t="str">
        <f>IF(OR(I320="Trabajo actualmente como empleado",I320="Trabajo de manera independiente"),CHOOSE(MOD(INT((COUNTIF($I$2:I320,I320)-1)/3),4)+1,"1- Muy satisfecho/a","2- Satisfecho/a","3- Insatisfecho/a","4- Muy insatisfecho/a"),"")</f>
        <v/>
      </c>
      <c r="N320" t="str">
        <f>IF(OR(I320="Trabajo actualmente como empleado",I320="Trabajo de manera independiente"),_xlfn.LET(_xlpm.opcion,MOD(INT((COUNTIF($I$2:I320,I320)-1)/5),6)+1,CHOOSE(IF(AND(_xlpm.opcion=6,L320="Sí, completamente"),5,_xlpm.opcion),"Salario","Estabilidad laboral","Horario","Acceso a prestaciones","Oportunidades de crecimiento","Trabajar en un área relacionada con mi formación")),"")</f>
        <v/>
      </c>
      <c r="O320" s="9" t="str">
        <f>IF(OR(I320="Trabajo actualmente como empleado",I320="Trabajo de manera independiente"),_xlfn.LET(_xlpm.turno,MOD(COUNTIF($I$2:I320,I320)-1,5),_xlpm.nivel,VALUE(LEFT(M320,1)),IF(_xlpm.turno=4,"No estoy seguro/a",IF(_xlpm.turno&lt;IF(_xlpm.nivel&lt;=2,1,3),"Sí","No"))),"")</f>
        <v/>
      </c>
      <c r="P320" s="9" t="str">
        <f>_xlfn.LET(_xlpm.perfil,I320,_xlpm.turno,COUNTIF($I$2:I320,_xlpm.perfil)-1,_xlpm.busca,OR(_xlpm.perfil="Actualmente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trabajar"),IF(AND(_xlpm.trabaja,O320="No"),"Todavía no he iniciado una búsqueda activa",CHOOSE(MOD(_xlpm.turno*3,5)+1,"Menos de 1 mes","Entre 1 y 3 meses","Entre 4 y 6 meses","Más de 6 meses","Todavía no he iniciado una búsqueda activa")),"")))</f>
        <v>Entre 1 y 3 meses</v>
      </c>
      <c r="Q320" t="str">
        <f>IF(I320="Tengo un emprendimiento o quiero iniciar uno","",CHOOSE(MOD(INT((COUNTIF($I$2:I320,I320)-1)/7),3)+1,"Sí","No","Tengo una pero necesito actualizarla"))</f>
        <v>Tengo una pero necesito actualizarla</v>
      </c>
      <c r="R320" s="9" t="str">
        <f>IF(I320="Tengo un emprendimiento o quiero iniciar uno","",IF(I320="Busco mi primer empleo","No",IF(MOD(COUNTIF($I$2:I320,I320)-1,2)=0,"Sí","No")))</f>
        <v>No</v>
      </c>
      <c r="S320" t="str">
        <f>IF(I320="Tengo un emprendimiento o quiero iniciar uno","",CHOOSE(MOD(INT((COUNTIF($I$2:I320,I320)-1)/3),10)+1,"Portales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20" t="str">
        <f>IF(I320="Tengo un emprendimiento o quiero iniciar uno","",_xlfn.LET(_xlpm.opcion,MOD(INT((COUNTIF($I$2:I320,I320)-1)/4),6)+1,CHOOSE(IF(AND(_xlpm.opcion=3,Q320="Sí"),1,_xlpm.opcion),"Falta de experiencia","Falta de formación","Dificultades con la hoja de vida","Horarios disponibles","Transporte","Internet")))</f>
        <v>Horarios disponibles</v>
      </c>
      <c r="U320" s="9" t="str">
        <f>IF(I320="Tengo un emprendimiento o quiero iniciar uno","",IF(MOD(INT((COUNTIF($I$2:I320,I320)-1)/3),2)=0,"Sí","No"))</f>
        <v>Sí</v>
      </c>
      <c r="V320" s="9" t="str">
        <f>IF(I320="Tengo un emprendimiento o quiero iniciar uno",CHOOSE(MOD(COUNTIF($I$2:I320,I320)-1,3)+1,"Tengo un emprendimiento","Estoy iniciando un emprendimiento","Me interesa emprender"),"")</f>
        <v/>
      </c>
      <c r="W320" t="str">
        <f t="shared" si="77"/>
        <v/>
      </c>
      <c r="X320" s="9" t="str">
        <f>IF(I320="Tengo un emprendimiento o quiero iniciar uno",CHOOSE(MOD(COUNTIF($I$2:I320,I320)-1,5)+1,"Falta de financiación","Falta de conocimientos administrativos","Falta de conocimientos financieros","Falta de tiempo","Falta de herramientas"),"")</f>
        <v/>
      </c>
      <c r="Y320" s="9" t="str">
        <f t="shared" si="78"/>
        <v/>
      </c>
      <c r="Z320" t="str">
        <f>IF(I320="Tengo un emprendimiento o quiero iniciar uno",CHOOSE(INT(MOD((COUNTIF($I$2:I320,I320)-1)*7,39)/13)+1,"Sí","No","No conozco programas de ese tipo"),"")</f>
        <v/>
      </c>
      <c r="AA320" t="str">
        <f t="shared" si="79"/>
        <v>Puedo hacerlo sin ayuda</v>
      </c>
      <c r="AB320" t="str">
        <f t="shared" si="79"/>
        <v>Puedo hacerlo sin ayuda</v>
      </c>
      <c r="AC320" t="str">
        <f t="shared" si="80"/>
        <v>Puedo hacerlo con ayuda</v>
      </c>
      <c r="AD320" s="9" t="str">
        <f t="shared" si="81"/>
        <v>Puedo hacerlo con ayuda</v>
      </c>
      <c r="AE320" t="str">
        <f t="shared" si="82"/>
        <v>Puedo hacerlo sin ayuda</v>
      </c>
      <c r="AF320" s="9" t="str">
        <f t="shared" si="83"/>
        <v>Preparación para entrevista</v>
      </c>
      <c r="AG320" s="9" t="str">
        <f t="shared" si="84"/>
        <v>Falta de información</v>
      </c>
      <c r="AH320" t="str">
        <f t="shared" si="85"/>
        <v>Oficina de orientación laboral</v>
      </c>
      <c r="AI320" s="9" t="str">
        <f t="shared" si="86"/>
        <v>Virtual</v>
      </c>
      <c r="AJ320" s="9" t="str">
        <f t="shared" si="87"/>
        <v>Nocturno</v>
      </c>
      <c r="AK320" s="9" t="str">
        <f t="shared" si="88"/>
        <v>Correo electrónico</v>
      </c>
    </row>
    <row r="321" spans="1:37">
      <c r="A321" t="str">
        <f t="shared" si="89"/>
        <v>SG320</v>
      </c>
      <c r="B321" s="9" t="s">
        <v>419</v>
      </c>
      <c r="C321" s="9" t="s">
        <v>427</v>
      </c>
      <c r="D321" t="str">
        <f t="shared" si="72"/>
        <v>Masculino</v>
      </c>
      <c r="E321" t="str">
        <f t="shared" si="73"/>
        <v>De 26 a 28 años</v>
      </c>
      <c r="F321">
        <f t="shared" si="74"/>
        <v>26</v>
      </c>
      <c r="G321" s="9" t="s">
        <v>430</v>
      </c>
      <c r="H321" s="9" t="str">
        <f t="shared" si="75"/>
        <v>Profesional</v>
      </c>
      <c r="I321" s="9" t="str">
        <f t="shared" si="76"/>
        <v>Trabajo actualmente como empleado</v>
      </c>
      <c r="J321" s="13" t="str">
        <f>IF(I321="Trabajo actualmente como empleado",IF(MOD((COUNTIF($I$2:I321,"Trabajo actualmente como empleado")-1)*37,150)&lt;100,"Empleado con contrato","Empleado sin contrato formal"),IF(I321="Trabajo de manera independiente","Trabajo independiente",""))</f>
        <v>Empleado sin contrato formal</v>
      </c>
      <c r="K321" s="9" t="str">
        <f>IF(OR(I321="Trabajo actualmente como empleado",I321="Trabajo de manera independiente"),CHOOSE(MOD(COUNTIF($I$2:I321,I321)-1,4)+1,"Menos de 3 meses","De 3 a 6 meses","De 7 a 12 meses","Más de un año"),"")</f>
        <v>Menos de 3 meses</v>
      </c>
      <c r="L321" t="str">
        <f>IF(OR(I321="Trabajo actualmente como empleado",I321="Trabajo de manera independiente"),CHOOSE(MOD(COUNTIF($I$2:I321,I321)-1,3)+1,"Sí, completamente","Parcialmente","No"),"")</f>
        <v>Parcialmente</v>
      </c>
      <c r="M321" t="str">
        <f>IF(OR(I321="Trabajo actualmente como empleado",I321="Trabajo de manera independiente"),CHOOSE(MOD(INT((COUNTIF($I$2:I321,I321)-1)/3),4)+1,"1- Muy satisfecho/a","2- Satisfecho/a","3- Insatisfecho/a","4- Muy insatisfecho/a"),"")</f>
        <v>2- Satisfecho/a</v>
      </c>
      <c r="N321" t="str">
        <f>IF(OR(I321="Trabajo actualmente como empleado",I321="Trabajo de manera independiente"),_xlfn.LET(_xlpm.opcion,MOD(INT((COUNTIF($I$2:I321,I321)-1)/5),6)+1,CHOOSE(IF(AND(_xlpm.opcion=6,L321="Sí, completamente"),5,_xlpm.opcion),"Salario","Estabilidad laboral","Horario","Acceso a prestaciones","Oportunidades de crecimiento","Trabajar en un área relacionada con mi formación")),"")</f>
        <v>Horario</v>
      </c>
      <c r="O321" s="9" t="str">
        <f>IF(OR(I321="Trabajo actualmente como empleado",I321="Trabajo de manera independiente"),_xlfn.LET(_xlpm.turno,MOD(COUNTIF($I$2:I321,I321)-1,5),_xlpm.nivel,VALUE(LEFT(M321,1)),IF(_xlpm.turno=4,"No estoy seguro/a",IF(_xlpm.turno&lt;IF(_xlpm.nivel&lt;=2,1,3),"Sí","No"))),"")</f>
        <v>Sí</v>
      </c>
      <c r="P321" s="9" t="str">
        <f>_xlfn.LET(_xlpm.perfil,I321,_xlpm.turno,COUNTIF($I$2:I321,_xlpm.perfil)-1,_xlpm.busca,OR(_xlpm.perfil="Actualmente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trabajar"),IF(AND(_xlpm.trabaja,O321="No"),"Todavía no he iniciado una búsqueda activa",CHOOSE(MOD(_xlpm.turno*3,5)+1,"Menos de 1 mes","Entre 1 y 3 meses","Entre 4 y 6 meses","Más de 6 meses","Todavía no he iniciado una búsqueda activa")),"")))</f>
        <v>Menos de 1 mes</v>
      </c>
      <c r="Q321" t="str">
        <f>IF(I321="Tengo un emprendimiento o quiero iniciar uno","",CHOOSE(MOD(INT((COUNTIF($I$2:I321,I321)-1)/7),3)+1,"Sí","No","Tengo una pero necesito actualizarla"))</f>
        <v>Tengo una pero necesito actualizarla</v>
      </c>
      <c r="R321" s="9" t="str">
        <f>IF(I321="Tengo un emprendimiento o quiero iniciar uno","",IF(I321="Busco mi primer empleo","No",IF(MOD(COUNTIF($I$2:I321,I321)-1,2)=0,"Sí","No")))</f>
        <v>Sí</v>
      </c>
      <c r="S321" t="str">
        <f>IF(I321="Tengo un emprendimiento o quiero iniciar uno","",CHOOSE(MOD(INT((COUNTIF($I$2:I321,I321)-1)/3),10)+1,"Portales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21" t="str">
        <f>IF(I321="Tengo un emprendimiento o quiero iniciar uno","",_xlfn.LET(_xlpm.opcion,MOD(INT((COUNTIF($I$2:I321,I321)-1)/4),6)+1,CHOOSE(IF(AND(_xlpm.opcion=3,Q321="Sí"),1,_xlpm.opcion),"Falta de experiencia","Falta de formación","Dificultades con la hoja de vida","Horarios disponibles","Transporte","Internet")))</f>
        <v>Falta de formación</v>
      </c>
      <c r="U321" s="9" t="str">
        <f>IF(I321="Tengo un emprendimiento o quiero iniciar uno","",IF(MOD(INT((COUNTIF($I$2:I321,I321)-1)/3),2)=0,"Sí","No"))</f>
        <v>No</v>
      </c>
      <c r="V321" s="9" t="str">
        <f>IF(I321="Tengo un emprendimiento o quiero iniciar uno",CHOOSE(MOD(COUNTIF($I$2:I321,I321)-1,3)+1,"Tengo un emprendimiento","Estoy iniciando un emprendimiento","Me interesa emprender"),"")</f>
        <v/>
      </c>
      <c r="W321" t="str">
        <f t="shared" si="77"/>
        <v/>
      </c>
      <c r="X321" s="9" t="str">
        <f>IF(I321="Tengo un emprendimiento o quiero iniciar uno",CHOOSE(MOD(COUNTIF($I$2:I321,I321)-1,5)+1,"Falta de financiación","Falta de conocimientos administrativos","Falta de conocimientos financieros","Falta de tiempo","Falta de herramientas"),"")</f>
        <v/>
      </c>
      <c r="Y321" s="9" t="str">
        <f t="shared" si="78"/>
        <v/>
      </c>
      <c r="Z321" t="str">
        <f>IF(I321="Tengo un emprendimiento o quiero iniciar uno",CHOOSE(INT(MOD((COUNTIF($I$2:I321,I321)-1)*7,39)/13)+1,"Sí","No","No conozco programas de ese tipo"),"")</f>
        <v/>
      </c>
      <c r="AA321" t="str">
        <f t="shared" si="79"/>
        <v>No puedo hacerlo</v>
      </c>
      <c r="AB321" t="str">
        <f t="shared" si="79"/>
        <v>No puedo hacerlo</v>
      </c>
      <c r="AC321" t="str">
        <f t="shared" si="80"/>
        <v>Puedo hacerlo con dificultad</v>
      </c>
      <c r="AD321" s="9" t="str">
        <f t="shared" si="81"/>
        <v>Puedo hacerlo con dificultad</v>
      </c>
      <c r="AE321" t="str">
        <f t="shared" si="82"/>
        <v>Puedo hacerlo sin ayuda</v>
      </c>
      <c r="AF321" s="9" t="str">
        <f t="shared" si="83"/>
        <v>Comunicación</v>
      </c>
      <c r="AG321" s="9" t="str">
        <f t="shared" si="84"/>
        <v>Falta de información</v>
      </c>
      <c r="AH321" t="str">
        <f t="shared" si="85"/>
        <v>Programas de emprendimiento</v>
      </c>
      <c r="AI321" s="9" t="str">
        <f t="shared" si="86"/>
        <v>Presencial y virtual</v>
      </c>
      <c r="AJ321" s="9" t="str">
        <f t="shared" si="87"/>
        <v>Fines de semana</v>
      </c>
      <c r="AK321" s="9" t="str">
        <f t="shared" si="88"/>
        <v>Celular</v>
      </c>
    </row>
    <row r="322" spans="1:37">
      <c r="A322" t="str">
        <f t="shared" si="89"/>
        <v>SG321</v>
      </c>
      <c r="B322" s="9" t="s">
        <v>419</v>
      </c>
      <c r="C322" s="9" t="s">
        <v>427</v>
      </c>
      <c r="D322" t="str">
        <f t="shared" ref="D322:D385" si="90">IF(MOD((ROW()-2)*137,479)&lt;230,"Masculino",IF(MOD((ROW()-2)*137,479)&lt;460,"Femenino",IF(MOD((ROW()-2)*137,479)&lt;470,"Otro","No quiero responder")))</f>
        <v>Femenino</v>
      </c>
      <c r="E322" t="str">
        <f t="shared" ref="E322:E385" si="91">CHOOSE(MOD(ROW()-2,5)+1,"De 18 a 20 años","De 20 a 22 años","De 22 a 24 años","De 24 a 26 años","De 26 a 28 años")</f>
        <v>De 18 a 20 años</v>
      </c>
      <c r="F322">
        <f t="shared" ref="F322:F385" si="92">CHOOSE(MOD(ROW()-2,5)+1,18,20,22,24,26)+MOD(INT((ROW()-2)/5),IF(MOD(ROW()-2,5)=4,3,2))</f>
        <v>18</v>
      </c>
      <c r="G322" s="9" t="s">
        <v>430</v>
      </c>
      <c r="H322" s="9" t="str">
        <f t="shared" ref="H322:H385" si="93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Técnico</v>
      </c>
      <c r="I322" s="9" t="str">
        <f t="shared" ref="I322:I385" si="94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Actualmente no trabajo y estoy buscando empleo</v>
      </c>
      <c r="J322" s="13" t="str">
        <f>IF(I322="Trabajo actualmente como empleado",IF(MOD((COUNTIF($I$2:I322,"Trabajo actualmente como empleado")-1)*37,150)&lt;100,"Empleado con contrato","Empleado sin contrato formal"),IF(I322="Trabajo de manera independiente","Trabajo independiente",""))</f>
        <v/>
      </c>
      <c r="K322" s="9" t="str">
        <f>IF(OR(I322="Trabajo actualmente como empleado",I322="Trabajo de manera independiente"),CHOOSE(MOD(COUNTIF($I$2:I322,I322)-1,4)+1,"Menos de 3 meses","De 3 a 6 meses","De 7 a 12 meses","Más de un año"),"")</f>
        <v/>
      </c>
      <c r="L322" t="str">
        <f>IF(OR(I322="Trabajo actualmente como empleado",I322="Trabajo de manera independiente"),CHOOSE(MOD(COUNTIF($I$2:I322,I322)-1,3)+1,"Sí, completamente","Parcialmente","No"),"")</f>
        <v/>
      </c>
      <c r="M322" t="str">
        <f>IF(OR(I322="Trabajo actualmente como empleado",I322="Trabajo de manera independiente"),CHOOSE(MOD(INT((COUNTIF($I$2:I322,I322)-1)/3),4)+1,"1- Muy satisfecho/a","2- Satisfecho/a","3- Insatisfecho/a","4- Muy insatisfecho/a"),"")</f>
        <v/>
      </c>
      <c r="N322" t="str">
        <f>IF(OR(I322="Trabajo actualmente como empleado",I322="Trabajo de manera independiente"),_xlfn.LET(_xlpm.opcion,MOD(INT((COUNTIF($I$2:I322,I322)-1)/5),6)+1,CHOOSE(IF(AND(_xlpm.opcion=6,L322="Sí, completamente"),5,_xlpm.opcion),"Salario","Estabilidad laboral","Horario","Acceso a prestaciones","Oportunidades de crecimiento","Trabajar en un área relacionada con mi formación")),"")</f>
        <v/>
      </c>
      <c r="O322" s="9" t="str">
        <f>IF(OR(I322="Trabajo actualmente como empleado",I322="Trabajo de manera independiente"),_xlfn.LET(_xlpm.turno,MOD(COUNTIF($I$2:I322,I322)-1,5),_xlpm.nivel,VALUE(LEFT(M322,1)),IF(_xlpm.turno=4,"No estoy seguro/a",IF(_xlpm.turno&lt;IF(_xlpm.nivel&lt;=2,1,3),"Sí","No"))),"")</f>
        <v/>
      </c>
      <c r="P322" s="9" t="str">
        <f>_xlfn.LET(_xlpm.perfil,I322,_xlpm.turno,COUNTIF($I$2:I322,_xlpm.perfil)-1,_xlpm.busca,OR(_xlpm.perfil="Actualmente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trabajar"),IF(AND(_xlpm.trabaja,O322="No"),"Todavía no he iniciado una búsqueda activa",CHOOSE(MOD(_xlpm.turno*3,5)+1,"Menos de 1 mes","Entre 1 y 3 meses","Entre 4 y 6 meses","Más de 6 meses","Todavía no he iniciado una búsqueda activa")),"")))</f>
        <v>Entre 4 y 6 meses</v>
      </c>
      <c r="Q322" t="str">
        <f>IF(I322="Tengo un emprendimiento o quiero iniciar uno","",CHOOSE(MOD(INT((COUNTIF($I$2:I322,I322)-1)/7),3)+1,"Sí","No","Tengo una pero necesito actualizarla"))</f>
        <v>Tengo una pero necesito actualizarla</v>
      </c>
      <c r="R322" s="9" t="str">
        <f>IF(I322="Tengo un emprendimiento o quiero iniciar uno","",IF(I322="Busco mi primer empleo","No",IF(MOD(COUNTIF($I$2:I322,I322)-1,2)=0,"Sí","No")))</f>
        <v>Sí</v>
      </c>
      <c r="S322" t="str">
        <f>IF(I322="Tengo un emprendimiento o quiero iniciar uno","",CHOOSE(MOD(INT((COUNTIF($I$2:I322,I322)-1)/3),10)+1,"Portales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22" t="str">
        <f>IF(I322="Tengo un emprendimiento o quiero iniciar uno","",_xlfn.LET(_xlpm.opcion,MOD(INT((COUNTIF($I$2:I322,I322)-1)/4),6)+1,CHOOSE(IF(AND(_xlpm.opcion=3,Q322="Sí"),1,_xlpm.opcion),"Falta de experiencia","Falta de formación","Dificultades con la hoja de vida","Horarios disponibles","Transporte","Internet")))</f>
        <v>Dificultades con la hoja de vida</v>
      </c>
      <c r="U322" s="9" t="str">
        <f>IF(I322="Tengo un emprendimiento o quiero iniciar uno","",IF(MOD(INT((COUNTIF($I$2:I322,I322)-1)/3),2)=0,"Sí","No"))</f>
        <v>No</v>
      </c>
      <c r="V322" s="9" t="str">
        <f>IF(I322="Tengo un emprendimiento o quiero iniciar uno",CHOOSE(MOD(COUNTIF($I$2:I322,I322)-1,3)+1,"Tengo un emprendimiento","Estoy iniciando un emprendimiento","Me interesa emprender"),"")</f>
        <v/>
      </c>
      <c r="W322" t="str">
        <f t="shared" ref="W322:W385" si="95">IF(V322="Tengo un emprendimiento","Funcionamiento estable",IF(V322="Estoy iniciando un emprendimiento","Inicio",""))</f>
        <v/>
      </c>
      <c r="X322" s="9" t="str">
        <f>IF(I322="Tengo un emprendimiento o quiero iniciar uno",CHOOSE(MOD(COUNTIF($I$2:I322,I322)-1,5)+1,"Falta de financiación","Falta de conocimientos administrativos","Falta de conocimientos financieros","Falta de tiempo","Falta de herramientas"),"")</f>
        <v/>
      </c>
      <c r="Y322" s="9" t="str">
        <f t="shared" ref="Y322:Y385" si="96">IF(I322="Tengo un emprendimiento o quiero iniciar uno",X322,"")</f>
        <v/>
      </c>
      <c r="Z322" t="str">
        <f>IF(I322="Tengo un emprendimiento o quiero iniciar uno",CHOOSE(INT(MOD((COUNTIF($I$2:I322,I322)-1)*7,39)/13)+1,"Sí","No","No conozco programas de ese tipo"),"")</f>
        <v/>
      </c>
      <c r="AA322" t="str">
        <f t="shared" ref="AA322:AB385" si="97">CHOOSE(INT(MOD((ROW()-2)*191,479)/120)+1,"No puedo hacerlo","Puedo hacerlo con ayuda","Puedo hacerlo con dificultad","Puedo hacerlo sin ayuda")</f>
        <v>Puedo hacerlo con dificultad</v>
      </c>
      <c r="AB322" t="str">
        <f t="shared" si="97"/>
        <v>Puedo hacerlo con dificultad</v>
      </c>
      <c r="AC322" t="str">
        <f t="shared" ref="AC322:AC385" si="98">CHOOSE(INT(MOD((ROW()-2)*157+83,479)/120)+1,"No puedo hacerlo","Puedo hacerlo con ayuda","Puedo hacerlo con dificultad","Puedo hacerlo sin ayuda")</f>
        <v>No puedo hacerlo</v>
      </c>
      <c r="AD322" s="9" t="str">
        <f t="shared" ref="AD322:AD385" si="99">CHOOSE(INT(MOD((ROW()-2)*89+131,479)/120)+1,"No puedo hacerlo","Puedo hacerlo con ayuda","Puedo hacerlo con dificultad","Puedo hacerlo sin ayuda")</f>
        <v>Puedo hacerlo con dificultad</v>
      </c>
      <c r="AE322" t="str">
        <f t="shared" ref="AE322:AE385" si="100">CHOOSE(INT(MOD((ROW()-2)*73+179,479)/120)+1,"No puedo hacerlo","Puedo hacerlo con ayuda","Puedo hacerlo con dificultad","Puedo hacerlo sin ayuda")</f>
        <v>No puedo hacerlo</v>
      </c>
      <c r="AF322" s="9" t="str">
        <f t="shared" ref="AF322:AF385" si="101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Liderazgo</v>
      </c>
      <c r="AG322" s="9" t="str">
        <f t="shared" ref="AG322:AG385" si="102">CHOOSE(MOD(INT((ROW()-2)/3)*7,9)+1,"Costos de transporte","Distancia","Horarios","Falta de experiencia","Falta de información","Ninguna","Costos de transporte;Distancia","Horarios;Falta de información","Falta de experiencia;Falta de información")</f>
        <v>Falta de información</v>
      </c>
      <c r="AH322" t="str">
        <f t="shared" ref="AH322:AH385" si="103">CHOOSE(INT(MOD((ROW()-2)*199+59,479)/120)+1,"Oficina de orientación laboral","Ferias de empleo","Programas de emprendimiento","No conozco ninguno")</f>
        <v>Oficina de orientación laboral</v>
      </c>
      <c r="AI322" s="9" t="str">
        <f t="shared" ref="AI322:AI385" si="104">CHOOSE(INT(MOD((ROW()-2)*127+71,479)/120)+1,"Presencial","Virtual","Presencial y virtual","Me es indiferente")</f>
        <v>Me es indiferente</v>
      </c>
      <c r="AJ322" s="9" t="str">
        <f t="shared" ref="AJ322:AJ385" si="105">CHOOSE(INT(MOD((ROW()-2)*163+97,479)/120)+1,"Diurno","Nocturno","Mañana entre semana","Fines de semana")</f>
        <v>Diurno</v>
      </c>
      <c r="AK322" s="9" t="str">
        <f t="shared" ref="AK322:AK385" si="106">CHOOSE(INT(MOD((ROW()-2)*181+109,479)/120)+1,"WhatsApp","Correo electrónico","Redes sociales","Celular")</f>
        <v>WhatsApp</v>
      </c>
    </row>
    <row r="323" spans="1:37">
      <c r="A323" t="str">
        <f t="shared" ref="A323:A386" si="107">"SG"&amp;TEXT(ROW()-1,"000")</f>
        <v>SG322</v>
      </c>
      <c r="B323" s="9" t="s">
        <v>419</v>
      </c>
      <c r="C323" s="9" t="s">
        <v>427</v>
      </c>
      <c r="D323" t="str">
        <f t="shared" si="90"/>
        <v>Femenino</v>
      </c>
      <c r="E323" t="str">
        <f t="shared" si="91"/>
        <v>De 20 a 22 años</v>
      </c>
      <c r="F323">
        <f t="shared" si="92"/>
        <v>20</v>
      </c>
      <c r="G323" s="9" t="s">
        <v>430</v>
      </c>
      <c r="H323" s="9" t="str">
        <f t="shared" si="93"/>
        <v>Técnico</v>
      </c>
      <c r="I323" s="9" t="str">
        <f t="shared" si="94"/>
        <v>Tengo un emprendimiento o quiero iniciar uno</v>
      </c>
      <c r="J323" s="13" t="str">
        <f>IF(I323="Trabajo actualmente como empleado",IF(MOD((COUNTIF($I$2:I323,"Trabajo actualmente como empleado")-1)*37,150)&lt;100,"Empleado con contrato","Empleado sin contrato formal"),IF(I323="Trabajo de manera independiente","Trabajo independiente",""))</f>
        <v/>
      </c>
      <c r="K323" s="9" t="str">
        <f>IF(OR(I323="Trabajo actualmente como empleado",I323="Trabajo de manera independiente"),CHOOSE(MOD(COUNTIF($I$2:I323,I323)-1,4)+1,"Menos de 3 meses","De 3 a 6 meses","De 7 a 12 meses","Más de un año"),"")</f>
        <v/>
      </c>
      <c r="L323" t="str">
        <f>IF(OR(I323="Trabajo actualmente como empleado",I323="Trabajo de manera independiente"),CHOOSE(MOD(COUNTIF($I$2:I323,I323)-1,3)+1,"Sí, completamente","Parcialmente","No"),"")</f>
        <v/>
      </c>
      <c r="M323" t="str">
        <f>IF(OR(I323="Trabajo actualmente como empleado",I323="Trabajo de manera independiente"),CHOOSE(MOD(INT((COUNTIF($I$2:I323,I323)-1)/3),4)+1,"1- Muy satisfecho/a","2- Satisfecho/a","3- Insatisfecho/a","4- Muy insatisfecho/a"),"")</f>
        <v/>
      </c>
      <c r="N323" t="str">
        <f>IF(OR(I323="Trabajo actualmente como empleado",I323="Trabajo de manera independiente"),_xlfn.LET(_xlpm.opcion,MOD(INT((COUNTIF($I$2:I323,I323)-1)/5),6)+1,CHOOSE(IF(AND(_xlpm.opcion=6,L323="Sí, completamente"),5,_xlpm.opcion),"Salario","Estabilidad laboral","Horario","Acceso a prestaciones","Oportunidades de crecimiento","Trabajar en un área relacionada con mi formación")),"")</f>
        <v/>
      </c>
      <c r="O323" s="9" t="str">
        <f>IF(OR(I323="Trabajo actualmente como empleado",I323="Trabajo de manera independiente"),_xlfn.LET(_xlpm.turno,MOD(COUNTIF($I$2:I323,I323)-1,5),_xlpm.nivel,VALUE(LEFT(M323,1)),IF(_xlpm.turno=4,"No estoy seguro/a",IF(_xlpm.turno&lt;IF(_xlpm.nivel&lt;=2,1,3),"Sí","No"))),"")</f>
        <v/>
      </c>
      <c r="P323" s="9" t="str">
        <f>_xlfn.LET(_xlpm.perfil,I323,_xlpm.turno,COUNTIF($I$2:I323,_xlpm.perfil)-1,_xlpm.busca,OR(_xlpm.perfil="Actualmente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trabajar"),IF(AND(_xlpm.trabaja,O323="No"),"Todavía no he iniciado una búsqueda activa",CHOOSE(MOD(_xlpm.turno*3,5)+1,"Menos de 1 mes","Entre 1 y 3 meses","Entre 4 y 6 meses","Más de 6 meses","Todavía no he iniciado una búsqueda activa")),"")))</f>
        <v/>
      </c>
      <c r="Q323" t="str">
        <f>IF(I323="Tengo un emprendimiento o quiero iniciar uno","",CHOOSE(MOD(INT((COUNTIF($I$2:I323,I323)-1)/7),3)+1,"Sí","No","Tengo una pero necesito actualizarla"))</f>
        <v/>
      </c>
      <c r="R323" s="9" t="str">
        <f>IF(I323="Tengo un emprendimiento o quiero iniciar uno","",IF(I323="Busco mi primer empleo","No",IF(MOD(COUNTIF($I$2:I323,I323)-1,2)=0,"Sí","No")))</f>
        <v/>
      </c>
      <c r="S323" t="str">
        <f>IF(I323="Tengo un emprendimiento o quiero iniciar uno","",CHOOSE(MOD(INT((COUNTIF($I$2:I323,I323)-1)/3),10)+1,"Portales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23" t="str">
        <f>IF(I323="Tengo un emprendimiento o quiero iniciar uno","",_xlfn.LET(_xlpm.opcion,MOD(INT((COUNTIF($I$2:I323,I323)-1)/4),6)+1,CHOOSE(IF(AND(_xlpm.opcion=3,Q323="Sí"),1,_xlpm.opcion),"Falta de experiencia","Falta de formación","Dificultades con la hoja de vida","Horarios disponibles","Transporte","Internet")))</f>
        <v/>
      </c>
      <c r="U323" s="9" t="str">
        <f>IF(I323="Tengo un emprendimiento o quiero iniciar uno","",IF(MOD(INT((COUNTIF($I$2:I323,I323)-1)/3),2)=0,"Sí","No"))</f>
        <v/>
      </c>
      <c r="V323" s="9" t="str">
        <f>IF(I323="Tengo un emprendimiento o quiero iniciar uno",CHOOSE(MOD(COUNTIF($I$2:I323,I323)-1,3)+1,"Tengo un emprendimiento","Estoy iniciando un emprendimiento","Me interesa emprender"),"")</f>
        <v>Me interesa emprender</v>
      </c>
      <c r="W323" t="str">
        <f t="shared" si="95"/>
        <v/>
      </c>
      <c r="X323" s="9" t="str">
        <f>IF(I323="Tengo un emprendimiento o quiero iniciar uno",CHOOSE(MOD(COUNTIF($I$2:I323,I323)-1,5)+1,"Falta de financiación","Falta de conocimientos administrativos","Falta de conocimientos financieros","Falta de tiempo","Falta de herramientas"),"")</f>
        <v>Falta de conocimientos administrativos</v>
      </c>
      <c r="Y323" s="9" t="str">
        <f t="shared" si="96"/>
        <v>Falta de conocimientos administrativos</v>
      </c>
      <c r="Z323" t="str">
        <f>IF(I323="Tengo un emprendimiento o quiero iniciar uno",CHOOSE(INT(MOD((COUNTIF($I$2:I323,I323)-1)*7,39)/13)+1,"Sí","No","No conozco programas de ese tipo"),"")</f>
        <v>No conozco programas de ese tipo</v>
      </c>
      <c r="AA323" t="str">
        <f t="shared" si="97"/>
        <v>Puedo hacerlo sin ayuda</v>
      </c>
      <c r="AB323" t="str">
        <f t="shared" si="97"/>
        <v>Puedo hacerlo sin ayuda</v>
      </c>
      <c r="AC323" t="str">
        <f t="shared" si="98"/>
        <v>Puedo hacerlo con ayuda</v>
      </c>
      <c r="AD323" s="9" t="str">
        <f t="shared" si="99"/>
        <v>Puedo hacerlo sin ayuda</v>
      </c>
      <c r="AE323" t="str">
        <f t="shared" si="100"/>
        <v>Puedo hacerlo con ayuda</v>
      </c>
      <c r="AF323" s="9" t="str">
        <f t="shared" si="101"/>
        <v>Emprendimiento</v>
      </c>
      <c r="AG323" s="9" t="str">
        <f t="shared" si="102"/>
        <v>Horarios</v>
      </c>
      <c r="AH323" t="str">
        <f t="shared" si="103"/>
        <v>Ferias de empleo</v>
      </c>
      <c r="AI323" s="9" t="str">
        <f t="shared" si="104"/>
        <v>Virtual</v>
      </c>
      <c r="AJ323" s="9" t="str">
        <f t="shared" si="105"/>
        <v>Nocturno</v>
      </c>
      <c r="AK323" s="9" t="str">
        <f t="shared" si="106"/>
        <v>Redes sociales</v>
      </c>
    </row>
    <row r="324" spans="1:37">
      <c r="A324" t="str">
        <f t="shared" si="107"/>
        <v>SG323</v>
      </c>
      <c r="B324" s="9" t="s">
        <v>419</v>
      </c>
      <c r="C324" s="9" t="s">
        <v>427</v>
      </c>
      <c r="D324" t="str">
        <f t="shared" si="90"/>
        <v>Masculino</v>
      </c>
      <c r="E324" t="str">
        <f t="shared" si="91"/>
        <v>De 22 a 24 años</v>
      </c>
      <c r="F324">
        <f t="shared" si="92"/>
        <v>22</v>
      </c>
      <c r="G324" s="9" t="s">
        <v>430</v>
      </c>
      <c r="H324" s="9" t="str">
        <f t="shared" si="93"/>
        <v>Tecnólogo</v>
      </c>
      <c r="I324" s="9" t="str">
        <f t="shared" si="94"/>
        <v>Trabajo actualmente como empleado</v>
      </c>
      <c r="J324" s="13" t="str">
        <f>IF(I324="Trabajo actualmente como empleado",IF(MOD((COUNTIF($I$2:I324,"Trabajo actualmente como empleado")-1)*37,150)&lt;100,"Empleado con contrato","Empleado sin contrato formal"),IF(I324="Trabajo de manera independiente","Trabajo independiente",""))</f>
        <v>Empleado sin contrato formal</v>
      </c>
      <c r="K324" s="9" t="str">
        <f>IF(OR(I324="Trabajo actualmente como empleado",I324="Trabajo de manera independiente"),CHOOSE(MOD(COUNTIF($I$2:I324,I324)-1,4)+1,"Menos de 3 meses","De 3 a 6 meses","De 7 a 12 meses","Más de un año"),"")</f>
        <v>De 3 a 6 meses</v>
      </c>
      <c r="L324" t="str">
        <f>IF(OR(I324="Trabajo actualmente como empleado",I324="Trabajo de manera independiente"),CHOOSE(MOD(COUNTIF($I$2:I324,I324)-1,3)+1,"Sí, completamente","Parcialmente","No"),"")</f>
        <v>No</v>
      </c>
      <c r="M324" t="str">
        <f>IF(OR(I324="Trabajo actualmente como empleado",I324="Trabajo de manera independiente"),CHOOSE(MOD(INT((COUNTIF($I$2:I324,I324)-1)/3),4)+1,"1- Muy satisfecho/a","2- Satisfecho/a","3- Insatisfecho/a","4- Muy insatisfecho/a"),"")</f>
        <v>2- Satisfecho/a</v>
      </c>
      <c r="N324" t="str">
        <f>IF(OR(I324="Trabajo actualmente como empleado",I324="Trabajo de manera independiente"),_xlfn.LET(_xlpm.opcion,MOD(INT((COUNTIF($I$2:I324,I324)-1)/5),6)+1,CHOOSE(IF(AND(_xlpm.opcion=6,L324="Sí, completamente"),5,_xlpm.opcion),"Salario","Estabilidad laboral","Horario","Acceso a prestaciones","Oportunidades de crecimiento","Trabajar en un área relacionada con mi formación")),"")</f>
        <v>Horario</v>
      </c>
      <c r="O324" s="9" t="str">
        <f>IF(OR(I324="Trabajo actualmente como empleado",I324="Trabajo de manera independiente"),_xlfn.LET(_xlpm.turno,MOD(COUNTIF($I$2:I324,I324)-1,5),_xlpm.nivel,VALUE(LEFT(M324,1)),IF(_xlpm.turno=4,"No estoy seguro/a",IF(_xlpm.turno&lt;IF(_xlpm.nivel&lt;=2,1,3),"Sí","No"))),"")</f>
        <v>No</v>
      </c>
      <c r="P324" s="9" t="str">
        <f>_xlfn.LET(_xlpm.perfil,I324,_xlpm.turno,COUNTIF($I$2:I324,_xlpm.perfil)-1,_xlpm.busca,OR(_xlpm.perfil="Actualmente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trabajar"),IF(AND(_xlpm.trabaja,O324="No"),"Todavía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24" t="str">
        <f>IF(I324="Tengo un emprendimiento o quiero iniciar uno","",CHOOSE(MOD(INT((COUNTIF($I$2:I324,I324)-1)/7),3)+1,"Sí","No","Tengo una pero necesito actualizarla"))</f>
        <v>Tengo una pero necesito actualizarla</v>
      </c>
      <c r="R324" s="9" t="str">
        <f>IF(I324="Tengo un emprendimiento o quiero iniciar uno","",IF(I324="Busco mi primer empleo","No",IF(MOD(COUNTIF($I$2:I324,I324)-1,2)=0,"Sí","No")))</f>
        <v>No</v>
      </c>
      <c r="S324" t="str">
        <f>IF(I324="Tengo un emprendimiento o quiero iniciar uno","",CHOOSE(MOD(INT((COUNTIF($I$2:I324,I324)-1)/3),10)+1,"Portales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24" t="str">
        <f>IF(I324="Tengo un emprendimiento o quiero iniciar uno","",_xlfn.LET(_xlpm.opcion,MOD(INT((COUNTIF($I$2:I324,I324)-1)/4),6)+1,CHOOSE(IF(AND(_xlpm.opcion=3,Q324="Sí"),1,_xlpm.opcion),"Falta de experiencia","Falta de formación","Dificultades con la hoja de vida","Horarios disponibles","Transporte","Internet")))</f>
        <v>Falta de formación</v>
      </c>
      <c r="U324" s="9" t="str">
        <f>IF(I324="Tengo un emprendimiento o quiero iniciar uno","",IF(MOD(INT((COUNTIF($I$2:I324,I324)-1)/3),2)=0,"Sí","No"))</f>
        <v>No</v>
      </c>
      <c r="V324" s="9" t="str">
        <f>IF(I324="Tengo un emprendimiento o quiero iniciar uno",CHOOSE(MOD(COUNTIF($I$2:I324,I324)-1,3)+1,"Tengo un emprendimiento","Estoy iniciando un emprendimiento","Me interesa emprender"),"")</f>
        <v/>
      </c>
      <c r="W324" t="str">
        <f t="shared" si="95"/>
        <v/>
      </c>
      <c r="X324" s="9" t="str">
        <f>IF(I324="Tengo un emprendimiento o quiero iniciar uno",CHOOSE(MOD(COUNTIF($I$2:I324,I324)-1,5)+1,"Falta de financiación","Falta de conocimientos administrativos","Falta de conocimientos financieros","Falta de tiempo","Falta de herramientas"),"")</f>
        <v/>
      </c>
      <c r="Y324" s="9" t="str">
        <f t="shared" si="96"/>
        <v/>
      </c>
      <c r="Z324" t="str">
        <f>IF(I324="Tengo un emprendimiento o quiero iniciar uno",CHOOSE(INT(MOD((COUNTIF($I$2:I324,I324)-1)*7,39)/13)+1,"Sí","No","No conozco programas de ese tipo"),"")</f>
        <v/>
      </c>
      <c r="AA324" t="str">
        <f t="shared" si="97"/>
        <v>Puedo hacerlo con ayuda</v>
      </c>
      <c r="AB324" t="str">
        <f t="shared" si="97"/>
        <v>Puedo hacerlo con ayuda</v>
      </c>
      <c r="AC324" t="str">
        <f t="shared" si="98"/>
        <v>Puedo hacerlo con dificultad</v>
      </c>
      <c r="AD324" s="9" t="str">
        <f t="shared" si="99"/>
        <v>No puedo hacerlo</v>
      </c>
      <c r="AE324" t="str">
        <f t="shared" si="100"/>
        <v>Puedo hacerlo con ayuda</v>
      </c>
      <c r="AF324" s="9" t="str">
        <f t="shared" si="101"/>
        <v>Herramientas digitales</v>
      </c>
      <c r="AG324" s="9" t="str">
        <f t="shared" si="102"/>
        <v>Horarios</v>
      </c>
      <c r="AH324" t="str">
        <f t="shared" si="103"/>
        <v>No conozco ninguno</v>
      </c>
      <c r="AI324" s="9" t="str">
        <f t="shared" si="104"/>
        <v>Presencial y virtual</v>
      </c>
      <c r="AJ324" s="9" t="str">
        <f t="shared" si="105"/>
        <v>Fines de semana</v>
      </c>
      <c r="AK324" s="9" t="str">
        <f t="shared" si="106"/>
        <v>Celular</v>
      </c>
    </row>
    <row r="325" spans="1:37">
      <c r="A325" t="str">
        <f t="shared" si="107"/>
        <v>SG324</v>
      </c>
      <c r="B325" s="9" t="s">
        <v>419</v>
      </c>
      <c r="C325" s="9" t="s">
        <v>427</v>
      </c>
      <c r="D325" t="str">
        <f t="shared" si="90"/>
        <v>Masculino</v>
      </c>
      <c r="E325" t="str">
        <f t="shared" si="91"/>
        <v>De 24 a 26 años</v>
      </c>
      <c r="F325">
        <f t="shared" si="92"/>
        <v>24</v>
      </c>
      <c r="G325" s="9" t="s">
        <v>430</v>
      </c>
      <c r="H325" s="9" t="str">
        <f t="shared" si="93"/>
        <v>Profesional</v>
      </c>
      <c r="I325" s="9" t="str">
        <f t="shared" si="94"/>
        <v>Actualmente no trabajo y estoy buscando empleo</v>
      </c>
      <c r="J325" s="13" t="str">
        <f>IF(I325="Trabajo actualmente como empleado",IF(MOD((COUNTIF($I$2:I325,"Trabajo actualmente como empleado")-1)*37,150)&lt;100,"Empleado con contrato","Empleado sin contrato formal"),IF(I325="Trabajo de manera independiente","Trabajo independiente",""))</f>
        <v/>
      </c>
      <c r="K325" s="9" t="str">
        <f>IF(OR(I325="Trabajo actualmente como empleado",I325="Trabajo de manera independiente"),CHOOSE(MOD(COUNTIF($I$2:I325,I325)-1,4)+1,"Menos de 3 meses","De 3 a 6 meses","De 7 a 12 meses","Más de un año"),"")</f>
        <v/>
      </c>
      <c r="L325" t="str">
        <f>IF(OR(I325="Trabajo actualmente como empleado",I325="Trabajo de manera independiente"),CHOOSE(MOD(COUNTIF($I$2:I325,I325)-1,3)+1,"Sí, completamente","Parcialmente","No"),"")</f>
        <v/>
      </c>
      <c r="M325" t="str">
        <f>IF(OR(I325="Trabajo actualmente como empleado",I325="Trabajo de manera independiente"),CHOOSE(MOD(INT((COUNTIF($I$2:I325,I325)-1)/3),4)+1,"1- Muy satisfecho/a","2- Satisfecho/a","3- Insatisfecho/a","4- Muy insatisfecho/a"),"")</f>
        <v/>
      </c>
      <c r="N325" t="str">
        <f>IF(OR(I325="Trabajo actualmente como empleado",I325="Trabajo de manera independiente"),_xlfn.LET(_xlpm.opcion,MOD(INT((COUNTIF($I$2:I325,I325)-1)/5),6)+1,CHOOSE(IF(AND(_xlpm.opcion=6,L325="Sí, completamente"),5,_xlpm.opcion),"Salario","Estabilidad laboral","Horario","Acceso a prestaciones","Oportunidades de crecimiento","Trabajar en un área relacionada con mi formación")),"")</f>
        <v/>
      </c>
      <c r="O325" s="9" t="str">
        <f>IF(OR(I325="Trabajo actualmente como empleado",I325="Trabajo de manera independiente"),_xlfn.LET(_xlpm.turno,MOD(COUNTIF($I$2:I325,I325)-1,5),_xlpm.nivel,VALUE(LEFT(M325,1)),IF(_xlpm.turno=4,"No estoy seguro/a",IF(_xlpm.turno&lt;IF(_xlpm.nivel&lt;=2,1,3),"Sí","No"))),"")</f>
        <v/>
      </c>
      <c r="P325" s="9" t="str">
        <f>_xlfn.LET(_xlpm.perfil,I325,_xlpm.turno,COUNTIF($I$2:I325,_xlpm.perfil)-1,_xlpm.busca,OR(_xlpm.perfil="Actualmente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trabajar"),IF(AND(_xlpm.trabaja,O325="No"),"Todavía no he iniciado una búsqueda activa",CHOOSE(MOD(_xlpm.turno*3,5)+1,"Menos de 1 mes","Entre 1 y 3 meses","Entre 4 y 6 meses","Más de 6 meses","Todavía no he iniciado una búsqueda activa")),"")))</f>
        <v>Entre 1 y 3 meses</v>
      </c>
      <c r="Q325" t="str">
        <f>IF(I325="Tengo un emprendimiento o quiero iniciar uno","",CHOOSE(MOD(INT((COUNTIF($I$2:I325,I325)-1)/7),3)+1,"Sí","No","Tengo una pero necesito actualizarla"))</f>
        <v>Tengo una pero necesito actualizarla</v>
      </c>
      <c r="R325" s="9" t="str">
        <f>IF(I325="Tengo un emprendimiento o quiero iniciar uno","",IF(I325="Busco mi primer empleo","No",IF(MOD(COUNTIF($I$2:I325,I325)-1,2)=0,"Sí","No")))</f>
        <v>No</v>
      </c>
      <c r="S325" t="str">
        <f>IF(I325="Tengo un emprendimiento o quiero iniciar uno","",CHOOSE(MOD(INT((COUNTIF($I$2:I325,I325)-1)/3),10)+1,"Portales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25" t="str">
        <f>IF(I325="Tengo un emprendimiento o quiero iniciar uno","",_xlfn.LET(_xlpm.opcion,MOD(INT((COUNTIF($I$2:I325,I325)-1)/4),6)+1,CHOOSE(IF(AND(_xlpm.opcion=3,Q325="Sí"),1,_xlpm.opcion),"Falta de experiencia","Falta de formación","Dificultades con la hoja de vida","Horarios disponibles","Transporte","Internet")))</f>
        <v>Dificultades con la hoja de vida</v>
      </c>
      <c r="U325" s="9" t="str">
        <f>IF(I325="Tengo un emprendimiento o quiero iniciar uno","",IF(MOD(INT((COUNTIF($I$2:I325,I325)-1)/3),2)=0,"Sí","No"))</f>
        <v>No</v>
      </c>
      <c r="V325" s="9" t="str">
        <f>IF(I325="Tengo un emprendimiento o quiero iniciar uno",CHOOSE(MOD(COUNTIF($I$2:I325,I325)-1,3)+1,"Tengo un emprendimiento","Estoy iniciando un emprendimiento","Me interesa emprender"),"")</f>
        <v/>
      </c>
      <c r="W325" t="str">
        <f t="shared" si="95"/>
        <v/>
      </c>
      <c r="X325" s="9" t="str">
        <f>IF(I325="Tengo un emprendimiento o quiero iniciar uno",CHOOSE(MOD(COUNTIF($I$2:I325,I325)-1,5)+1,"Falta de financiación","Falta de conocimientos administrativos","Falta de conocimientos financieros","Falta de tiempo","Falta de herramientas"),"")</f>
        <v/>
      </c>
      <c r="Y325" s="9" t="str">
        <f t="shared" si="96"/>
        <v/>
      </c>
      <c r="Z325" t="str">
        <f>IF(I325="Tengo un emprendimiento o quiero iniciar uno",CHOOSE(INT(MOD((COUNTIF($I$2:I325,I325)-1)*7,39)/13)+1,"Sí","No","No conozco programas de ese tipo"),"")</f>
        <v/>
      </c>
      <c r="AA325" t="str">
        <f t="shared" si="97"/>
        <v>Puedo hacerlo sin ayuda</v>
      </c>
      <c r="AB325" t="str">
        <f t="shared" si="97"/>
        <v>Puedo hacerlo sin ayuda</v>
      </c>
      <c r="AC325" t="str">
        <f t="shared" si="98"/>
        <v>No puedo hacerlo</v>
      </c>
      <c r="AD325" s="9" t="str">
        <f t="shared" si="99"/>
        <v>Puedo hacerlo con ayuda</v>
      </c>
      <c r="AE325" t="str">
        <f t="shared" si="100"/>
        <v>Puedo hacerlo con dificultad</v>
      </c>
      <c r="AF325" s="9" t="str">
        <f t="shared" si="101"/>
        <v>Educación financiera</v>
      </c>
      <c r="AG325" s="9" t="str">
        <f t="shared" si="102"/>
        <v>Horarios</v>
      </c>
      <c r="AH325" t="str">
        <f t="shared" si="103"/>
        <v>Ferias de empleo</v>
      </c>
      <c r="AI325" s="9" t="str">
        <f t="shared" si="104"/>
        <v>Me es indiferente</v>
      </c>
      <c r="AJ325" s="9" t="str">
        <f t="shared" si="105"/>
        <v>Diurno</v>
      </c>
      <c r="AK325" s="9" t="str">
        <f t="shared" si="106"/>
        <v>Correo electrónico</v>
      </c>
    </row>
    <row r="326" spans="1:37">
      <c r="A326" t="str">
        <f t="shared" si="107"/>
        <v>SG325</v>
      </c>
      <c r="B326" s="9" t="s">
        <v>419</v>
      </c>
      <c r="C326" s="9" t="s">
        <v>427</v>
      </c>
      <c r="D326" t="str">
        <f t="shared" si="90"/>
        <v>Femenino</v>
      </c>
      <c r="E326" t="str">
        <f t="shared" si="91"/>
        <v>De 26 a 28 años</v>
      </c>
      <c r="F326">
        <f t="shared" si="92"/>
        <v>27</v>
      </c>
      <c r="G326" s="9" t="s">
        <v>430</v>
      </c>
      <c r="H326" s="9" t="str">
        <f t="shared" si="93"/>
        <v>Posgrado</v>
      </c>
      <c r="I326" s="9" t="str">
        <f t="shared" si="94"/>
        <v>Trabajo actualmente como empleado</v>
      </c>
      <c r="J326" s="13" t="str">
        <f>IF(I326="Trabajo actualmente como empleado",IF(MOD((COUNTIF($I$2:I326,"Trabajo actualmente como empleado")-1)*37,150)&lt;100,"Empleado con contrato","Empleado sin contrato formal"),IF(I326="Trabajo de manera independiente","Trabajo independiente",""))</f>
        <v>Empleado con contrato</v>
      </c>
      <c r="K326" s="9" t="str">
        <f>IF(OR(I326="Trabajo actualmente como empleado",I326="Trabajo de manera independiente"),CHOOSE(MOD(COUNTIF($I$2:I326,I326)-1,4)+1,"Menos de 3 meses","De 3 a 6 meses","De 7 a 12 meses","Más de un año"),"")</f>
        <v>De 7 a 12 meses</v>
      </c>
      <c r="L326" t="str">
        <f>IF(OR(I326="Trabajo actualmente como empleado",I326="Trabajo de manera independiente"),CHOOSE(MOD(COUNTIF($I$2:I326,I326)-1,3)+1,"Sí, completamente","Parcialmente","No"),"")</f>
        <v>Sí, completamente</v>
      </c>
      <c r="M326" t="str">
        <f>IF(OR(I326="Trabajo actualmente como empleado",I326="Trabajo de manera independiente"),CHOOSE(MOD(INT((COUNTIF($I$2:I326,I326)-1)/3),4)+1,"1- Muy satisfecho/a","2- Satisfecho/a","3- Insatisfecho/a","4- Muy insatisfecho/a"),"")</f>
        <v>3- Insatisfecho/a</v>
      </c>
      <c r="N326" t="str">
        <f>IF(OR(I326="Trabajo actualmente como empleado",I326="Trabajo de manera independiente"),_xlfn.LET(_xlpm.opcion,MOD(INT((COUNTIF($I$2:I326,I326)-1)/5),6)+1,CHOOSE(IF(AND(_xlpm.opcion=6,L326="Sí, completamente"),5,_xlpm.opcion),"Salario","Estabilidad laboral","Horario","Acceso a prestaciones","Oportunidades de crecimiento","Trabajar en un área relacionada con mi formación")),"")</f>
        <v>Horario</v>
      </c>
      <c r="O326" s="9" t="str">
        <f>IF(OR(I326="Trabajo actualmente como empleado",I326="Trabajo de manera independiente"),_xlfn.LET(_xlpm.turno,MOD(COUNTIF($I$2:I326,I326)-1,5),_xlpm.nivel,VALUE(LEFT(M326,1)),IF(_xlpm.turno=4,"No estoy seguro/a",IF(_xlpm.turno&lt;IF(_xlpm.nivel&lt;=2,1,3),"Sí","No"))),"")</f>
        <v>Sí</v>
      </c>
      <c r="P326" s="9" t="str">
        <f>_xlfn.LET(_xlpm.perfil,I326,_xlpm.turno,COUNTIF($I$2:I326,_xlpm.perfil)-1,_xlpm.busca,OR(_xlpm.perfil="Actualmente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trabajar"),IF(AND(_xlpm.trabaja,O326="No"),"Todavía no he iniciado una búsqueda activa",CHOOSE(MOD(_xlpm.turno*3,5)+1,"Menos de 1 mes","Entre 1 y 3 meses","Entre 4 y 6 meses","Más de 6 meses","Todavía no he iniciado una búsqueda activa")),"")))</f>
        <v>Entre 1 y 3 meses</v>
      </c>
      <c r="Q326" t="str">
        <f>IF(I326="Tengo un emprendimiento o quiero iniciar uno","",CHOOSE(MOD(INT((COUNTIF($I$2:I326,I326)-1)/7),3)+1,"Sí","No","Tengo una pero necesito actualizarla"))</f>
        <v>Tengo una pero necesito actualizarla</v>
      </c>
      <c r="R326" s="9" t="str">
        <f>IF(I326="Tengo un emprendimiento o quiero iniciar uno","",IF(I326="Busco mi primer empleo","No",IF(MOD(COUNTIF($I$2:I326,I326)-1,2)=0,"Sí","No")))</f>
        <v>Sí</v>
      </c>
      <c r="S326" t="str">
        <f>IF(I326="Tengo un emprendimiento o quiero iniciar uno","",CHOOSE(MOD(INT((COUNTIF($I$2:I326,I326)-1)/3),10)+1,"Portales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26" t="str">
        <f>IF(I326="Tengo un emprendimiento o quiero iniciar uno","",_xlfn.LET(_xlpm.opcion,MOD(INT((COUNTIF($I$2:I326,I326)-1)/4),6)+1,CHOOSE(IF(AND(_xlpm.opcion=3,Q326="Sí"),1,_xlpm.opcion),"Falta de experiencia","Falta de formación","Dificultades con la hoja de vida","Horarios disponibles","Transporte","Internet")))</f>
        <v>Falta de formación</v>
      </c>
      <c r="U326" s="9" t="str">
        <f>IF(I326="Tengo un emprendimiento o quiero iniciar uno","",IF(MOD(INT((COUNTIF($I$2:I326,I326)-1)/3),2)=0,"Sí","No"))</f>
        <v>Sí</v>
      </c>
      <c r="V326" s="9" t="str">
        <f>IF(I326="Tengo un emprendimiento o quiero iniciar uno",CHOOSE(MOD(COUNTIF($I$2:I326,I326)-1,3)+1,"Tengo un emprendimiento","Estoy iniciando un emprendimiento","Me interesa emprender"),"")</f>
        <v/>
      </c>
      <c r="W326" t="str">
        <f t="shared" si="95"/>
        <v/>
      </c>
      <c r="X326" s="9" t="str">
        <f>IF(I326="Tengo un emprendimiento o quiero iniciar uno",CHOOSE(MOD(COUNTIF($I$2:I326,I326)-1,5)+1,"Falta de financiación","Falta de conocimientos administrativos","Falta de conocimientos financieros","Falta de tiempo","Falta de herramientas"),"")</f>
        <v/>
      </c>
      <c r="Y326" s="9" t="str">
        <f t="shared" si="96"/>
        <v/>
      </c>
      <c r="Z326" t="str">
        <f>IF(I326="Tengo un emprendimiento o quiero iniciar uno",CHOOSE(INT(MOD((COUNTIF($I$2:I326,I326)-1)*7,39)/13)+1,"Sí","No","No conozco programas de ese tipo"),"")</f>
        <v/>
      </c>
      <c r="AA326" t="str">
        <f t="shared" si="97"/>
        <v>No puedo hacerlo</v>
      </c>
      <c r="AB326" t="str">
        <f t="shared" si="97"/>
        <v>No puedo hacerlo</v>
      </c>
      <c r="AC326" t="str">
        <f t="shared" si="98"/>
        <v>Puedo hacerlo con ayuda</v>
      </c>
      <c r="AD326" s="9" t="str">
        <f t="shared" si="99"/>
        <v>Puedo hacerlo con ayuda</v>
      </c>
      <c r="AE326" t="str">
        <f t="shared" si="100"/>
        <v>Puedo hacerlo sin ayuda</v>
      </c>
      <c r="AF326" s="9" t="str">
        <f t="shared" si="101"/>
        <v>Crear una hoja de vida;Preparación para entrevista</v>
      </c>
      <c r="AG326" s="9" t="str">
        <f t="shared" si="102"/>
        <v>Costos de transporte</v>
      </c>
      <c r="AH326" t="str">
        <f t="shared" si="103"/>
        <v>Programas de emprendimiento</v>
      </c>
      <c r="AI326" s="9" t="str">
        <f t="shared" si="104"/>
        <v>Presencial</v>
      </c>
      <c r="AJ326" s="9" t="str">
        <f t="shared" si="105"/>
        <v>Nocturno</v>
      </c>
      <c r="AK326" s="9" t="str">
        <f t="shared" si="106"/>
        <v>Redes sociales</v>
      </c>
    </row>
    <row r="327" spans="1:37">
      <c r="A327" t="str">
        <f t="shared" si="107"/>
        <v>SG326</v>
      </c>
      <c r="B327" s="9" t="s">
        <v>419</v>
      </c>
      <c r="C327" s="9" t="s">
        <v>427</v>
      </c>
      <c r="D327" t="str">
        <f t="shared" si="90"/>
        <v>Femenino</v>
      </c>
      <c r="E327" t="str">
        <f t="shared" si="91"/>
        <v>De 18 a 20 años</v>
      </c>
      <c r="F327">
        <f t="shared" si="92"/>
        <v>19</v>
      </c>
      <c r="G327" s="9" t="s">
        <v>430</v>
      </c>
      <c r="H327" s="9" t="str">
        <f t="shared" si="93"/>
        <v>Bachiller</v>
      </c>
      <c r="I327" s="9" t="str">
        <f t="shared" si="94"/>
        <v>Trabajo de manera independiente</v>
      </c>
      <c r="J327" s="13" t="str">
        <f>IF(I327="Trabajo actualmente como empleado",IF(MOD((COUNTIF($I$2:I327,"Trabajo actualmente como empleado")-1)*37,150)&lt;100,"Empleado con contrato","Empleado sin contrato formal"),IF(I327="Trabajo de manera independiente","Trabajo independiente",""))</f>
        <v>Trabajo independiente</v>
      </c>
      <c r="K327" s="9" t="str">
        <f>IF(OR(I327="Trabajo actualmente como empleado",I327="Trabajo de manera independiente"),CHOOSE(MOD(COUNTIF($I$2:I327,I327)-1,4)+1,"Menos de 3 meses","De 3 a 6 meses","De 7 a 12 meses","Más de un año"),"")</f>
        <v>De 7 a 12 meses</v>
      </c>
      <c r="L327" t="str">
        <f>IF(OR(I327="Trabajo actualmente como empleado",I327="Trabajo de manera independiente"),CHOOSE(MOD(COUNTIF($I$2:I327,I327)-1,3)+1,"Sí, completamente","Parcialmente","No"),"")</f>
        <v>Sí, completamente</v>
      </c>
      <c r="M327" t="str">
        <f>IF(OR(I327="Trabajo actualmente como empleado",I327="Trabajo de manera independiente"),CHOOSE(MOD(INT((COUNTIF($I$2:I327,I327)-1)/3),4)+1,"1- Muy satisfecho/a","2- Satisfecho/a","3- Insatisfecho/a","4- Muy insatisfecho/a"),"")</f>
        <v>3- Insatisfecho/a</v>
      </c>
      <c r="N327" t="str">
        <f>IF(OR(I327="Trabajo actualmente como empleado",I327="Trabajo de manera independiente"),_xlfn.LET(_xlpm.opcion,MOD(INT((COUNTIF($I$2:I327,I327)-1)/5),6)+1,CHOOSE(IF(AND(_xlpm.opcion=6,L327="Sí, completamente"),5,_xlpm.opcion),"Salario","Estabilidad laboral","Horario","Acceso a prestaciones","Oportunidades de crecimiento","Trabajar en un área relacionada con mi formación")),"")</f>
        <v>Oportunidades de crecimiento</v>
      </c>
      <c r="O327" s="9" t="str">
        <f>IF(OR(I327="Trabajo actualmente como empleado",I327="Trabajo de manera independiente"),_xlfn.LET(_xlpm.turno,MOD(COUNTIF($I$2:I327,I327)-1,5),_xlpm.nivel,VALUE(LEFT(M327,1)),IF(_xlpm.turno=4,"No estoy seguro/a",IF(_xlpm.turno&lt;IF(_xlpm.nivel&lt;=2,1,3),"Sí","No"))),"")</f>
        <v>No estoy seguro/a</v>
      </c>
      <c r="P327" s="9" t="str">
        <f>_xlfn.LET(_xlpm.perfil,I327,_xlpm.turno,COUNTIF($I$2:I327,_xlpm.perfil)-1,_xlpm.busca,OR(_xlpm.perfil="Actualmente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trabajar"),IF(AND(_xlpm.trabaja,O327="No"),"Todavía no he iniciado una búsqueda activa",CHOOSE(MOD(_xlpm.turno*3,5)+1,"Menos de 1 mes","Entre 1 y 3 meses","Entre 4 y 6 meses","Más de 6 meses","Todavía no he iniciado una búsqueda activa")),"")))</f>
        <v>Entre 4 y 6 meses</v>
      </c>
      <c r="Q327" t="str">
        <f>IF(I327="Tengo un emprendimiento o quiero iniciar uno","",CHOOSE(MOD(INT((COUNTIF($I$2:I327,I327)-1)/7),3)+1,"Sí","No","Tengo una pero necesito actualizarla"))</f>
        <v>No</v>
      </c>
      <c r="R327" s="9" t="str">
        <f>IF(I327="Tengo un emprendimiento o quiero iniciar uno","",IF(I327="Busco mi primer empleo","No",IF(MOD(COUNTIF($I$2:I327,I327)-1,2)=0,"Sí","No")))</f>
        <v>Sí</v>
      </c>
      <c r="S327" t="str">
        <f>IF(I327="Tengo un emprendimiento o quiero iniciar uno","",CHOOSE(MOD(INT((COUNTIF($I$2:I327,I327)-1)/3),10)+1,"Portales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27" t="str">
        <f>IF(I327="Tengo un emprendimiento o quiero iniciar uno","",_xlfn.LET(_xlpm.opcion,MOD(INT((COUNTIF($I$2:I327,I327)-1)/4),6)+1,CHOOSE(IF(AND(_xlpm.opcion=3,Q327="Sí"),1,_xlpm.opcion),"Falta de experiencia","Falta de formación","Dificultades con la hoja de vida","Horarios disponibles","Transporte","Internet")))</f>
        <v>Falta de formación</v>
      </c>
      <c r="U327" s="9" t="str">
        <f>IF(I327="Tengo un emprendimiento o quiero iniciar uno","",IF(MOD(INT((COUNTIF($I$2:I327,I327)-1)/3),2)=0,"Sí","No"))</f>
        <v>Sí</v>
      </c>
      <c r="V327" s="9" t="str">
        <f>IF(I327="Tengo un emprendimiento o quiero iniciar uno",CHOOSE(MOD(COUNTIF($I$2:I327,I327)-1,3)+1,"Tengo un emprendimiento","Estoy iniciando un emprendimiento","Me interesa emprender"),"")</f>
        <v/>
      </c>
      <c r="W327" t="str">
        <f t="shared" si="95"/>
        <v/>
      </c>
      <c r="X327" s="9" t="str">
        <f>IF(I327="Tengo un emprendimiento o quiero iniciar uno",CHOOSE(MOD(COUNTIF($I$2:I327,I327)-1,5)+1,"Falta de financiación","Falta de conocimientos administrativos","Falta de conocimientos financieros","Falta de tiempo","Falta de herramientas"),"")</f>
        <v/>
      </c>
      <c r="Y327" s="9" t="str">
        <f t="shared" si="96"/>
        <v/>
      </c>
      <c r="Z327" t="str">
        <f>IF(I327="Tengo un emprendimiento o quiero iniciar uno",CHOOSE(INT(MOD((COUNTIF($I$2:I327,I327)-1)*7,39)/13)+1,"Sí","No","No conozco programas de ese tipo"),"")</f>
        <v/>
      </c>
      <c r="AA327" t="str">
        <f t="shared" si="97"/>
        <v>Puedo hacerlo con dificultad</v>
      </c>
      <c r="AB327" t="str">
        <f t="shared" si="97"/>
        <v>Puedo hacerlo con dificultad</v>
      </c>
      <c r="AC327" t="str">
        <f t="shared" si="98"/>
        <v>Puedo hacerlo con dificultad</v>
      </c>
      <c r="AD327" s="9" t="str">
        <f t="shared" si="99"/>
        <v>Puedo hacerlo con dificultad</v>
      </c>
      <c r="AE327" t="str">
        <f t="shared" si="100"/>
        <v>Puedo hacerlo sin ayuda</v>
      </c>
      <c r="AF327" s="9" t="str">
        <f t="shared" si="101"/>
        <v>Comunicación;Liderazgo</v>
      </c>
      <c r="AG327" s="9" t="str">
        <f t="shared" si="102"/>
        <v>Costos de transporte</v>
      </c>
      <c r="AH327" t="str">
        <f t="shared" si="103"/>
        <v>Oficina de orientación laboral</v>
      </c>
      <c r="AI327" s="9" t="str">
        <f t="shared" si="104"/>
        <v>Virtual</v>
      </c>
      <c r="AJ327" s="9" t="str">
        <f t="shared" si="105"/>
        <v>Fines de semana</v>
      </c>
      <c r="AK327" s="9" t="str">
        <f t="shared" si="106"/>
        <v>WhatsApp</v>
      </c>
    </row>
    <row r="328" spans="1:37">
      <c r="A328" t="str">
        <f t="shared" si="107"/>
        <v>SG327</v>
      </c>
      <c r="B328" s="9" t="s">
        <v>419</v>
      </c>
      <c r="C328" s="9" t="s">
        <v>427</v>
      </c>
      <c r="D328" t="str">
        <f t="shared" si="90"/>
        <v>Masculino</v>
      </c>
      <c r="E328" t="str">
        <f t="shared" si="91"/>
        <v>De 20 a 22 años</v>
      </c>
      <c r="F328">
        <f t="shared" si="92"/>
        <v>21</v>
      </c>
      <c r="G328" s="9" t="s">
        <v>430</v>
      </c>
      <c r="H328" s="9" t="str">
        <f t="shared" si="93"/>
        <v>Bachiller</v>
      </c>
      <c r="I328" s="9" t="str">
        <f t="shared" si="94"/>
        <v>Busco mi primer empleo</v>
      </c>
      <c r="J328" s="13" t="str">
        <f>IF(I328="Trabajo actualmente como empleado",IF(MOD((COUNTIF($I$2:I328,"Trabajo actualmente como empleado")-1)*37,150)&lt;100,"Empleado con contrato","Empleado sin contrato formal"),IF(I328="Trabajo de manera independiente","Trabajo independiente",""))</f>
        <v/>
      </c>
      <c r="K328" s="9" t="str">
        <f>IF(OR(I328="Trabajo actualmente como empleado",I328="Trabajo de manera independiente"),CHOOSE(MOD(COUNTIF($I$2:I328,I328)-1,4)+1,"Menos de 3 meses","De 3 a 6 meses","De 7 a 12 meses","Más de un año"),"")</f>
        <v/>
      </c>
      <c r="L328" t="str">
        <f>IF(OR(I328="Trabajo actualmente como empleado",I328="Trabajo de manera independiente"),CHOOSE(MOD(COUNTIF($I$2:I328,I328)-1,3)+1,"Sí, completamente","Parcialmente","No"),"")</f>
        <v/>
      </c>
      <c r="M328" t="str">
        <f>IF(OR(I328="Trabajo actualmente como empleado",I328="Trabajo de manera independiente"),CHOOSE(MOD(INT((COUNTIF($I$2:I328,I328)-1)/3),4)+1,"1- Muy satisfecho/a","2- Satisfecho/a","3- Insatisfecho/a","4- Muy insatisfecho/a"),"")</f>
        <v/>
      </c>
      <c r="N328" t="str">
        <f>IF(OR(I328="Trabajo actualmente como empleado",I328="Trabajo de manera independiente"),_xlfn.LET(_xlpm.opcion,MOD(INT((COUNTIF($I$2:I328,I328)-1)/5),6)+1,CHOOSE(IF(AND(_xlpm.opcion=6,L328="Sí, completamente"),5,_xlpm.opcion),"Salario","Estabilidad laboral","Horario","Acceso a prestaciones","Oportunidades de crecimiento","Trabajar en un área relacionada con mi formación")),"")</f>
        <v/>
      </c>
      <c r="O328" s="9" t="str">
        <f>IF(OR(I328="Trabajo actualmente como empleado",I328="Trabajo de manera independiente"),_xlfn.LET(_xlpm.turno,MOD(COUNTIF($I$2:I328,I328)-1,5),_xlpm.nivel,VALUE(LEFT(M328,1)),IF(_xlpm.turno=4,"No estoy seguro/a",IF(_xlpm.turno&lt;IF(_xlpm.nivel&lt;=2,1,3),"Sí","No"))),"")</f>
        <v/>
      </c>
      <c r="P328" s="9" t="str">
        <f>_xlfn.LET(_xlpm.perfil,I328,_xlpm.turno,COUNTIF($I$2:I328,_xlpm.perfil)-1,_xlpm.busca,OR(_xlpm.perfil="Actualmente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trabajar"),IF(AND(_xlpm.trabaja,O328="No"),"Todavía no he iniciado una búsqueda activa",CHOOSE(MOD(_xlpm.turno*3,5)+1,"Menos de 1 mes","Entre 1 y 3 meses","Entre 4 y 6 meses","Más de 6 meses","Todavía no he iniciado una búsqueda activa")),"")))</f>
        <v>Entre 1 y 3 meses</v>
      </c>
      <c r="Q328" t="str">
        <f>IF(I328="Tengo un emprendimiento o quiero iniciar uno","",CHOOSE(MOD(INT((COUNTIF($I$2:I328,I328)-1)/7),3)+1,"Sí","No","Tengo una pero necesito actualizarla"))</f>
        <v>Sí</v>
      </c>
      <c r="R328" s="9" t="str">
        <f>IF(I328="Tengo un emprendimiento o quiero iniciar uno","",IF(I328="Busco mi primer empleo","No",IF(MOD(COUNTIF($I$2:I328,I328)-1,2)=0,"Sí","No")))</f>
        <v>No</v>
      </c>
      <c r="S328" t="str">
        <f>IF(I328="Tengo un emprendimiento o quiero iniciar uno","",CHOOSE(MOD(INT((COUNTIF($I$2:I328,I328)-1)/3),10)+1,"Portales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28" t="str">
        <f>IF(I328="Tengo un emprendimiento o quiero iniciar uno","",_xlfn.LET(_xlpm.opcion,MOD(INT((COUNTIF($I$2:I328,I328)-1)/4),6)+1,CHOOSE(IF(AND(_xlpm.opcion=3,Q328="Sí"),1,_xlpm.opcion),"Falta de experiencia","Falta de formación","Dificultades con la hoja de vida","Horarios disponibles","Transporte","Internet")))</f>
        <v>Transporte</v>
      </c>
      <c r="U328" s="9" t="str">
        <f>IF(I328="Tengo un emprendimiento o quiero iniciar uno","",IF(MOD(INT((COUNTIF($I$2:I328,I328)-1)/3),2)=0,"Sí","No"))</f>
        <v>Sí</v>
      </c>
      <c r="V328" s="9" t="str">
        <f>IF(I328="Tengo un emprendimiento o quiero iniciar uno",CHOOSE(MOD(COUNTIF($I$2:I328,I328)-1,3)+1,"Tengo un emprendimiento","Estoy iniciando un emprendimiento","Me interesa emprender"),"")</f>
        <v/>
      </c>
      <c r="W328" t="str">
        <f t="shared" si="95"/>
        <v/>
      </c>
      <c r="X328" s="9" t="str">
        <f>IF(I328="Tengo un emprendimiento o quiero iniciar uno",CHOOSE(MOD(COUNTIF($I$2:I328,I328)-1,5)+1,"Falta de financiación","Falta de conocimientos administrativos","Falta de conocimientos financieros","Falta de tiempo","Falta de herramientas"),"")</f>
        <v/>
      </c>
      <c r="Y328" s="9" t="str">
        <f t="shared" si="96"/>
        <v/>
      </c>
      <c r="Z328" t="str">
        <f>IF(I328="Tengo un emprendimiento o quiero iniciar uno",CHOOSE(INT(MOD((COUNTIF($I$2:I328,I328)-1)*7,39)/13)+1,"Sí","No","No conozco programas de ese tipo"),"")</f>
        <v/>
      </c>
      <c r="AA328" t="str">
        <f t="shared" si="97"/>
        <v>Puedo hacerlo sin ayuda</v>
      </c>
      <c r="AB328" t="str">
        <f t="shared" si="97"/>
        <v>Puedo hacerlo sin ayuda</v>
      </c>
      <c r="AC328" t="str">
        <f t="shared" si="98"/>
        <v>No puedo hacerlo</v>
      </c>
      <c r="AD328" s="9" t="str">
        <f t="shared" si="99"/>
        <v>Puedo hacerlo sin ayuda</v>
      </c>
      <c r="AE328" t="str">
        <f t="shared" si="100"/>
        <v>No puedo hacerlo</v>
      </c>
      <c r="AF328" s="9" t="str">
        <f t="shared" si="101"/>
        <v>Herramientas digitales;Educación financiera</v>
      </c>
      <c r="AG328" s="9" t="str">
        <f t="shared" si="102"/>
        <v>Costos de transporte</v>
      </c>
      <c r="AH328" t="str">
        <f t="shared" si="103"/>
        <v>Programas de emprendimiento</v>
      </c>
      <c r="AI328" s="9" t="str">
        <f t="shared" si="104"/>
        <v>Presencial y virtual</v>
      </c>
      <c r="AJ328" s="9" t="str">
        <f t="shared" si="105"/>
        <v>Diurno</v>
      </c>
      <c r="AK328" s="9" t="str">
        <f t="shared" si="106"/>
        <v>Correo electrónico</v>
      </c>
    </row>
    <row r="329" spans="1:37">
      <c r="A329" t="str">
        <f t="shared" si="107"/>
        <v>SG328</v>
      </c>
      <c r="B329" s="9" t="s">
        <v>419</v>
      </c>
      <c r="C329" s="9" t="s">
        <v>427</v>
      </c>
      <c r="D329" t="str">
        <f t="shared" si="90"/>
        <v>Femenino</v>
      </c>
      <c r="E329" t="str">
        <f t="shared" si="91"/>
        <v>De 22 a 24 años</v>
      </c>
      <c r="F329">
        <f t="shared" si="92"/>
        <v>23</v>
      </c>
      <c r="G329" s="9" t="s">
        <v>430</v>
      </c>
      <c r="H329" s="9" t="str">
        <f t="shared" si="93"/>
        <v>Bachiller</v>
      </c>
      <c r="I329" s="9" t="str">
        <f t="shared" si="94"/>
        <v>Trabajo actualmente como empleado</v>
      </c>
      <c r="J329" s="13" t="str">
        <f>IF(I329="Trabajo actualmente como empleado",IF(MOD((COUNTIF($I$2:I329,"Trabajo actualmente como empleado")-1)*37,150)&lt;100,"Empleado con contrato","Empleado sin contrato formal"),IF(I329="Trabajo de manera independiente","Trabajo independiente",""))</f>
        <v>Empleado con contrato</v>
      </c>
      <c r="K329" s="9" t="str">
        <f>IF(OR(I329="Trabajo actualmente como empleado",I329="Trabajo de manera independiente"),CHOOSE(MOD(COUNTIF($I$2:I329,I329)-1,4)+1,"Menos de 3 meses","De 3 a 6 meses","De 7 a 12 meses","Más de un año"),"")</f>
        <v>Más de un año</v>
      </c>
      <c r="L329" t="str">
        <f>IF(OR(I329="Trabajo actualmente como empleado",I329="Trabajo de manera independiente"),CHOOSE(MOD(COUNTIF($I$2:I329,I329)-1,3)+1,"Sí, completamente","Parcialmente","No"),"")</f>
        <v>Parcialmente</v>
      </c>
      <c r="M329" t="str">
        <f>IF(OR(I329="Trabajo actualmente como empleado",I329="Trabajo de manera independiente"),CHOOSE(MOD(INT((COUNTIF($I$2:I329,I329)-1)/3),4)+1,"1- Muy satisfecho/a","2- Satisfecho/a","3- Insatisfecho/a","4- Muy insatisfecho/a"),"")</f>
        <v>3- Insatisfecho/a</v>
      </c>
      <c r="N329" t="str">
        <f>IF(OR(I329="Trabajo actualmente como empleado",I329="Trabajo de manera independiente"),_xlfn.LET(_xlpm.opcion,MOD(INT((COUNTIF($I$2:I329,I329)-1)/5),6)+1,CHOOSE(IF(AND(_xlpm.opcion=6,L329="Sí, completamente"),5,_xlpm.opcion),"Salario","Estabilidad laboral","Horario","Acceso a prestaciones","Oportunidades de crecimiento","Trabajar en un área relacionada con mi formación")),"")</f>
        <v>Horario</v>
      </c>
      <c r="O329" s="9" t="str">
        <f>IF(OR(I329="Trabajo actualmente como empleado",I329="Trabajo de manera independiente"),_xlfn.LET(_xlpm.turno,MOD(COUNTIF($I$2:I329,I329)-1,5),_xlpm.nivel,VALUE(LEFT(M329,1)),IF(_xlpm.turno=4,"No estoy seguro/a",IF(_xlpm.turno&lt;IF(_xlpm.nivel&lt;=2,1,3),"Sí","No"))),"")</f>
        <v>No</v>
      </c>
      <c r="P329" s="9" t="str">
        <f>_xlfn.LET(_xlpm.perfil,I329,_xlpm.turno,COUNTIF($I$2:I329,_xlpm.perfil)-1,_xlpm.busca,OR(_xlpm.perfil="Actualmente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trabajar"),IF(AND(_xlpm.trabaja,O329="No"),"Todavía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29" t="str">
        <f>IF(I329="Tengo un emprendimiento o quiero iniciar uno","",CHOOSE(MOD(INT((COUNTIF($I$2:I329,I329)-1)/7),3)+1,"Sí","No","Tengo una pero necesito actualizarla"))</f>
        <v>Tengo una pero necesito actualizarla</v>
      </c>
      <c r="R329" s="9" t="str">
        <f>IF(I329="Tengo un emprendimiento o quiero iniciar uno","",IF(I329="Busco mi primer empleo","No",IF(MOD(COUNTIF($I$2:I329,I329)-1,2)=0,"Sí","No")))</f>
        <v>No</v>
      </c>
      <c r="S329" t="str">
        <f>IF(I329="Tengo un emprendimiento o quiero iniciar uno","",CHOOSE(MOD(INT((COUNTIF($I$2:I329,I329)-1)/3),10)+1,"Portales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29" t="str">
        <f>IF(I329="Tengo un emprendimiento o quiero iniciar uno","",_xlfn.LET(_xlpm.opcion,MOD(INT((COUNTIF($I$2:I329,I329)-1)/4),6)+1,CHOOSE(IF(AND(_xlpm.opcion=3,Q329="Sí"),1,_xlpm.opcion),"Falta de experiencia","Falta de formación","Dificultades con la hoja de vida","Horarios disponibles","Transporte","Internet")))</f>
        <v>Falta de formación</v>
      </c>
      <c r="U329" s="9" t="str">
        <f>IF(I329="Tengo un emprendimiento o quiero iniciar uno","",IF(MOD(INT((COUNTIF($I$2:I329,I329)-1)/3),2)=0,"Sí","No"))</f>
        <v>Sí</v>
      </c>
      <c r="V329" s="9" t="str">
        <f>IF(I329="Tengo un emprendimiento o quiero iniciar uno",CHOOSE(MOD(COUNTIF($I$2:I329,I329)-1,3)+1,"Tengo un emprendimiento","Estoy iniciando un emprendimiento","Me interesa emprender"),"")</f>
        <v/>
      </c>
      <c r="W329" t="str">
        <f t="shared" si="95"/>
        <v/>
      </c>
      <c r="X329" s="9" t="str">
        <f>IF(I329="Tengo un emprendimiento o quiero iniciar uno",CHOOSE(MOD(COUNTIF($I$2:I329,I329)-1,5)+1,"Falta de financiación","Falta de conocimientos administrativos","Falta de conocimientos financieros","Falta de tiempo","Falta de herramientas"),"")</f>
        <v/>
      </c>
      <c r="Y329" s="9" t="str">
        <f t="shared" si="96"/>
        <v/>
      </c>
      <c r="Z329" t="str">
        <f>IF(I329="Tengo un emprendimiento o quiero iniciar uno",CHOOSE(INT(MOD((COUNTIF($I$2:I329,I329)-1)*7,39)/13)+1,"Sí","No","No conozco programas de ese tipo"),"")</f>
        <v/>
      </c>
      <c r="AA329" t="str">
        <f t="shared" si="97"/>
        <v>Puedo hacerlo con ayuda</v>
      </c>
      <c r="AB329" t="str">
        <f t="shared" si="97"/>
        <v>Puedo hacerlo con ayuda</v>
      </c>
      <c r="AC329" t="str">
        <f t="shared" si="98"/>
        <v>Puedo hacerlo con ayuda</v>
      </c>
      <c r="AD329" s="9" t="str">
        <f t="shared" si="99"/>
        <v>No puedo hacerlo</v>
      </c>
      <c r="AE329" t="str">
        <f t="shared" si="100"/>
        <v>No puedo hacerlo</v>
      </c>
      <c r="AF329" s="9" t="str">
        <f t="shared" si="101"/>
        <v>Crear una hoja de vida</v>
      </c>
      <c r="AG329" s="9" t="str">
        <f t="shared" si="102"/>
        <v>Horarios;Falta de información</v>
      </c>
      <c r="AH329" t="str">
        <f t="shared" si="103"/>
        <v>No conozco ninguno</v>
      </c>
      <c r="AI329" s="9" t="str">
        <f t="shared" si="104"/>
        <v>Me es indiferente</v>
      </c>
      <c r="AJ329" s="9" t="str">
        <f t="shared" si="105"/>
        <v>Nocturno</v>
      </c>
      <c r="AK329" s="9" t="str">
        <f t="shared" si="106"/>
        <v>Celular</v>
      </c>
    </row>
    <row r="330" spans="1:37">
      <c r="A330" t="str">
        <f t="shared" si="107"/>
        <v>SG329</v>
      </c>
      <c r="B330" s="9" t="s">
        <v>419</v>
      </c>
      <c r="C330" s="9" t="s">
        <v>427</v>
      </c>
      <c r="D330" t="str">
        <f t="shared" si="90"/>
        <v>Femenino</v>
      </c>
      <c r="E330" t="str">
        <f t="shared" si="91"/>
        <v>De 24 a 26 años</v>
      </c>
      <c r="F330">
        <f t="shared" si="92"/>
        <v>25</v>
      </c>
      <c r="G330" s="9" t="s">
        <v>430</v>
      </c>
      <c r="H330" s="9" t="str">
        <f t="shared" si="93"/>
        <v>Bachiller</v>
      </c>
      <c r="I330" s="9" t="str">
        <f t="shared" si="94"/>
        <v>Trabajo de manera independiente</v>
      </c>
      <c r="J330" s="13" t="str">
        <f>IF(I330="Trabajo actualmente como empleado",IF(MOD((COUNTIF($I$2:I330,"Trabajo actualmente como empleado")-1)*37,150)&lt;100,"Empleado con contrato","Empleado sin contrato formal"),IF(I330="Trabajo de manera independiente","Trabajo independiente",""))</f>
        <v>Trabajo independiente</v>
      </c>
      <c r="K330" s="9" t="str">
        <f>IF(OR(I330="Trabajo actualmente como empleado",I330="Trabajo de manera independiente"),CHOOSE(MOD(COUNTIF($I$2:I330,I330)-1,4)+1,"Menos de 3 meses","De 3 a 6 meses","De 7 a 12 meses","Más de un año"),"")</f>
        <v>Más de un año</v>
      </c>
      <c r="L330" t="str">
        <f>IF(OR(I330="Trabajo actualmente como empleado",I330="Trabajo de manera independiente"),CHOOSE(MOD(COUNTIF($I$2:I330,I330)-1,3)+1,"Sí, completamente","Parcialmente","No"),"")</f>
        <v>Parcialmente</v>
      </c>
      <c r="M330" t="str">
        <f>IF(OR(I330="Trabajo actualmente como empleado",I330="Trabajo de manera independiente"),CHOOSE(MOD(INT((COUNTIF($I$2:I330,I330)-1)/3),4)+1,"1- Muy satisfecho/a","2- Satisfecho/a","3- Insatisfecho/a","4- Muy insatisfecho/a"),"")</f>
        <v>3- Insatisfecho/a</v>
      </c>
      <c r="N330" t="str">
        <f>IF(OR(I330="Trabajo actualmente como empleado",I330="Trabajo de manera independiente"),_xlfn.LET(_xlpm.opcion,MOD(INT((COUNTIF($I$2:I330,I330)-1)/5),6)+1,CHOOSE(IF(AND(_xlpm.opcion=6,L330="Sí,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30" s="9" t="str">
        <f>IF(OR(I330="Trabajo actualmente como empleado",I330="Trabajo de manera independiente"),_xlfn.LET(_xlpm.turno,MOD(COUNTIF($I$2:I330,I330)-1,5),_xlpm.nivel,VALUE(LEFT(M330,1)),IF(_xlpm.turno=4,"No estoy seguro/a",IF(_xlpm.turno&lt;IF(_xlpm.nivel&lt;=2,1,3),"Sí","No"))),"")</f>
        <v>Sí</v>
      </c>
      <c r="P330" s="9" t="str">
        <f>_xlfn.LET(_xlpm.perfil,I330,_xlpm.turno,COUNTIF($I$2:I330,_xlpm.perfil)-1,_xlpm.busca,OR(_xlpm.perfil="Actualmente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trabajar"),IF(AND(_xlpm.trabaja,O330="No"),"Todavía no he iniciado una búsqueda activa",CHOOSE(MOD(_xlpm.turno*3,5)+1,"Menos de 1 mes","Entre 1 y 3 meses","Entre 4 y 6 meses","Más de 6 meses","Todavía no he iniciado una búsqueda activa")),"")))</f>
        <v>Menos de 1 mes</v>
      </c>
      <c r="Q330" t="str">
        <f>IF(I330="Tengo un emprendimiento o quiero iniciar uno","",CHOOSE(MOD(INT((COUNTIF($I$2:I330,I330)-1)/7),3)+1,"Sí","No","Tengo una pero necesito actualizarla"))</f>
        <v>No</v>
      </c>
      <c r="R330" s="9" t="str">
        <f>IF(I330="Tengo un emprendimiento o quiero iniciar uno","",IF(I330="Busco mi primer empleo","No",IF(MOD(COUNTIF($I$2:I330,I330)-1,2)=0,"Sí","No")))</f>
        <v>No</v>
      </c>
      <c r="S330" t="str">
        <f>IF(I330="Tengo un emprendimiento o quiero iniciar uno","",CHOOSE(MOD(INT((COUNTIF($I$2:I330,I330)-1)/3),10)+1,"Portales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30" t="str">
        <f>IF(I330="Tengo un emprendimiento o quiero iniciar uno","",_xlfn.LET(_xlpm.opcion,MOD(INT((COUNTIF($I$2:I330,I330)-1)/4),6)+1,CHOOSE(IF(AND(_xlpm.opcion=3,Q330="Sí"),1,_xlpm.opcion),"Falta de experiencia","Falta de formación","Dificultades con la hoja de vida","Horarios disponibles","Transporte","Internet")))</f>
        <v>Falta de formación</v>
      </c>
      <c r="U330" s="9" t="str">
        <f>IF(I330="Tengo un emprendimiento o quiero iniciar uno","",IF(MOD(INT((COUNTIF($I$2:I330,I330)-1)/3),2)=0,"Sí","No"))</f>
        <v>Sí</v>
      </c>
      <c r="V330" s="9" t="str">
        <f>IF(I330="Tengo un emprendimiento o quiero iniciar uno",CHOOSE(MOD(COUNTIF($I$2:I330,I330)-1,3)+1,"Tengo un emprendimiento","Estoy iniciando un emprendimiento","Me interesa emprender"),"")</f>
        <v/>
      </c>
      <c r="W330" t="str">
        <f t="shared" si="95"/>
        <v/>
      </c>
      <c r="X330" s="9" t="str">
        <f>IF(I330="Tengo un emprendimiento o quiero iniciar uno",CHOOSE(MOD(COUNTIF($I$2:I330,I330)-1,5)+1,"Falta de financiación","Falta de conocimientos administrativos","Falta de conocimientos financieros","Falta de tiempo","Falta de herramientas"),"")</f>
        <v/>
      </c>
      <c r="Y330" s="9" t="str">
        <f t="shared" si="96"/>
        <v/>
      </c>
      <c r="Z330" t="str">
        <f>IF(I330="Tengo un emprendimiento o quiero iniciar uno",CHOOSE(INT(MOD((COUNTIF($I$2:I330,I330)-1)*7,39)/13)+1,"Sí","No","No conozco programas de ese tipo"),"")</f>
        <v/>
      </c>
      <c r="AA330" t="str">
        <f t="shared" si="97"/>
        <v>Puedo hacerlo sin ayuda</v>
      </c>
      <c r="AB330" t="str">
        <f t="shared" si="97"/>
        <v>Puedo hacerlo sin ayuda</v>
      </c>
      <c r="AC330" t="str">
        <f t="shared" si="98"/>
        <v>Puedo hacerlo con dificultad</v>
      </c>
      <c r="AD330" s="9" t="str">
        <f t="shared" si="99"/>
        <v>No puedo hacerlo</v>
      </c>
      <c r="AE330" t="str">
        <f t="shared" si="100"/>
        <v>Puedo hacerlo con ayuda</v>
      </c>
      <c r="AF330" s="9" t="str">
        <f t="shared" si="101"/>
        <v>Preparación para entrevista</v>
      </c>
      <c r="AG330" s="9" t="str">
        <f t="shared" si="102"/>
        <v>Horarios;Falta de información</v>
      </c>
      <c r="AH330" t="str">
        <f t="shared" si="103"/>
        <v>Ferias de empleo</v>
      </c>
      <c r="AI330" s="9" t="str">
        <f t="shared" si="104"/>
        <v>Presencial</v>
      </c>
      <c r="AJ330" s="9" t="str">
        <f t="shared" si="105"/>
        <v>Fines de semana</v>
      </c>
      <c r="AK330" s="9" t="str">
        <f t="shared" si="106"/>
        <v>WhatsApp</v>
      </c>
    </row>
    <row r="331" spans="1:37">
      <c r="A331" t="str">
        <f t="shared" si="107"/>
        <v>SG330</v>
      </c>
      <c r="B331" s="9" t="s">
        <v>419</v>
      </c>
      <c r="C331" s="9" t="s">
        <v>427</v>
      </c>
      <c r="D331" t="str">
        <f t="shared" si="90"/>
        <v>Masculino</v>
      </c>
      <c r="E331" t="str">
        <f t="shared" si="91"/>
        <v>De 26 a 28 años</v>
      </c>
      <c r="F331">
        <f t="shared" si="92"/>
        <v>28</v>
      </c>
      <c r="G331" s="9" t="s">
        <v>430</v>
      </c>
      <c r="H331" s="9" t="str">
        <f t="shared" si="93"/>
        <v>Tecnólogo</v>
      </c>
      <c r="I331" s="9" t="str">
        <f t="shared" si="94"/>
        <v>Estudio y quiero comenzar a trabajar</v>
      </c>
      <c r="J331" s="13" t="str">
        <f>IF(I331="Trabajo actualmente como empleado",IF(MOD((COUNTIF($I$2:I331,"Trabajo actualmente como empleado")-1)*37,150)&lt;100,"Empleado con contrato","Empleado sin contrato formal"),IF(I331="Trabajo de manera independiente","Trabajo independiente",""))</f>
        <v/>
      </c>
      <c r="K331" s="9" t="str">
        <f>IF(OR(I331="Trabajo actualmente como empleado",I331="Trabajo de manera independiente"),CHOOSE(MOD(COUNTIF($I$2:I331,I331)-1,4)+1,"Menos de 3 meses","De 3 a 6 meses","De 7 a 12 meses","Más de un año"),"")</f>
        <v/>
      </c>
      <c r="L331" t="str">
        <f>IF(OR(I331="Trabajo actualmente como empleado",I331="Trabajo de manera independiente"),CHOOSE(MOD(COUNTIF($I$2:I331,I331)-1,3)+1,"Sí, completamente","Parcialmente","No"),"")</f>
        <v/>
      </c>
      <c r="M331" t="str">
        <f>IF(OR(I331="Trabajo actualmente como empleado",I331="Trabajo de manera independiente"),CHOOSE(MOD(INT((COUNTIF($I$2:I331,I331)-1)/3),4)+1,"1- Muy satisfecho/a","2- Satisfecho/a","3- Insatisfecho/a","4- Muy insatisfecho/a"),"")</f>
        <v/>
      </c>
      <c r="N331" t="str">
        <f>IF(OR(I331="Trabajo actualmente como empleado",I331="Trabajo de manera independiente"),_xlfn.LET(_xlpm.opcion,MOD(INT((COUNTIF($I$2:I331,I331)-1)/5),6)+1,CHOOSE(IF(AND(_xlpm.opcion=6,L331="Sí, completamente"),5,_xlpm.opcion),"Salario","Estabilidad laboral","Horario","Acceso a prestaciones","Oportunidades de crecimiento","Trabajar en un área relacionada con mi formación")),"")</f>
        <v/>
      </c>
      <c r="O331" s="9" t="str">
        <f>IF(OR(I331="Trabajo actualmente como empleado",I331="Trabajo de manera independiente"),_xlfn.LET(_xlpm.turno,MOD(COUNTIF($I$2:I331,I331)-1,5),_xlpm.nivel,VALUE(LEFT(M331,1)),IF(_xlpm.turno=4,"No estoy seguro/a",IF(_xlpm.turno&lt;IF(_xlpm.nivel&lt;=2,1,3),"Sí","No"))),"")</f>
        <v/>
      </c>
      <c r="P331" s="9" t="str">
        <f>_xlfn.LET(_xlpm.perfil,I331,_xlpm.turno,COUNTIF($I$2:I331,_xlpm.perfil)-1,_xlpm.busca,OR(_xlpm.perfil="Actualmente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31" t="str">
        <f>IF(I331="Tengo un emprendimiento o quiero iniciar uno","",CHOOSE(MOD(INT((COUNTIF($I$2:I331,I331)-1)/7),3)+1,"Sí","No","Tengo una pero necesito actualizarla"))</f>
        <v>Tengo una pero necesito actualizarla</v>
      </c>
      <c r="R331" s="9" t="str">
        <f>IF(I331="Tengo un emprendimiento o quiero iniciar uno","",IF(I331="Busco mi primer empleo","No",IF(MOD(COUNTIF($I$2:I331,I331)-1,2)=0,"Sí","No")))</f>
        <v>Sí</v>
      </c>
      <c r="S331" t="str">
        <f>IF(I331="Tengo un emprendimiento o quiero iniciar uno","",CHOOSE(MOD(INT((COUNTIF($I$2:I331,I331)-1)/3),10)+1,"Portales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31" t="str">
        <f>IF(I331="Tengo un emprendimiento o quiero iniciar uno","",_xlfn.LET(_xlpm.opcion,MOD(INT((COUNTIF($I$2:I331,I331)-1)/4),6)+1,CHOOSE(IF(AND(_xlpm.opcion=3,Q331="Sí"),1,_xlpm.opcion),"Falta de experiencia","Falta de formación","Dificultades con la hoja de vida","Horarios disponibles","Transporte","Internet")))</f>
        <v>Horarios disponibles</v>
      </c>
      <c r="U331" s="9" t="str">
        <f>IF(I331="Tengo un emprendimiento o quiero iniciar uno","",IF(MOD(INT((COUNTIF($I$2:I331,I331)-1)/3),2)=0,"Sí","No"))</f>
        <v>Sí</v>
      </c>
      <c r="V331" s="9" t="str">
        <f>IF(I331="Tengo un emprendimiento o quiero iniciar uno",CHOOSE(MOD(COUNTIF($I$2:I331,I331)-1,3)+1,"Tengo un emprendimiento","Estoy iniciando un emprendimiento","Me interesa emprender"),"")</f>
        <v/>
      </c>
      <c r="W331" t="str">
        <f t="shared" si="95"/>
        <v/>
      </c>
      <c r="X331" s="9" t="str">
        <f>IF(I331="Tengo un emprendimiento o quiero iniciar uno",CHOOSE(MOD(COUNTIF($I$2:I331,I331)-1,5)+1,"Falta de financiación","Falta de conocimientos administrativos","Falta de conocimientos financieros","Falta de tiempo","Falta de herramientas"),"")</f>
        <v/>
      </c>
      <c r="Y331" s="9" t="str">
        <f t="shared" si="96"/>
        <v/>
      </c>
      <c r="Z331" t="str">
        <f>IF(I331="Tengo un emprendimiento o quiero iniciar uno",CHOOSE(INT(MOD((COUNTIF($I$2:I331,I331)-1)*7,39)/13)+1,"Sí","No","No conozco programas de ese tipo"),"")</f>
        <v/>
      </c>
      <c r="AA331" t="str">
        <f t="shared" si="97"/>
        <v>No puedo hacerlo</v>
      </c>
      <c r="AB331" t="str">
        <f t="shared" si="97"/>
        <v>No puedo hacerlo</v>
      </c>
      <c r="AC331" t="str">
        <f t="shared" si="98"/>
        <v>No puedo hacerlo</v>
      </c>
      <c r="AD331" s="9" t="str">
        <f t="shared" si="99"/>
        <v>Puedo hacerlo con ayuda</v>
      </c>
      <c r="AE331" t="str">
        <f t="shared" si="100"/>
        <v>Puedo hacerlo con dificultad</v>
      </c>
      <c r="AF331" s="9" t="str">
        <f t="shared" si="101"/>
        <v>Comunicación</v>
      </c>
      <c r="AG331" s="9" t="str">
        <f t="shared" si="102"/>
        <v>Horarios;Falta de información</v>
      </c>
      <c r="AH331" t="str">
        <f t="shared" si="103"/>
        <v>No conozco ninguno</v>
      </c>
      <c r="AI331" s="9" t="str">
        <f t="shared" si="104"/>
        <v>Virtual</v>
      </c>
      <c r="AJ331" s="9" t="str">
        <f t="shared" si="105"/>
        <v>Diurno</v>
      </c>
      <c r="AK331" s="9" t="str">
        <f t="shared" si="106"/>
        <v>Redes sociales</v>
      </c>
    </row>
    <row r="332" spans="1:37">
      <c r="A332" t="str">
        <f t="shared" si="107"/>
        <v>SG331</v>
      </c>
      <c r="B332" s="9" t="s">
        <v>419</v>
      </c>
      <c r="C332" s="9" t="s">
        <v>427</v>
      </c>
      <c r="D332" t="str">
        <f t="shared" si="90"/>
        <v>Masculino</v>
      </c>
      <c r="E332" t="str">
        <f t="shared" si="91"/>
        <v>De 18 a 20 años</v>
      </c>
      <c r="F332">
        <f t="shared" si="92"/>
        <v>18</v>
      </c>
      <c r="G332" s="9" t="s">
        <v>430</v>
      </c>
      <c r="H332" s="9" t="str">
        <f t="shared" si="93"/>
        <v>Bachiller</v>
      </c>
      <c r="I332" s="9" t="str">
        <f t="shared" si="94"/>
        <v>Trabajo actualmente como empleado</v>
      </c>
      <c r="J332" s="13" t="str">
        <f>IF(I332="Trabajo actualmente como empleado",IF(MOD((COUNTIF($I$2:I332,"Trabajo actualmente como empleado")-1)*37,150)&lt;100,"Empleado con contrato","Empleado sin contrato formal"),IF(I332="Trabajo de manera independiente","Trabajo independiente",""))</f>
        <v>Empleado con contrato</v>
      </c>
      <c r="K332" s="9" t="str">
        <f>IF(OR(I332="Trabajo actualmente como empleado",I332="Trabajo de manera independiente"),CHOOSE(MOD(COUNTIF($I$2:I332,I332)-1,4)+1,"Menos de 3 meses","De 3 a 6 meses","De 7 a 12 meses","Más de un año"),"")</f>
        <v>Menos de 3 meses</v>
      </c>
      <c r="L332" t="str">
        <f>IF(OR(I332="Trabajo actualmente como empleado",I332="Trabajo de manera independiente"),CHOOSE(MOD(COUNTIF($I$2:I332,I332)-1,3)+1,"Sí, completamente","Parcialmente","No"),"")</f>
        <v>No</v>
      </c>
      <c r="M332" t="str">
        <f>IF(OR(I332="Trabajo actualmente como empleado",I332="Trabajo de manera independiente"),CHOOSE(MOD(INT((COUNTIF($I$2:I332,I332)-1)/3),4)+1,"1- Muy satisfecho/a","2- Satisfecho/a","3- Insatisfecho/a","4- Muy insatisfecho/a"),"")</f>
        <v>3- Insatisfecho/a</v>
      </c>
      <c r="N332" t="str">
        <f>IF(OR(I332="Trabajo actualmente como empleado",I332="Trabajo de manera independiente"),_xlfn.LET(_xlpm.opcion,MOD(INT((COUNTIF($I$2:I332,I332)-1)/5),6)+1,CHOOSE(IF(AND(_xlpm.opcion=6,L332="Sí, completamente"),5,_xlpm.opcion),"Salario","Estabilidad laboral","Horario","Acceso a prestaciones","Oportunidades de crecimiento","Trabajar en un área relacionada con mi formación")),"")</f>
        <v>Horario</v>
      </c>
      <c r="O332" s="9" t="str">
        <f>IF(OR(I332="Trabajo actualmente como empleado",I332="Trabajo de manera independiente"),_xlfn.LET(_xlpm.turno,MOD(COUNTIF($I$2:I332,I332)-1,5),_xlpm.nivel,VALUE(LEFT(M332,1)),IF(_xlpm.turno=4,"No estoy seguro/a",IF(_xlpm.turno&lt;IF(_xlpm.nivel&lt;=2,1,3),"Sí","No"))),"")</f>
        <v>No estoy seguro/a</v>
      </c>
      <c r="P332" s="9" t="str">
        <f>_xlfn.LET(_xlpm.perfil,I332,_xlpm.turno,COUNTIF($I$2:I332,_xlpm.perfil)-1,_xlpm.busca,OR(_xlpm.perfil="Actualmente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trabajar"),IF(AND(_xlpm.trabaja,O332="No"),"Todavía no he iniciado una búsqueda activa",CHOOSE(MOD(_xlpm.turno*3,5)+1,"Menos de 1 mes","Entre 1 y 3 meses","Entre 4 y 6 meses","Más de 6 meses","Todavía no he iniciado una búsqueda activa")),"")))</f>
        <v>Entre 4 y 6 meses</v>
      </c>
      <c r="Q332" t="str">
        <f>IF(I332="Tengo un emprendimiento o quiero iniciar uno","",CHOOSE(MOD(INT((COUNTIF($I$2:I332,I332)-1)/7),3)+1,"Sí","No","Tengo una pero necesito actualizarla"))</f>
        <v>Tengo una pero necesito actualizarla</v>
      </c>
      <c r="R332" s="9" t="str">
        <f>IF(I332="Tengo un emprendimiento o quiero iniciar uno","",IF(I332="Busco mi primer empleo","No",IF(MOD(COUNTIF($I$2:I332,I332)-1,2)=0,"Sí","No")))</f>
        <v>Sí</v>
      </c>
      <c r="S332" t="str">
        <f>IF(I332="Tengo un emprendimiento o quiero iniciar uno","",CHOOSE(MOD(INT((COUNTIF($I$2:I332,I332)-1)/3),10)+1,"Portales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32" t="str">
        <f>IF(I332="Tengo un emprendimiento o quiero iniciar uno","",_xlfn.LET(_xlpm.opcion,MOD(INT((COUNTIF($I$2:I332,I332)-1)/4),6)+1,CHOOSE(IF(AND(_xlpm.opcion=3,Q332="Sí"),1,_xlpm.opcion),"Falta de experiencia","Falta de formación","Dificultades con la hoja de vida","Horarios disponibles","Transporte","Internet")))</f>
        <v>Dificultades con la hoja de vida</v>
      </c>
      <c r="U332" s="9" t="str">
        <f>IF(I332="Tengo un emprendimiento o quiero iniciar uno","",IF(MOD(INT((COUNTIF($I$2:I332,I332)-1)/3),2)=0,"Sí","No"))</f>
        <v>Sí</v>
      </c>
      <c r="V332" s="9" t="str">
        <f>IF(I332="Tengo un emprendimiento o quiero iniciar uno",CHOOSE(MOD(COUNTIF($I$2:I332,I332)-1,3)+1,"Tengo un emprendimiento","Estoy iniciando un emprendimiento","Me interesa emprender"),"")</f>
        <v/>
      </c>
      <c r="W332" t="str">
        <f t="shared" si="95"/>
        <v/>
      </c>
      <c r="X332" s="9" t="str">
        <f>IF(I332="Tengo un emprendimiento o quiero iniciar uno",CHOOSE(MOD(COUNTIF($I$2:I332,I332)-1,5)+1,"Falta de financiación","Falta de conocimientos administrativos","Falta de conocimientos financieros","Falta de tiempo","Falta de herramientas"),"")</f>
        <v/>
      </c>
      <c r="Y332" s="9" t="str">
        <f t="shared" si="96"/>
        <v/>
      </c>
      <c r="Z332" t="str">
        <f>IF(I332="Tengo un emprendimiento o quiero iniciar uno",CHOOSE(INT(MOD((COUNTIF($I$2:I332,I332)-1)*7,39)/13)+1,"Sí","No","No conozco programas de ese tipo"),"")</f>
        <v/>
      </c>
      <c r="AA332" t="str">
        <f t="shared" si="97"/>
        <v>Puedo hacerlo con dificultad</v>
      </c>
      <c r="AB332" t="str">
        <f t="shared" si="97"/>
        <v>Puedo hacerlo con dificultad</v>
      </c>
      <c r="AC332" t="str">
        <f t="shared" si="98"/>
        <v>Puedo hacerlo con ayuda</v>
      </c>
      <c r="AD332" s="9" t="str">
        <f t="shared" si="99"/>
        <v>Puedo hacerlo con dificultad</v>
      </c>
      <c r="AE332" t="str">
        <f t="shared" si="100"/>
        <v>Puedo hacerlo con dificultad</v>
      </c>
      <c r="AF332" s="9" t="str">
        <f t="shared" si="101"/>
        <v>Liderazgo</v>
      </c>
      <c r="AG332" s="9" t="str">
        <f t="shared" si="102"/>
        <v>Ninguna</v>
      </c>
      <c r="AH332" t="str">
        <f t="shared" si="103"/>
        <v>Oficina de orientación laboral</v>
      </c>
      <c r="AI332" s="9" t="str">
        <f t="shared" si="104"/>
        <v>Presencial y virtual</v>
      </c>
      <c r="AJ332" s="9" t="str">
        <f t="shared" si="105"/>
        <v>Nocturno</v>
      </c>
      <c r="AK332" s="9" t="str">
        <f t="shared" si="106"/>
        <v>Celular</v>
      </c>
    </row>
    <row r="333" spans="1:37">
      <c r="A333" t="str">
        <f t="shared" si="107"/>
        <v>SG332</v>
      </c>
      <c r="B333" s="9" t="s">
        <v>419</v>
      </c>
      <c r="C333" s="9" t="s">
        <v>427</v>
      </c>
      <c r="D333" t="str">
        <f t="shared" si="90"/>
        <v>Femenino</v>
      </c>
      <c r="E333" t="str">
        <f t="shared" si="91"/>
        <v>De 20 a 22 años</v>
      </c>
      <c r="F333">
        <f t="shared" si="92"/>
        <v>20</v>
      </c>
      <c r="G333" s="9" t="s">
        <v>430</v>
      </c>
      <c r="H333" s="9" t="str">
        <f t="shared" si="93"/>
        <v>Técnico</v>
      </c>
      <c r="I333" s="9" t="str">
        <f t="shared" si="94"/>
        <v>Actualmente no trabajo y estoy buscando empleo</v>
      </c>
      <c r="J333" s="13" t="str">
        <f>IF(I333="Trabajo actualmente como empleado",IF(MOD((COUNTIF($I$2:I333,"Trabajo actualmente como empleado")-1)*37,150)&lt;100,"Empleado con contrato","Empleado sin contrato formal"),IF(I333="Trabajo de manera independiente","Trabajo independiente",""))</f>
        <v/>
      </c>
      <c r="K333" s="9" t="str">
        <f>IF(OR(I333="Trabajo actualmente como empleado",I333="Trabajo de manera independiente"),CHOOSE(MOD(COUNTIF($I$2:I333,I333)-1,4)+1,"Menos de 3 meses","De 3 a 6 meses","De 7 a 12 meses","Más de un año"),"")</f>
        <v/>
      </c>
      <c r="L333" t="str">
        <f>IF(OR(I333="Trabajo actualmente como empleado",I333="Trabajo de manera independiente"),CHOOSE(MOD(COUNTIF($I$2:I333,I333)-1,3)+1,"Sí, completamente","Parcialmente","No"),"")</f>
        <v/>
      </c>
      <c r="M333" t="str">
        <f>IF(OR(I333="Trabajo actualmente como empleado",I333="Trabajo de manera independiente"),CHOOSE(MOD(INT((COUNTIF($I$2:I333,I333)-1)/3),4)+1,"1- Muy satisfecho/a","2- Satisfecho/a","3- Insatisfecho/a","4- Muy insatisfecho/a"),"")</f>
        <v/>
      </c>
      <c r="N333" t="str">
        <f>IF(OR(I333="Trabajo actualmente como empleado",I333="Trabajo de manera independiente"),_xlfn.LET(_xlpm.opcion,MOD(INT((COUNTIF($I$2:I333,I333)-1)/5),6)+1,CHOOSE(IF(AND(_xlpm.opcion=6,L333="Sí, completamente"),5,_xlpm.opcion),"Salario","Estabilidad laboral","Horario","Acceso a prestaciones","Oportunidades de crecimiento","Trabajar en un área relacionada con mi formación")),"")</f>
        <v/>
      </c>
      <c r="O333" s="9" t="str">
        <f>IF(OR(I333="Trabajo actualmente como empleado",I333="Trabajo de manera independiente"),_xlfn.LET(_xlpm.turno,MOD(COUNTIF($I$2:I333,I333)-1,5),_xlpm.nivel,VALUE(LEFT(M333,1)),IF(_xlpm.turno=4,"No estoy seguro/a",IF(_xlpm.turno&lt;IF(_xlpm.nivel&lt;=2,1,3),"Sí","No"))),"")</f>
        <v/>
      </c>
      <c r="P333" s="9" t="str">
        <f>_xlfn.LET(_xlpm.perfil,I333,_xlpm.turno,COUNTIF($I$2:I333,_xlpm.perfil)-1,_xlpm.busca,OR(_xlpm.perfil="Actualmente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trabajar"),IF(AND(_xlpm.trabaja,O333="No"),"Todavía no he iniciado una búsqueda activa",CHOOSE(MOD(_xlpm.turno*3,5)+1,"Menos de 1 mes","Entre 1 y 3 meses","Entre 4 y 6 meses","Más de 6 meses","Todavía no he iniciado una búsqueda activa")),"")))</f>
        <v>Menos de 1 mes</v>
      </c>
      <c r="Q333" t="str">
        <f>IF(I333="Tengo un emprendimiento o quiero iniciar uno","",CHOOSE(MOD(INT((COUNTIF($I$2:I333,I333)-1)/7),3)+1,"Sí","No","Tengo una pero necesito actualizarla"))</f>
        <v>Tengo una pero necesito actualizarla</v>
      </c>
      <c r="R333" s="9" t="str">
        <f>IF(I333="Tengo un emprendimiento o quiero iniciar uno","",IF(I333="Busco mi primer empleo","No",IF(MOD(COUNTIF($I$2:I333,I333)-1,2)=0,"Sí","No")))</f>
        <v>Sí</v>
      </c>
      <c r="S333" t="str">
        <f>IF(I333="Tengo un emprendimiento o quiero iniciar uno","",CHOOSE(MOD(INT((COUNTIF($I$2:I333,I333)-1)/3),10)+1,"Portales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33" t="str">
        <f>IF(I333="Tengo un emprendimiento o quiero iniciar uno","",_xlfn.LET(_xlpm.opcion,MOD(INT((COUNTIF($I$2:I333,I333)-1)/4),6)+1,CHOOSE(IF(AND(_xlpm.opcion=3,Q333="Sí"),1,_xlpm.opcion),"Falta de experiencia","Falta de formación","Dificultades con la hoja de vida","Horarios disponibles","Transporte","Internet")))</f>
        <v>Horarios disponibles</v>
      </c>
      <c r="U333" s="9" t="str">
        <f>IF(I333="Tengo un emprendimiento o quiero iniciar uno","",IF(MOD(INT((COUNTIF($I$2:I333,I333)-1)/3),2)=0,"Sí","No"))</f>
        <v>Sí</v>
      </c>
      <c r="V333" s="9" t="str">
        <f>IF(I333="Tengo un emprendimiento o quiero iniciar uno",CHOOSE(MOD(COUNTIF($I$2:I333,I333)-1,3)+1,"Tengo un emprendimiento","Estoy iniciando un emprendimiento","Me interesa emprender"),"")</f>
        <v/>
      </c>
      <c r="W333" t="str">
        <f t="shared" si="95"/>
        <v/>
      </c>
      <c r="X333" s="9" t="str">
        <f>IF(I333="Tengo un emprendimiento o quiero iniciar uno",CHOOSE(MOD(COUNTIF($I$2:I333,I333)-1,5)+1,"Falta de financiación","Falta de conocimientos administrativos","Falta de conocimientos financieros","Falta de tiempo","Falta de herramientas"),"")</f>
        <v/>
      </c>
      <c r="Y333" s="9" t="str">
        <f t="shared" si="96"/>
        <v/>
      </c>
      <c r="Z333" t="str">
        <f>IF(I333="Tengo un emprendimiento o quiero iniciar uno",CHOOSE(INT(MOD((COUNTIF($I$2:I333,I333)-1)*7,39)/13)+1,"Sí","No","No conozco programas de ese tipo"),"")</f>
        <v/>
      </c>
      <c r="AA333" t="str">
        <f t="shared" si="97"/>
        <v>Puedo hacerlo sin ayuda</v>
      </c>
      <c r="AB333" t="str">
        <f t="shared" si="97"/>
        <v>Puedo hacerlo sin ayuda</v>
      </c>
      <c r="AC333" t="str">
        <f t="shared" si="98"/>
        <v>Puedo hacerlo con dificultad</v>
      </c>
      <c r="AD333" s="9" t="str">
        <f t="shared" si="99"/>
        <v>Puedo hacerlo sin ayuda</v>
      </c>
      <c r="AE333" t="str">
        <f t="shared" si="100"/>
        <v>Puedo hacerlo sin ayuda</v>
      </c>
      <c r="AF333" s="9" t="str">
        <f t="shared" si="101"/>
        <v>Emprendimiento</v>
      </c>
      <c r="AG333" s="9" t="str">
        <f t="shared" si="102"/>
        <v>Ninguna</v>
      </c>
      <c r="AH333" t="str">
        <f t="shared" si="103"/>
        <v>Programas de emprendimiento</v>
      </c>
      <c r="AI333" s="9" t="str">
        <f t="shared" si="104"/>
        <v>Me es indiferente</v>
      </c>
      <c r="AJ333" s="9" t="str">
        <f t="shared" si="105"/>
        <v>Fines de semana</v>
      </c>
      <c r="AK333" s="9" t="str">
        <f t="shared" si="106"/>
        <v>Correo electrónico</v>
      </c>
    </row>
    <row r="334" spans="1:37">
      <c r="A334" t="str">
        <f t="shared" si="107"/>
        <v>SG333</v>
      </c>
      <c r="B334" s="9" t="s">
        <v>419</v>
      </c>
      <c r="C334" s="9" t="s">
        <v>427</v>
      </c>
      <c r="D334" t="str">
        <f t="shared" si="90"/>
        <v>Femenino</v>
      </c>
      <c r="E334" t="str">
        <f t="shared" si="91"/>
        <v>De 22 a 24 años</v>
      </c>
      <c r="F334">
        <f t="shared" si="92"/>
        <v>22</v>
      </c>
      <c r="G334" s="9" t="s">
        <v>430</v>
      </c>
      <c r="H334" s="9" t="str">
        <f t="shared" si="93"/>
        <v>Técnico</v>
      </c>
      <c r="I334" s="9" t="str">
        <f t="shared" si="94"/>
        <v>Estudio y quiero comenzar a trabajar</v>
      </c>
      <c r="J334" s="13" t="str">
        <f>IF(I334="Trabajo actualmente como empleado",IF(MOD((COUNTIF($I$2:I334,"Trabajo actualmente como empleado")-1)*37,150)&lt;100,"Empleado con contrato","Empleado sin contrato formal"),IF(I334="Trabajo de manera independiente","Trabajo independiente",""))</f>
        <v/>
      </c>
      <c r="K334" s="9" t="str">
        <f>IF(OR(I334="Trabajo actualmente como empleado",I334="Trabajo de manera independiente"),CHOOSE(MOD(COUNTIF($I$2:I334,I334)-1,4)+1,"Menos de 3 meses","De 3 a 6 meses","De 7 a 12 meses","Más de un año"),"")</f>
        <v/>
      </c>
      <c r="L334" t="str">
        <f>IF(OR(I334="Trabajo actualmente como empleado",I334="Trabajo de manera independiente"),CHOOSE(MOD(COUNTIF($I$2:I334,I334)-1,3)+1,"Sí, completamente","Parcialmente","No"),"")</f>
        <v/>
      </c>
      <c r="M334" t="str">
        <f>IF(OR(I334="Trabajo actualmente como empleado",I334="Trabajo de manera independiente"),CHOOSE(MOD(INT((COUNTIF($I$2:I334,I334)-1)/3),4)+1,"1- Muy satisfecho/a","2- Satisfecho/a","3- Insatisfecho/a","4- Muy insatisfecho/a"),"")</f>
        <v/>
      </c>
      <c r="N334" t="str">
        <f>IF(OR(I334="Trabajo actualmente como empleado",I334="Trabajo de manera independiente"),_xlfn.LET(_xlpm.opcion,MOD(INT((COUNTIF($I$2:I334,I334)-1)/5),6)+1,CHOOSE(IF(AND(_xlpm.opcion=6,L334="Sí, completamente"),5,_xlpm.opcion),"Salario","Estabilidad laboral","Horario","Acceso a prestaciones","Oportunidades de crecimiento","Trabajar en un área relacionada con mi formación")),"")</f>
        <v/>
      </c>
      <c r="O334" s="9" t="str">
        <f>IF(OR(I334="Trabajo actualmente como empleado",I334="Trabajo de manera independiente"),_xlfn.LET(_xlpm.turno,MOD(COUNTIF($I$2:I334,I334)-1,5),_xlpm.nivel,VALUE(LEFT(M334,1)),IF(_xlpm.turno=4,"No estoy seguro/a",IF(_xlpm.turno&lt;IF(_xlpm.nivel&lt;=2,1,3),"Sí","No"))),"")</f>
        <v/>
      </c>
      <c r="P334" s="9" t="str">
        <f>_xlfn.LET(_xlpm.perfil,I334,_xlpm.turno,COUNTIF($I$2:I334,_xlpm.perfil)-1,_xlpm.busca,OR(_xlpm.perfil="Actualmente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trabajar"),IF(AND(_xlpm.trabaja,O334="No"),"Todavía no he iniciado una búsqueda activa",CHOOSE(MOD(_xlpm.turno*3,5)+1,"Menos de 1 mes","Entre 1 y 3 meses","Entre 4 y 6 meses","Más de 6 meses","Todavía no he iniciado una búsqueda activa")),"")))</f>
        <v>Entre 4 y 6 meses</v>
      </c>
      <c r="Q334" t="str">
        <f>IF(I334="Tengo un emprendimiento o quiero iniciar uno","",CHOOSE(MOD(INT((COUNTIF($I$2:I334,I334)-1)/7),3)+1,"Sí","No","Tengo una pero necesito actualizarla"))</f>
        <v>Tengo una pero necesito actualizarla</v>
      </c>
      <c r="R334" s="9" t="str">
        <f>IF(I334="Tengo un emprendimiento o quiero iniciar uno","",IF(I334="Busco mi primer empleo","No",IF(MOD(COUNTIF($I$2:I334,I334)-1,2)=0,"Sí","No")))</f>
        <v>No</v>
      </c>
      <c r="S334" t="str">
        <f>IF(I334="Tengo un emprendimiento o quiero iniciar uno","",CHOOSE(MOD(INT((COUNTIF($I$2:I334,I334)-1)/3),10)+1,"Portales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34" t="str">
        <f>IF(I334="Tengo un emprendimiento o quiero iniciar uno","",_xlfn.LET(_xlpm.opcion,MOD(INT((COUNTIF($I$2:I334,I334)-1)/4),6)+1,CHOOSE(IF(AND(_xlpm.opcion=3,Q334="Sí"),1,_xlpm.opcion),"Falta de experiencia","Falta de formación","Dificultades con la hoja de vida","Horarios disponibles","Transporte","Internet")))</f>
        <v>Horarios disponibles</v>
      </c>
      <c r="U334" s="9" t="str">
        <f>IF(I334="Tengo un emprendimiento o quiero iniciar uno","",IF(MOD(INT((COUNTIF($I$2:I334,I334)-1)/3),2)=0,"Sí","No"))</f>
        <v>No</v>
      </c>
      <c r="V334" s="9" t="str">
        <f>IF(I334="Tengo un emprendimiento o quiero iniciar uno",CHOOSE(MOD(COUNTIF($I$2:I334,I334)-1,3)+1,"Tengo un emprendimiento","Estoy iniciando un emprendimiento","Me interesa emprender"),"")</f>
        <v/>
      </c>
      <c r="W334" t="str">
        <f t="shared" si="95"/>
        <v/>
      </c>
      <c r="X334" s="9" t="str">
        <f>IF(I334="Tengo un emprendimiento o quiero iniciar uno",CHOOSE(MOD(COUNTIF($I$2:I334,I334)-1,5)+1,"Falta de financiación","Falta de conocimientos administrativos","Falta de conocimientos financieros","Falta de tiempo","Falta de herramientas"),"")</f>
        <v/>
      </c>
      <c r="Y334" s="9" t="str">
        <f t="shared" si="96"/>
        <v/>
      </c>
      <c r="Z334" t="str">
        <f>IF(I334="Tengo un emprendimiento o quiero iniciar uno",CHOOSE(INT(MOD((COUNTIF($I$2:I334,I334)-1)*7,39)/13)+1,"Sí","No","No conozco programas de ese tipo"),"")</f>
        <v/>
      </c>
      <c r="AA334" t="str">
        <f t="shared" si="97"/>
        <v>Puedo hacerlo con ayuda</v>
      </c>
      <c r="AB334" t="str">
        <f t="shared" si="97"/>
        <v>Puedo hacerlo con ayuda</v>
      </c>
      <c r="AC334" t="str">
        <f t="shared" si="98"/>
        <v>Puedo hacerlo sin ayuda</v>
      </c>
      <c r="AD334" s="9" t="str">
        <f t="shared" si="99"/>
        <v>Puedo hacerlo sin ayuda</v>
      </c>
      <c r="AE334" t="str">
        <f t="shared" si="100"/>
        <v>Puedo hacerlo sin ayuda</v>
      </c>
      <c r="AF334" s="9" t="str">
        <f t="shared" si="101"/>
        <v>Herramientas digitales</v>
      </c>
      <c r="AG334" s="9" t="str">
        <f t="shared" si="102"/>
        <v>Ninguna</v>
      </c>
      <c r="AH334" t="str">
        <f t="shared" si="103"/>
        <v>Oficina de orientación laboral</v>
      </c>
      <c r="AI334" s="9" t="str">
        <f t="shared" si="104"/>
        <v>Presencial</v>
      </c>
      <c r="AJ334" s="9" t="str">
        <f t="shared" si="105"/>
        <v>Diurno</v>
      </c>
      <c r="AK334" s="9" t="str">
        <f t="shared" si="106"/>
        <v>Redes sociales</v>
      </c>
    </row>
    <row r="335" spans="1:37">
      <c r="A335" t="str">
        <f t="shared" si="107"/>
        <v>SG334</v>
      </c>
      <c r="B335" s="9" t="s">
        <v>419</v>
      </c>
      <c r="C335" s="9" t="s">
        <v>427</v>
      </c>
      <c r="D335" t="str">
        <f t="shared" si="90"/>
        <v>Masculino</v>
      </c>
      <c r="E335" t="str">
        <f t="shared" si="91"/>
        <v>De 24 a 26 años</v>
      </c>
      <c r="F335">
        <f t="shared" si="92"/>
        <v>24</v>
      </c>
      <c r="G335" s="9" t="s">
        <v>430</v>
      </c>
      <c r="H335" s="9" t="str">
        <f t="shared" si="93"/>
        <v>Tecnólogo</v>
      </c>
      <c r="I335" s="9" t="str">
        <f t="shared" si="94"/>
        <v>Trabajo actualmente como empleado</v>
      </c>
      <c r="J335" s="13" t="str">
        <f>IF(I335="Trabajo actualmente como empleado",IF(MOD((COUNTIF($I$2:I335,"Trabajo actualmente como empleado")-1)*37,150)&lt;100,"Empleado con contrato","Empleado sin contrato formal"),IF(I335="Trabajo de manera independiente","Trabajo independiente",""))</f>
        <v>Empleado sin contrato formal</v>
      </c>
      <c r="K335" s="9" t="str">
        <f>IF(OR(I335="Trabajo actualmente como empleado",I335="Trabajo de manera independiente"),CHOOSE(MOD(COUNTIF($I$2:I335,I335)-1,4)+1,"Menos de 3 meses","De 3 a 6 meses","De 7 a 12 meses","Más de un año"),"")</f>
        <v>De 3 a 6 meses</v>
      </c>
      <c r="L335" t="str">
        <f>IF(OR(I335="Trabajo actualmente como empleado",I335="Trabajo de manera independiente"),CHOOSE(MOD(COUNTIF($I$2:I335,I335)-1,3)+1,"Sí, completamente","Parcialmente","No"),"")</f>
        <v>Sí, completamente</v>
      </c>
      <c r="M335" t="str">
        <f>IF(OR(I335="Trabajo actualmente como empleado",I335="Trabajo de manera independiente"),CHOOSE(MOD(INT((COUNTIF($I$2:I335,I335)-1)/3),4)+1,"1- Muy satisfecho/a","2- Satisfecho/a","3- Insatisfecho/a","4- Muy insatisfecho/a"),"")</f>
        <v>4- Muy insatisfecho/a</v>
      </c>
      <c r="N335" t="str">
        <f>IF(OR(I335="Trabajo actualmente como empleado",I335="Trabajo de manera independiente"),_xlfn.LET(_xlpm.opcion,MOD(INT((COUNTIF($I$2:I335,I335)-1)/5),6)+1,CHOOSE(IF(AND(_xlpm.opcion=6,L335="Sí, completamente"),5,_xlpm.opcion),"Salario","Estabilidad laboral","Horario","Acceso a prestaciones","Oportunidades de crecimiento","Trabajar en un área relacionada con mi formación")),"")</f>
        <v>Acceso a prestaciones</v>
      </c>
      <c r="O335" s="9" t="str">
        <f>IF(OR(I335="Trabajo actualmente como empleado",I335="Trabajo de manera independiente"),_xlfn.LET(_xlpm.turno,MOD(COUNTIF($I$2:I335,I335)-1,5),_xlpm.nivel,VALUE(LEFT(M335,1)),IF(_xlpm.turno=4,"No estoy seguro/a",IF(_xlpm.turno&lt;IF(_xlpm.nivel&lt;=2,1,3),"Sí","No"))),"")</f>
        <v>Sí</v>
      </c>
      <c r="P335" s="9" t="str">
        <f>_xlfn.LET(_xlpm.perfil,I335,_xlpm.turno,COUNTIF($I$2:I335,_xlpm.perfil)-1,_xlpm.busca,OR(_xlpm.perfil="Actualmente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trabajar"),IF(AND(_xlpm.trabaja,O335="No"),"Todavía no he iniciado una búsqueda activa",CHOOSE(MOD(_xlpm.turno*3,5)+1,"Menos de 1 mes","Entre 1 y 3 meses","Entre 4 y 6 meses","Más de 6 meses","Todavía no he iniciado una búsqueda activa")),"")))</f>
        <v>Menos de 1 mes</v>
      </c>
      <c r="Q335" t="str">
        <f>IF(I335="Tengo un emprendimiento o quiero iniciar uno","",CHOOSE(MOD(INT((COUNTIF($I$2:I335,I335)-1)/7),3)+1,"Sí","No","Tengo una pero necesito actualizarla"))</f>
        <v>Sí</v>
      </c>
      <c r="R335" s="9" t="str">
        <f>IF(I335="Tengo un emprendimiento o quiero iniciar uno","",IF(I335="Busco mi primer empleo","No",IF(MOD(COUNTIF($I$2:I335,I335)-1,2)=0,"Sí","No")))</f>
        <v>No</v>
      </c>
      <c r="S335" t="str">
        <f>IF(I335="Tengo un emprendimiento o quiero iniciar uno","",CHOOSE(MOD(INT((COUNTIF($I$2:I335,I335)-1)/3),10)+1,"Portales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35" t="str">
        <f>IF(I335="Tengo un emprendimiento o quiero iniciar uno","",_xlfn.LET(_xlpm.opcion,MOD(INT((COUNTIF($I$2:I335,I335)-1)/4),6)+1,CHOOSE(IF(AND(_xlpm.opcion=3,Q335="Sí"),1,_xlpm.opcion),"Falta de experiencia","Falta de formación","Dificultades con la hoja de vida","Horarios disponibles","Transporte","Internet")))</f>
        <v>Falta de experiencia</v>
      </c>
      <c r="U335" s="9" t="str">
        <f>IF(I335="Tengo un emprendimiento o quiero iniciar uno","",IF(MOD(INT((COUNTIF($I$2:I335,I335)-1)/3),2)=0,"Sí","No"))</f>
        <v>No</v>
      </c>
      <c r="V335" s="9" t="str">
        <f>IF(I335="Tengo un emprendimiento o quiero iniciar uno",CHOOSE(MOD(COUNTIF($I$2:I335,I335)-1,3)+1,"Tengo un emprendimiento","Estoy iniciando un emprendimiento","Me interesa emprender"),"")</f>
        <v/>
      </c>
      <c r="W335" t="str">
        <f t="shared" si="95"/>
        <v/>
      </c>
      <c r="X335" s="9" t="str">
        <f>IF(I335="Tengo un emprendimiento o quiero iniciar uno",CHOOSE(MOD(COUNTIF($I$2:I335,I335)-1,5)+1,"Falta de financiación","Falta de conocimientos administrativos","Falta de conocimientos financieros","Falta de tiempo","Falta de herramientas"),"")</f>
        <v/>
      </c>
      <c r="Y335" s="9" t="str">
        <f t="shared" si="96"/>
        <v/>
      </c>
      <c r="Z335" t="str">
        <f>IF(I335="Tengo un emprendimiento o quiero iniciar uno",CHOOSE(INT(MOD((COUNTIF($I$2:I335,I335)-1)*7,39)/13)+1,"Sí","No","No conozco programas de ese tipo"),"")</f>
        <v/>
      </c>
      <c r="AA335" t="str">
        <f t="shared" si="97"/>
        <v>Puedo hacerlo sin ayuda</v>
      </c>
      <c r="AB335" t="str">
        <f t="shared" si="97"/>
        <v>Puedo hacerlo sin ayuda</v>
      </c>
      <c r="AC335" t="str">
        <f t="shared" si="98"/>
        <v>Puedo hacerlo con ayuda</v>
      </c>
      <c r="AD335" s="9" t="str">
        <f t="shared" si="99"/>
        <v>No puedo hacerlo</v>
      </c>
      <c r="AE335" t="str">
        <f t="shared" si="100"/>
        <v>No puedo hacerlo</v>
      </c>
      <c r="AF335" s="9" t="str">
        <f t="shared" si="101"/>
        <v>Educación financiera</v>
      </c>
      <c r="AG335" s="9" t="str">
        <f t="shared" si="102"/>
        <v>Falta de experiencia</v>
      </c>
      <c r="AH335" t="str">
        <f t="shared" si="103"/>
        <v>Ferias de empleo</v>
      </c>
      <c r="AI335" s="9" t="str">
        <f t="shared" si="104"/>
        <v>Virtual</v>
      </c>
      <c r="AJ335" s="9" t="str">
        <f t="shared" si="105"/>
        <v>Mañana entre semana</v>
      </c>
      <c r="AK335" s="9" t="str">
        <f t="shared" si="106"/>
        <v>WhatsApp</v>
      </c>
    </row>
    <row r="336" spans="1:37">
      <c r="A336" t="str">
        <f t="shared" si="107"/>
        <v>SG335</v>
      </c>
      <c r="B336" s="9" t="s">
        <v>419</v>
      </c>
      <c r="C336" s="9" t="s">
        <v>427</v>
      </c>
      <c r="D336" t="str">
        <f t="shared" si="90"/>
        <v>Femenino</v>
      </c>
      <c r="E336" t="str">
        <f t="shared" si="91"/>
        <v>De 26 a 28 años</v>
      </c>
      <c r="F336">
        <f t="shared" si="92"/>
        <v>26</v>
      </c>
      <c r="G336" s="9" t="s">
        <v>430</v>
      </c>
      <c r="H336" s="9" t="str">
        <f t="shared" si="93"/>
        <v>Profesional</v>
      </c>
      <c r="I336" s="9" t="str">
        <f t="shared" si="94"/>
        <v>Actualmente no trabajo y estoy buscando empleo</v>
      </c>
      <c r="J336" s="13" t="str">
        <f>IF(I336="Trabajo actualmente como empleado",IF(MOD((COUNTIF($I$2:I336,"Trabajo actualmente como empleado")-1)*37,150)&lt;100,"Empleado con contrato","Empleado sin contrato formal"),IF(I336="Trabajo de manera independiente","Trabajo independiente",""))</f>
        <v/>
      </c>
      <c r="K336" s="9" t="str">
        <f>IF(OR(I336="Trabajo actualmente como empleado",I336="Trabajo de manera independiente"),CHOOSE(MOD(COUNTIF($I$2:I336,I336)-1,4)+1,"Menos de 3 meses","De 3 a 6 meses","De 7 a 12 meses","Más de un año"),"")</f>
        <v/>
      </c>
      <c r="L336" t="str">
        <f>IF(OR(I336="Trabajo actualmente como empleado",I336="Trabajo de manera independiente"),CHOOSE(MOD(COUNTIF($I$2:I336,I336)-1,3)+1,"Sí, completamente","Parcialmente","No"),"")</f>
        <v/>
      </c>
      <c r="M336" t="str">
        <f>IF(OR(I336="Trabajo actualmente como empleado",I336="Trabajo de manera independiente"),CHOOSE(MOD(INT((COUNTIF($I$2:I336,I336)-1)/3),4)+1,"1- Muy satisfecho/a","2- Satisfecho/a","3- Insatisfecho/a","4- Muy insatisfecho/a"),"")</f>
        <v/>
      </c>
      <c r="N336" t="str">
        <f>IF(OR(I336="Trabajo actualmente como empleado",I336="Trabajo de manera independiente"),_xlfn.LET(_xlpm.opcion,MOD(INT((COUNTIF($I$2:I336,I336)-1)/5),6)+1,CHOOSE(IF(AND(_xlpm.opcion=6,L336="Sí, completamente"),5,_xlpm.opcion),"Salario","Estabilidad laboral","Horario","Acceso a prestaciones","Oportunidades de crecimiento","Trabajar en un área relacionada con mi formación")),"")</f>
        <v/>
      </c>
      <c r="O336" s="9" t="str">
        <f>IF(OR(I336="Trabajo actualmente como empleado",I336="Trabajo de manera independiente"),_xlfn.LET(_xlpm.turno,MOD(COUNTIF($I$2:I336,I336)-1,5),_xlpm.nivel,VALUE(LEFT(M336,1)),IF(_xlpm.turno=4,"No estoy seguro/a",IF(_xlpm.turno&lt;IF(_xlpm.nivel&lt;=2,1,3),"Sí","No"))),"")</f>
        <v/>
      </c>
      <c r="P336" s="9" t="str">
        <f>_xlfn.LET(_xlpm.perfil,I336,_xlpm.turno,COUNTIF($I$2:I336,_xlpm.perfil)-1,_xlpm.busca,OR(_xlpm.perfil="Actualmente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trabajar"),IF(AND(_xlpm.trabaja,O336="No"),"Todavía no he iniciado una búsqueda activa",CHOOSE(MOD(_xlpm.turno*3,5)+1,"Menos de 1 mes","Entre 1 y 3 meses","Entre 4 y 6 meses","Más de 6 meses","Todavía no he iniciado una búsqueda activa")),"")))</f>
        <v>Más de 6 meses</v>
      </c>
      <c r="Q336" t="str">
        <f>IF(I336="Tengo un emprendimiento o quiero iniciar uno","",CHOOSE(MOD(INT((COUNTIF($I$2:I336,I336)-1)/7),3)+1,"Sí","No","Tengo una pero necesito actualizarla"))</f>
        <v>Tengo una pero necesito actualizarla</v>
      </c>
      <c r="R336" s="9" t="str">
        <f>IF(I336="Tengo un emprendimiento o quiero iniciar uno","",IF(I336="Busco mi primer empleo","No",IF(MOD(COUNTIF($I$2:I336,I336)-1,2)=0,"Sí","No")))</f>
        <v>No</v>
      </c>
      <c r="S336" t="str">
        <f>IF(I336="Tengo un emprendimiento o quiero iniciar uno","",CHOOSE(MOD(INT((COUNTIF($I$2:I336,I336)-1)/3),10)+1,"Portales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36" t="str">
        <f>IF(I336="Tengo un emprendimiento o quiero iniciar uno","",_xlfn.LET(_xlpm.opcion,MOD(INT((COUNTIF($I$2:I336,I336)-1)/4),6)+1,CHOOSE(IF(AND(_xlpm.opcion=3,Q336="Sí"),1,_xlpm.opcion),"Falta de experiencia","Falta de formación","Dificultades con la hoja de vida","Horarios disponibles","Transporte","Internet")))</f>
        <v>Horarios disponibles</v>
      </c>
      <c r="U336" s="9" t="str">
        <f>IF(I336="Tengo un emprendimiento o quiero iniciar uno","",IF(MOD(INT((COUNTIF($I$2:I336,I336)-1)/3),2)=0,"Sí","No"))</f>
        <v>Sí</v>
      </c>
      <c r="V336" s="9" t="str">
        <f>IF(I336="Tengo un emprendimiento o quiero iniciar uno",CHOOSE(MOD(COUNTIF($I$2:I336,I336)-1,3)+1,"Tengo un emprendimiento","Estoy iniciando un emprendimiento","Me interesa emprender"),"")</f>
        <v/>
      </c>
      <c r="W336" t="str">
        <f t="shared" si="95"/>
        <v/>
      </c>
      <c r="X336" s="9" t="str">
        <f>IF(I336="Tengo un emprendimiento o quiero iniciar uno",CHOOSE(MOD(COUNTIF($I$2:I336,I336)-1,5)+1,"Falta de financiación","Falta de conocimientos administrativos","Falta de conocimientos financieros","Falta de tiempo","Falta de herramientas"),"")</f>
        <v/>
      </c>
      <c r="Y336" s="9" t="str">
        <f t="shared" si="96"/>
        <v/>
      </c>
      <c r="Z336" t="str">
        <f>IF(I336="Tengo un emprendimiento o quiero iniciar uno",CHOOSE(INT(MOD((COUNTIF($I$2:I336,I336)-1)*7,39)/13)+1,"Sí","No","No conozco programas de ese tipo"),"")</f>
        <v/>
      </c>
      <c r="AA336" t="str">
        <f t="shared" si="97"/>
        <v>No puedo hacerlo</v>
      </c>
      <c r="AB336" t="str">
        <f t="shared" si="97"/>
        <v>No puedo hacerlo</v>
      </c>
      <c r="AC336" t="str">
        <f t="shared" si="98"/>
        <v>Puedo hacerlo con dificultad</v>
      </c>
      <c r="AD336" s="9" t="str">
        <f t="shared" si="99"/>
        <v>Puedo hacerlo con ayuda</v>
      </c>
      <c r="AE336" t="str">
        <f t="shared" si="100"/>
        <v>Puedo hacerlo con ayuda</v>
      </c>
      <c r="AF336" s="9" t="str">
        <f t="shared" si="101"/>
        <v>Crear una hoja de vida;Preparación para entrevista</v>
      </c>
      <c r="AG336" s="9" t="str">
        <f t="shared" si="102"/>
        <v>Falta de experiencia</v>
      </c>
      <c r="AH336" t="str">
        <f t="shared" si="103"/>
        <v>No conozco ninguno</v>
      </c>
      <c r="AI336" s="9" t="str">
        <f t="shared" si="104"/>
        <v>Presencial y virtual</v>
      </c>
      <c r="AJ336" s="9" t="str">
        <f t="shared" si="105"/>
        <v>Fines de semana</v>
      </c>
      <c r="AK336" s="9" t="str">
        <f t="shared" si="106"/>
        <v>Correo electrónico</v>
      </c>
    </row>
    <row r="337" spans="1:37">
      <c r="A337" t="str">
        <f t="shared" si="107"/>
        <v>SG336</v>
      </c>
      <c r="B337" s="9" t="s">
        <v>419</v>
      </c>
      <c r="C337" s="9" t="s">
        <v>427</v>
      </c>
      <c r="D337" t="str">
        <f t="shared" si="90"/>
        <v>Femenino</v>
      </c>
      <c r="E337" t="str">
        <f t="shared" si="91"/>
        <v>De 18 a 20 años</v>
      </c>
      <c r="F337">
        <f t="shared" si="92"/>
        <v>19</v>
      </c>
      <c r="G337" s="9" t="s">
        <v>430</v>
      </c>
      <c r="H337" s="9" t="str">
        <f t="shared" si="93"/>
        <v>Técnico</v>
      </c>
      <c r="I337" s="9" t="str">
        <f t="shared" si="94"/>
        <v>Tengo un emprendimiento o quiero iniciar uno</v>
      </c>
      <c r="J337" s="13" t="str">
        <f>IF(I337="Trabajo actualmente como empleado",IF(MOD((COUNTIF($I$2:I337,"Trabajo actualmente como empleado")-1)*37,150)&lt;100,"Empleado con contrato","Empleado sin contrato formal"),IF(I337="Trabajo de manera independiente","Trabajo independiente",""))</f>
        <v/>
      </c>
      <c r="K337" s="9" t="str">
        <f>IF(OR(I337="Trabajo actualmente como empleado",I337="Trabajo de manera independiente"),CHOOSE(MOD(COUNTIF($I$2:I337,I337)-1,4)+1,"Menos de 3 meses","De 3 a 6 meses","De 7 a 12 meses","Más de un año"),"")</f>
        <v/>
      </c>
      <c r="L337" t="str">
        <f>IF(OR(I337="Trabajo actualmente como empleado",I337="Trabajo de manera independiente"),CHOOSE(MOD(COUNTIF($I$2:I337,I337)-1,3)+1,"Sí, completamente","Parcialmente","No"),"")</f>
        <v/>
      </c>
      <c r="M337" t="str">
        <f>IF(OR(I337="Trabajo actualmente como empleado",I337="Trabajo de manera independiente"),CHOOSE(MOD(INT((COUNTIF($I$2:I337,I337)-1)/3),4)+1,"1- Muy satisfecho/a","2- Satisfecho/a","3- Insatisfecho/a","4- Muy insatisfecho/a"),"")</f>
        <v/>
      </c>
      <c r="N337" t="str">
        <f>IF(OR(I337="Trabajo actualmente como empleado",I337="Trabajo de manera independiente"),_xlfn.LET(_xlpm.opcion,MOD(INT((COUNTIF($I$2:I337,I337)-1)/5),6)+1,CHOOSE(IF(AND(_xlpm.opcion=6,L337="Sí, completamente"),5,_xlpm.opcion),"Salario","Estabilidad laboral","Horario","Acceso a prestaciones","Oportunidades de crecimiento","Trabajar en un área relacionada con mi formación")),"")</f>
        <v/>
      </c>
      <c r="O337" s="9" t="str">
        <f>IF(OR(I337="Trabajo actualmente como empleado",I337="Trabajo de manera independiente"),_xlfn.LET(_xlpm.turno,MOD(COUNTIF($I$2:I337,I337)-1,5),_xlpm.nivel,VALUE(LEFT(M337,1)),IF(_xlpm.turno=4,"No estoy seguro/a",IF(_xlpm.turno&lt;IF(_xlpm.nivel&lt;=2,1,3),"Sí","No"))),"")</f>
        <v/>
      </c>
      <c r="P337" s="9" t="str">
        <f>_xlfn.LET(_xlpm.perfil,I337,_xlpm.turno,COUNTIF($I$2:I337,_xlpm.perfil)-1,_xlpm.busca,OR(_xlpm.perfil="Actualmente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trabajar"),IF(AND(_xlpm.trabaja,O337="No"),"Todavía no he iniciado una búsqueda activa",CHOOSE(MOD(_xlpm.turno*3,5)+1,"Menos de 1 mes","Entre 1 y 3 meses","Entre 4 y 6 meses","Más de 6 meses","Todavía no he iniciado una búsqueda activa")),"")))</f>
        <v/>
      </c>
      <c r="Q337" t="str">
        <f>IF(I337="Tengo un emprendimiento o quiero iniciar uno","",CHOOSE(MOD(INT((COUNTIF($I$2:I337,I337)-1)/7),3)+1,"Sí","No","Tengo una pero necesito actualizarla"))</f>
        <v/>
      </c>
      <c r="R337" s="9" t="str">
        <f>IF(I337="Tengo un emprendimiento o quiero iniciar uno","",IF(I337="Busco mi primer empleo","No",IF(MOD(COUNTIF($I$2:I337,I337)-1,2)=0,"Sí","No")))</f>
        <v/>
      </c>
      <c r="S337" t="str">
        <f>IF(I337="Tengo un emprendimiento o quiero iniciar uno","",CHOOSE(MOD(INT((COUNTIF($I$2:I337,I337)-1)/3),10)+1,"Portales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37" t="str">
        <f>IF(I337="Tengo un emprendimiento o quiero iniciar uno","",_xlfn.LET(_xlpm.opcion,MOD(INT((COUNTIF($I$2:I337,I337)-1)/4),6)+1,CHOOSE(IF(AND(_xlpm.opcion=3,Q337="Sí"),1,_xlpm.opcion),"Falta de experiencia","Falta de formación","Dificultades con la hoja de vida","Horarios disponibles","Transporte","Internet")))</f>
        <v/>
      </c>
      <c r="U337" s="9" t="str">
        <f>IF(I337="Tengo un emprendimiento o quiero iniciar uno","",IF(MOD(INT((COUNTIF($I$2:I337,I337)-1)/3),2)=0,"Sí","No"))</f>
        <v/>
      </c>
      <c r="V337" s="9" t="str">
        <f>IF(I337="Tengo un emprendimiento o quiero iniciar uno",CHOOSE(MOD(COUNTIF($I$2:I337,I337)-1,3)+1,"Tengo un emprendimiento","Estoy iniciando un emprendimiento","Me interesa emprender"),"")</f>
        <v>Tengo un emprendimiento</v>
      </c>
      <c r="W337" t="str">
        <f t="shared" si="95"/>
        <v>Funcionamiento estable</v>
      </c>
      <c r="X337" s="9" t="str">
        <f>IF(I337="Tengo un emprendimiento o quiero iniciar uno",CHOOSE(MOD(COUNTIF($I$2:I337,I337)-1,5)+1,"Falta de financiación","Falta de conocimientos administrativos","Falta de conocimientos financieros","Falta de tiempo","Falta de herramientas"),"")</f>
        <v>Falta de conocimientos financieros</v>
      </c>
      <c r="Y337" s="9" t="str">
        <f t="shared" si="96"/>
        <v>Falta de conocimientos financieros</v>
      </c>
      <c r="Z337" t="str">
        <f>IF(I337="Tengo un emprendimiento o quiero iniciar uno",CHOOSE(INT(MOD((COUNTIF($I$2:I337,I337)-1)*7,39)/13)+1,"Sí","No","No conozco programas de ese tipo"),"")</f>
        <v>No conozco programas de ese tipo</v>
      </c>
      <c r="AA337" t="str">
        <f t="shared" si="97"/>
        <v>Puedo hacerlo con dificultad</v>
      </c>
      <c r="AB337" t="str">
        <f t="shared" si="97"/>
        <v>Puedo hacerlo con dificultad</v>
      </c>
      <c r="AC337" t="str">
        <f t="shared" si="98"/>
        <v>Puedo hacerlo sin ayuda</v>
      </c>
      <c r="AD337" s="9" t="str">
        <f t="shared" si="99"/>
        <v>Puedo hacerlo con dificultad</v>
      </c>
      <c r="AE337" t="str">
        <f t="shared" si="100"/>
        <v>Puedo hacerlo con ayuda</v>
      </c>
      <c r="AF337" s="9" t="str">
        <f t="shared" si="101"/>
        <v>Comunicación;Liderazgo</v>
      </c>
      <c r="AG337" s="9" t="str">
        <f t="shared" si="102"/>
        <v>Falta de experiencia</v>
      </c>
      <c r="AH337" t="str">
        <f t="shared" si="103"/>
        <v>Ferias de empleo</v>
      </c>
      <c r="AI337" s="9" t="str">
        <f t="shared" si="104"/>
        <v>Me es indiferente</v>
      </c>
      <c r="AJ337" s="9" t="str">
        <f t="shared" si="105"/>
        <v>Diurno</v>
      </c>
      <c r="AK337" s="9" t="str">
        <f t="shared" si="106"/>
        <v>Celular</v>
      </c>
    </row>
    <row r="338" spans="1:37">
      <c r="A338" t="str">
        <f t="shared" si="107"/>
        <v>SG337</v>
      </c>
      <c r="B338" s="9" t="s">
        <v>419</v>
      </c>
      <c r="C338" s="9" t="s">
        <v>427</v>
      </c>
      <c r="D338" t="str">
        <f t="shared" si="90"/>
        <v>Masculino</v>
      </c>
      <c r="E338" t="str">
        <f t="shared" si="91"/>
        <v>De 20 a 22 años</v>
      </c>
      <c r="F338">
        <f t="shared" si="92"/>
        <v>21</v>
      </c>
      <c r="G338" s="9" t="s">
        <v>430</v>
      </c>
      <c r="H338" s="9" t="str">
        <f t="shared" si="93"/>
        <v>Tecnólogo</v>
      </c>
      <c r="I338" s="9" t="str">
        <f t="shared" si="94"/>
        <v>Trabajo de manera independiente</v>
      </c>
      <c r="J338" s="13" t="str">
        <f>IF(I338="Trabajo actualmente como empleado",IF(MOD((COUNTIF($I$2:I338,"Trabajo actualmente como empleado")-1)*37,150)&lt;100,"Empleado con contrato","Empleado sin contrato formal"),IF(I338="Trabajo de manera independiente","Trabajo independiente",""))</f>
        <v>Trabajo independiente</v>
      </c>
      <c r="K338" s="9" t="str">
        <f>IF(OR(I338="Trabajo actualmente como empleado",I338="Trabajo de manera independiente"),CHOOSE(MOD(COUNTIF($I$2:I338,I338)-1,4)+1,"Menos de 3 meses","De 3 a 6 meses","De 7 a 12 meses","Más de un año"),"")</f>
        <v>Menos de 3 meses</v>
      </c>
      <c r="L338" t="str">
        <f>IF(OR(I338="Trabajo actualmente como empleado",I338="Trabajo de manera independiente"),CHOOSE(MOD(COUNTIF($I$2:I338,I338)-1,3)+1,"Sí, completamente","Parcialmente","No"),"")</f>
        <v>No</v>
      </c>
      <c r="M338" t="str">
        <f>IF(OR(I338="Trabajo actualmente como empleado",I338="Trabajo de manera independiente"),CHOOSE(MOD(INT((COUNTIF($I$2:I338,I338)-1)/3),4)+1,"1- Muy satisfecho/a","2- Satisfecho/a","3- Insatisfecho/a","4- Muy insatisfecho/a"),"")</f>
        <v>3- Insatisfecho/a</v>
      </c>
      <c r="N338" t="str">
        <f>IF(OR(I338="Trabajo actualmente como empleado",I338="Trabajo de manera independiente"),_xlfn.LET(_xlpm.opcion,MOD(INT((COUNTIF($I$2:I338,I338)-1)/5),6)+1,CHOOSE(IF(AND(_xlpm.opcion=6,L338="Sí,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38" s="9" t="str">
        <f>IF(OR(I338="Trabajo actualmente como empleado",I338="Trabajo de manera independiente"),_xlfn.LET(_xlpm.turno,MOD(COUNTIF($I$2:I338,I338)-1,5),_xlpm.nivel,VALUE(LEFT(M338,1)),IF(_xlpm.turno=4,"No estoy seguro/a",IF(_xlpm.turno&lt;IF(_xlpm.nivel&lt;=2,1,3),"Sí","No"))),"")</f>
        <v>Sí</v>
      </c>
      <c r="P338" s="9" t="str">
        <f>_xlfn.LET(_xlpm.perfil,I338,_xlpm.turno,COUNTIF($I$2:I338,_xlpm.perfil)-1,_xlpm.busca,OR(_xlpm.perfil="Actualmente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trabajar"),IF(AND(_xlpm.trabaja,O338="No"),"Todavía no he iniciado una búsqueda activa",CHOOSE(MOD(_xlpm.turno*3,5)+1,"Menos de 1 mes","Entre 1 y 3 meses","Entre 4 y 6 meses","Más de 6 meses","Todavía no he iniciado una búsqueda activa")),"")))</f>
        <v>Más de 6 meses</v>
      </c>
      <c r="Q338" t="str">
        <f>IF(I338="Tengo un emprendimiento o quiero iniciar uno","",CHOOSE(MOD(INT((COUNTIF($I$2:I338,I338)-1)/7),3)+1,"Sí","No","Tengo una pero necesito actualizarla"))</f>
        <v>Tengo una pero necesito actualizarla</v>
      </c>
      <c r="R338" s="9" t="str">
        <f>IF(I338="Tengo un emprendimiento o quiero iniciar uno","",IF(I338="Busco mi primer empleo","No",IF(MOD(COUNTIF($I$2:I338,I338)-1,2)=0,"Sí","No")))</f>
        <v>Sí</v>
      </c>
      <c r="S338" t="str">
        <f>IF(I338="Tengo un emprendimiento o quiero iniciar uno","",CHOOSE(MOD(INT((COUNTIF($I$2:I338,I338)-1)/3),10)+1,"Portales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38" t="str">
        <f>IF(I338="Tengo un emprendimiento o quiero iniciar uno","",_xlfn.LET(_xlpm.opcion,MOD(INT((COUNTIF($I$2:I338,I338)-1)/4),6)+1,CHOOSE(IF(AND(_xlpm.opcion=3,Q338="Sí"),1,_xlpm.opcion),"Falta de experiencia","Falta de formación","Dificultades con la hoja de vida","Horarios disponibles","Transporte","Internet")))</f>
        <v>Dificultades con la hoja de vida</v>
      </c>
      <c r="U338" s="9" t="str">
        <f>IF(I338="Tengo un emprendimiento o quiero iniciar uno","",IF(MOD(INT((COUNTIF($I$2:I338,I338)-1)/3),2)=0,"Sí","No"))</f>
        <v>Sí</v>
      </c>
      <c r="V338" s="9" t="str">
        <f>IF(I338="Tengo un emprendimiento o quiero iniciar uno",CHOOSE(MOD(COUNTIF($I$2:I338,I338)-1,3)+1,"Tengo un emprendimiento","Estoy iniciando un emprendimiento","Me interesa emprender"),"")</f>
        <v/>
      </c>
      <c r="W338" t="str">
        <f t="shared" si="95"/>
        <v/>
      </c>
      <c r="X338" s="9" t="str">
        <f>IF(I338="Tengo un emprendimiento o quiero iniciar uno",CHOOSE(MOD(COUNTIF($I$2:I338,I338)-1,5)+1,"Falta de financiación","Falta de conocimientos administrativos","Falta de conocimientos financieros","Falta de tiempo","Falta de herramientas"),"")</f>
        <v/>
      </c>
      <c r="Y338" s="9" t="str">
        <f t="shared" si="96"/>
        <v/>
      </c>
      <c r="Z338" t="str">
        <f>IF(I338="Tengo un emprendimiento o quiero iniciar uno",CHOOSE(INT(MOD((COUNTIF($I$2:I338,I338)-1)*7,39)/13)+1,"Sí","No","No conozco programas de ese tipo"),"")</f>
        <v/>
      </c>
      <c r="AA338" t="str">
        <f t="shared" si="97"/>
        <v>Puedo hacerlo sin ayuda</v>
      </c>
      <c r="AB338" t="str">
        <f t="shared" si="97"/>
        <v>Puedo hacerlo sin ayuda</v>
      </c>
      <c r="AC338" t="str">
        <f t="shared" si="98"/>
        <v>Puedo hacerlo con ayuda</v>
      </c>
      <c r="AD338" s="9" t="str">
        <f t="shared" si="99"/>
        <v>Puedo hacerlo con dificultad</v>
      </c>
      <c r="AE338" t="str">
        <f t="shared" si="100"/>
        <v>Puedo hacerlo con dificultad</v>
      </c>
      <c r="AF338" s="9" t="str">
        <f t="shared" si="101"/>
        <v>Herramientas digitales;Educación financiera</v>
      </c>
      <c r="AG338" s="9" t="str">
        <f t="shared" si="102"/>
        <v>Distancia</v>
      </c>
      <c r="AH338" t="str">
        <f t="shared" si="103"/>
        <v>Programas de emprendimiento</v>
      </c>
      <c r="AI338" s="9" t="str">
        <f t="shared" si="104"/>
        <v>Presencial</v>
      </c>
      <c r="AJ338" s="9" t="str">
        <f t="shared" si="105"/>
        <v>Mañana entre semana</v>
      </c>
      <c r="AK338" s="9" t="str">
        <f t="shared" si="106"/>
        <v>WhatsApp</v>
      </c>
    </row>
    <row r="339" spans="1:37">
      <c r="A339" t="str">
        <f t="shared" si="107"/>
        <v>SG338</v>
      </c>
      <c r="B339" s="9" t="s">
        <v>419</v>
      </c>
      <c r="C339" s="9" t="s">
        <v>427</v>
      </c>
      <c r="D339" t="str">
        <f t="shared" si="90"/>
        <v>Masculino</v>
      </c>
      <c r="E339" t="str">
        <f t="shared" si="91"/>
        <v>De 22 a 24 años</v>
      </c>
      <c r="F339">
        <f t="shared" si="92"/>
        <v>23</v>
      </c>
      <c r="G339" s="9" t="s">
        <v>430</v>
      </c>
      <c r="H339" s="9" t="str">
        <f t="shared" si="93"/>
        <v>Profesional</v>
      </c>
      <c r="I339" s="9" t="str">
        <f t="shared" si="94"/>
        <v>Busco mi primer empleo</v>
      </c>
      <c r="J339" s="13" t="str">
        <f>IF(I339="Trabajo actualmente como empleado",IF(MOD((COUNTIF($I$2:I339,"Trabajo actualmente como empleado")-1)*37,150)&lt;100,"Empleado con contrato","Empleado sin contrato formal"),IF(I339="Trabajo de manera independiente","Trabajo independiente",""))</f>
        <v/>
      </c>
      <c r="K339" s="9" t="str">
        <f>IF(OR(I339="Trabajo actualmente como empleado",I339="Trabajo de manera independiente"),CHOOSE(MOD(COUNTIF($I$2:I339,I339)-1,4)+1,"Menos de 3 meses","De 3 a 6 meses","De 7 a 12 meses","Más de un año"),"")</f>
        <v/>
      </c>
      <c r="L339" t="str">
        <f>IF(OR(I339="Trabajo actualmente como empleado",I339="Trabajo de manera independiente"),CHOOSE(MOD(COUNTIF($I$2:I339,I339)-1,3)+1,"Sí, completamente","Parcialmente","No"),"")</f>
        <v/>
      </c>
      <c r="M339" t="str">
        <f>IF(OR(I339="Trabajo actualmente como empleado",I339="Trabajo de manera independiente"),CHOOSE(MOD(INT((COUNTIF($I$2:I339,I339)-1)/3),4)+1,"1- Muy satisfecho/a","2- Satisfecho/a","3- Insatisfecho/a","4- Muy insatisfecho/a"),"")</f>
        <v/>
      </c>
      <c r="N339" t="str">
        <f>IF(OR(I339="Trabajo actualmente como empleado",I339="Trabajo de manera independiente"),_xlfn.LET(_xlpm.opcion,MOD(INT((COUNTIF($I$2:I339,I339)-1)/5),6)+1,CHOOSE(IF(AND(_xlpm.opcion=6,L339="Sí, completamente"),5,_xlpm.opcion),"Salario","Estabilidad laboral","Horario","Acceso a prestaciones","Oportunidades de crecimiento","Trabajar en un área relacionada con mi formación")),"")</f>
        <v/>
      </c>
      <c r="O339" s="9" t="str">
        <f>IF(OR(I339="Trabajo actualmente como empleado",I339="Trabajo de manera independiente"),_xlfn.LET(_xlpm.turno,MOD(COUNTIF($I$2:I339,I339)-1,5),_xlpm.nivel,VALUE(LEFT(M339,1)),IF(_xlpm.turno=4,"No estoy seguro/a",IF(_xlpm.turno&lt;IF(_xlpm.nivel&lt;=2,1,3),"Sí","No"))),"")</f>
        <v/>
      </c>
      <c r="P339" s="9" t="str">
        <f>_xlfn.LET(_xlpm.perfil,I339,_xlpm.turno,COUNTIF($I$2:I339,_xlpm.perfil)-1,_xlpm.busca,OR(_xlpm.perfil="Actualmente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trabajar"),IF(AND(_xlpm.trabaja,O339="No"),"Todavía no he iniciado una búsqueda activa",CHOOSE(MOD(_xlpm.turno*3,5)+1,"Menos de 1 mes","Entre 1 y 3 meses","Entre 4 y 6 meses","Más de 6 meses","Todavía no he iniciado una búsqueda activa")),"")))</f>
        <v>Menos de 1 mes</v>
      </c>
      <c r="Q339" t="str">
        <f>IF(I339="Tengo un emprendimiento o quiero iniciar uno","",CHOOSE(MOD(INT((COUNTIF($I$2:I339,I339)-1)/7),3)+1,"Sí","No","Tengo una pero necesito actualizarla"))</f>
        <v>Sí</v>
      </c>
      <c r="R339" s="9" t="str">
        <f>IF(I339="Tengo un emprendimiento o quiero iniciar uno","",IF(I339="Busco mi primer empleo","No",IF(MOD(COUNTIF($I$2:I339,I339)-1,2)=0,"Sí","No")))</f>
        <v>No</v>
      </c>
      <c r="S339" t="str">
        <f>IF(I339="Tengo un emprendimiento o quiero iniciar uno","",CHOOSE(MOD(INT((COUNTIF($I$2:I339,I339)-1)/3),10)+1,"Portales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39" t="str">
        <f>IF(I339="Tengo un emprendimiento o quiero iniciar uno","",_xlfn.LET(_xlpm.opcion,MOD(INT((COUNTIF($I$2:I339,I339)-1)/4),6)+1,CHOOSE(IF(AND(_xlpm.opcion=3,Q339="Sí"),1,_xlpm.opcion),"Falta de experiencia","Falta de formación","Dificultades con la hoja de vida","Horarios disponibles","Transporte","Internet")))</f>
        <v>Internet</v>
      </c>
      <c r="U339" s="9" t="str">
        <f>IF(I339="Tengo un emprendimiento o quiero iniciar uno","",IF(MOD(INT((COUNTIF($I$2:I339,I339)-1)/3),2)=0,"Sí","No"))</f>
        <v>Sí</v>
      </c>
      <c r="V339" s="9" t="str">
        <f>IF(I339="Tengo un emprendimiento o quiero iniciar uno",CHOOSE(MOD(COUNTIF($I$2:I339,I339)-1,3)+1,"Tengo un emprendimiento","Estoy iniciando un emprendimiento","Me interesa emprender"),"")</f>
        <v/>
      </c>
      <c r="W339" t="str">
        <f t="shared" si="95"/>
        <v/>
      </c>
      <c r="X339" s="9" t="str">
        <f>IF(I339="Tengo un emprendimiento o quiero iniciar uno",CHOOSE(MOD(COUNTIF($I$2:I339,I339)-1,5)+1,"Falta de financiación","Falta de conocimientos administrativos","Falta de conocimientos financieros","Falta de tiempo","Falta de herramientas"),"")</f>
        <v/>
      </c>
      <c r="Y339" s="9" t="str">
        <f t="shared" si="96"/>
        <v/>
      </c>
      <c r="Z339" t="str">
        <f>IF(I339="Tengo un emprendimiento o quiero iniciar uno",CHOOSE(INT(MOD((COUNTIF($I$2:I339,I339)-1)*7,39)/13)+1,"Sí","No","No conozco programas de ese tipo"),"")</f>
        <v/>
      </c>
      <c r="AA339" t="str">
        <f t="shared" si="97"/>
        <v>Puedo hacerlo con ayuda</v>
      </c>
      <c r="AB339" t="str">
        <f t="shared" si="97"/>
        <v>Puedo hacerlo con ayuda</v>
      </c>
      <c r="AC339" t="str">
        <f t="shared" si="98"/>
        <v>Puedo hacerlo con dificultad</v>
      </c>
      <c r="AD339" s="9" t="str">
        <f t="shared" si="99"/>
        <v>Puedo hacerlo sin ayuda</v>
      </c>
      <c r="AE339" t="str">
        <f t="shared" si="100"/>
        <v>Puedo hacerlo con dificultad</v>
      </c>
      <c r="AF339" s="9" t="str">
        <f t="shared" si="101"/>
        <v>Crear una hoja de vida</v>
      </c>
      <c r="AG339" s="9" t="str">
        <f t="shared" si="102"/>
        <v>Distancia</v>
      </c>
      <c r="AH339" t="str">
        <f t="shared" si="103"/>
        <v>Oficina de orientación laboral</v>
      </c>
      <c r="AI339" s="9" t="str">
        <f t="shared" si="104"/>
        <v>Virtual</v>
      </c>
      <c r="AJ339" s="9" t="str">
        <f t="shared" si="105"/>
        <v>Fines de semana</v>
      </c>
      <c r="AK339" s="9" t="str">
        <f t="shared" si="106"/>
        <v>Redes sociales</v>
      </c>
    </row>
    <row r="340" spans="1:37">
      <c r="A340" t="str">
        <f t="shared" si="107"/>
        <v>SG339</v>
      </c>
      <c r="B340" s="9" t="s">
        <v>419</v>
      </c>
      <c r="C340" s="9" t="s">
        <v>427</v>
      </c>
      <c r="D340" t="str">
        <f t="shared" si="90"/>
        <v>Femenino</v>
      </c>
      <c r="E340" t="str">
        <f t="shared" si="91"/>
        <v>De 24 a 26 años</v>
      </c>
      <c r="F340">
        <f t="shared" si="92"/>
        <v>25</v>
      </c>
      <c r="G340" s="9" t="s">
        <v>430</v>
      </c>
      <c r="H340" s="9" t="str">
        <f t="shared" si="93"/>
        <v>Profesional</v>
      </c>
      <c r="I340" s="9" t="str">
        <f t="shared" si="94"/>
        <v>Trabajo actualmente como empleado</v>
      </c>
      <c r="J340" s="13" t="str">
        <f>IF(I340="Trabajo actualmente como empleado",IF(MOD((COUNTIF($I$2:I340,"Trabajo actualmente como empleado")-1)*37,150)&lt;100,"Empleado con contrato","Empleado sin contrato formal"),IF(I340="Trabajo de manera independiente","Trabajo independiente",""))</f>
        <v>Empleado con contrato</v>
      </c>
      <c r="K340" s="9" t="str">
        <f>IF(OR(I340="Trabajo actualmente como empleado",I340="Trabajo de manera independiente"),CHOOSE(MOD(COUNTIF($I$2:I340,I340)-1,4)+1,"Menos de 3 meses","De 3 a 6 meses","De 7 a 12 meses","Más de un año"),"")</f>
        <v>De 7 a 12 meses</v>
      </c>
      <c r="L340" t="str">
        <f>IF(OR(I340="Trabajo actualmente como empleado",I340="Trabajo de manera independiente"),CHOOSE(MOD(COUNTIF($I$2:I340,I340)-1,3)+1,"Sí, completamente","Parcialmente","No"),"")</f>
        <v>Parcialmente</v>
      </c>
      <c r="M340" t="str">
        <f>IF(OR(I340="Trabajo actualmente como empleado",I340="Trabajo de manera independiente"),CHOOSE(MOD(INT((COUNTIF($I$2:I340,I340)-1)/3),4)+1,"1- Muy satisfecho/a","2- Satisfecho/a","3- Insatisfecho/a","4- Muy insatisfecho/a"),"")</f>
        <v>4- Muy insatisfecho/a</v>
      </c>
      <c r="N340" t="str">
        <f>IF(OR(I340="Trabajo actualmente como empleado",I340="Trabajo de manera independiente"),_xlfn.LET(_xlpm.opcion,MOD(INT((COUNTIF($I$2:I340,I340)-1)/5),6)+1,CHOOSE(IF(AND(_xlpm.opcion=6,L340="Sí, completamente"),5,_xlpm.opcion),"Salario","Estabilidad laboral","Horario","Acceso a prestaciones","Oportunidades de crecimiento","Trabajar en un área relacionada con mi formación")),"")</f>
        <v>Acceso a prestaciones</v>
      </c>
      <c r="O340" s="9" t="str">
        <f>IF(OR(I340="Trabajo actualmente como empleado",I340="Trabajo de manera independiente"),_xlfn.LET(_xlpm.turno,MOD(COUNTIF($I$2:I340,I340)-1,5),_xlpm.nivel,VALUE(LEFT(M340,1)),IF(_xlpm.turno=4,"No estoy seguro/a",IF(_xlpm.turno&lt;IF(_xlpm.nivel&lt;=2,1,3),"Sí","No"))),"")</f>
        <v>Sí</v>
      </c>
      <c r="P340" s="9" t="str">
        <f>_xlfn.LET(_xlpm.perfil,I340,_xlpm.turno,COUNTIF($I$2:I340,_xlpm.perfil)-1,_xlpm.busca,OR(_xlpm.perfil="Actualmente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trabajar"),IF(AND(_xlpm.trabaja,O340="No"),"Todavía no he iniciado una búsqueda activa",CHOOSE(MOD(_xlpm.turno*3,5)+1,"Menos de 1 mes","Entre 1 y 3 meses","Entre 4 y 6 meses","Más de 6 meses","Todavía no he iniciado una búsqueda activa")),"")))</f>
        <v>Más de 6 meses</v>
      </c>
      <c r="Q340" t="str">
        <f>IF(I340="Tengo un emprendimiento o quiero iniciar uno","",CHOOSE(MOD(INT((COUNTIF($I$2:I340,I340)-1)/7),3)+1,"Sí","No","Tengo una pero necesito actualizarla"))</f>
        <v>Sí</v>
      </c>
      <c r="R340" s="9" t="str">
        <f>IF(I340="Tengo un emprendimiento o quiero iniciar uno","",IF(I340="Busco mi primer empleo","No",IF(MOD(COUNTIF($I$2:I340,I340)-1,2)=0,"Sí","No")))</f>
        <v>Sí</v>
      </c>
      <c r="S340" t="str">
        <f>IF(I340="Tengo un emprendimiento o quiero iniciar uno","",CHOOSE(MOD(INT((COUNTIF($I$2:I340,I340)-1)/3),10)+1,"Portales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40" t="str">
        <f>IF(I340="Tengo un emprendimiento o quiero iniciar uno","",_xlfn.LET(_xlpm.opcion,MOD(INT((COUNTIF($I$2:I340,I340)-1)/4),6)+1,CHOOSE(IF(AND(_xlpm.opcion=3,Q340="Sí"),1,_xlpm.opcion),"Falta de experiencia","Falta de formación","Dificultades con la hoja de vida","Horarios disponibles","Transporte","Internet")))</f>
        <v>Falta de experiencia</v>
      </c>
      <c r="U340" s="9" t="str">
        <f>IF(I340="Tengo un emprendimiento o quiero iniciar uno","",IF(MOD(INT((COUNTIF($I$2:I340,I340)-1)/3),2)=0,"Sí","No"))</f>
        <v>No</v>
      </c>
      <c r="V340" s="9" t="str">
        <f>IF(I340="Tengo un emprendimiento o quiero iniciar uno",CHOOSE(MOD(COUNTIF($I$2:I340,I340)-1,3)+1,"Tengo un emprendimiento","Estoy iniciando un emprendimiento","Me interesa emprender"),"")</f>
        <v/>
      </c>
      <c r="W340" t="str">
        <f t="shared" si="95"/>
        <v/>
      </c>
      <c r="X340" s="9" t="str">
        <f>IF(I340="Tengo un emprendimiento o quiero iniciar uno",CHOOSE(MOD(COUNTIF($I$2:I340,I340)-1,5)+1,"Falta de financiación","Falta de conocimientos administrativos","Falta de conocimientos financieros","Falta de tiempo","Falta de herramientas"),"")</f>
        <v/>
      </c>
      <c r="Y340" s="9" t="str">
        <f t="shared" si="96"/>
        <v/>
      </c>
      <c r="Z340" t="str">
        <f>IF(I340="Tengo un emprendimiento o quiero iniciar uno",CHOOSE(INT(MOD((COUNTIF($I$2:I340,I340)-1)*7,39)/13)+1,"Sí","No","No conozco programas de ese tipo"),"")</f>
        <v/>
      </c>
      <c r="AA340" t="str">
        <f t="shared" si="97"/>
        <v>Puedo hacerlo sin ayuda</v>
      </c>
      <c r="AB340" t="str">
        <f t="shared" si="97"/>
        <v>Puedo hacerlo sin ayuda</v>
      </c>
      <c r="AC340" t="str">
        <f t="shared" si="98"/>
        <v>Puedo hacerlo sin ayuda</v>
      </c>
      <c r="AD340" s="9" t="str">
        <f t="shared" si="99"/>
        <v>No puedo hacerlo</v>
      </c>
      <c r="AE340" t="str">
        <f t="shared" si="100"/>
        <v>Puedo hacerlo sin ayuda</v>
      </c>
      <c r="AF340" s="9" t="str">
        <f t="shared" si="101"/>
        <v>Preparación para entrevista</v>
      </c>
      <c r="AG340" s="9" t="str">
        <f t="shared" si="102"/>
        <v>Distancia</v>
      </c>
      <c r="AH340" t="str">
        <f t="shared" si="103"/>
        <v>Programas de emprendimiento</v>
      </c>
      <c r="AI340" s="9" t="str">
        <f t="shared" si="104"/>
        <v>Me es indiferente</v>
      </c>
      <c r="AJ340" s="9" t="str">
        <f t="shared" si="105"/>
        <v>Diurno</v>
      </c>
      <c r="AK340" s="9" t="str">
        <f t="shared" si="106"/>
        <v>Celular</v>
      </c>
    </row>
    <row r="341" spans="1:37">
      <c r="A341" t="str">
        <f t="shared" si="107"/>
        <v>SG340</v>
      </c>
      <c r="B341" s="9" t="s">
        <v>419</v>
      </c>
      <c r="C341" s="9" t="s">
        <v>427</v>
      </c>
      <c r="D341" t="str">
        <f t="shared" si="90"/>
        <v>Femenino</v>
      </c>
      <c r="E341" t="str">
        <f t="shared" si="91"/>
        <v>De 26 a 28 años</v>
      </c>
      <c r="F341">
        <f t="shared" si="92"/>
        <v>27</v>
      </c>
      <c r="G341" s="9" t="s">
        <v>430</v>
      </c>
      <c r="H341" s="9" t="str">
        <f t="shared" si="93"/>
        <v>Bachiller</v>
      </c>
      <c r="I341" s="9" t="str">
        <f t="shared" si="94"/>
        <v>Trabajo de manera independiente</v>
      </c>
      <c r="J341" s="13" t="str">
        <f>IF(I341="Trabajo actualmente como empleado",IF(MOD((COUNTIF($I$2:I341,"Trabajo actualmente como empleado")-1)*37,150)&lt;100,"Empleado con contrato","Empleado sin contrato formal"),IF(I341="Trabajo de manera independiente","Trabajo independiente",""))</f>
        <v>Trabajo independiente</v>
      </c>
      <c r="K341" s="9" t="str">
        <f>IF(OR(I341="Trabajo actualmente como empleado",I341="Trabajo de manera independiente"),CHOOSE(MOD(COUNTIF($I$2:I341,I341)-1,4)+1,"Menos de 3 meses","De 3 a 6 meses","De 7 a 12 meses","Más de un año"),"")</f>
        <v>De 3 a 6 meses</v>
      </c>
      <c r="L341" t="str">
        <f>IF(OR(I341="Trabajo actualmente como empleado",I341="Trabajo de manera independiente"),CHOOSE(MOD(COUNTIF($I$2:I341,I341)-1,3)+1,"Sí, completamente","Parcialmente","No"),"")</f>
        <v>Sí, completamente</v>
      </c>
      <c r="M341" t="str">
        <f>IF(OR(I341="Trabajo actualmente como empleado",I341="Trabajo de manera independiente"),CHOOSE(MOD(INT((COUNTIF($I$2:I341,I341)-1)/3),4)+1,"1- Muy satisfecho/a","2- Satisfecho/a","3- Insatisfecho/a","4- Muy insatisfecho/a"),"")</f>
        <v>4- Muy insatisfecho/a</v>
      </c>
      <c r="N341" t="str">
        <f>IF(OR(I341="Trabajo actualmente como empleado",I341="Trabajo de manera independiente"),_xlfn.LET(_xlpm.opcion,MOD(INT((COUNTIF($I$2:I341,I341)-1)/5),6)+1,CHOOSE(IF(AND(_xlpm.opcion=6,L341="Sí, completamente"),5,_xlpm.opcion),"Salario","Estabilidad laboral","Horario","Acceso a prestaciones","Oportunidades de crecimiento","Trabajar en un área relacionada con mi formación")),"")</f>
        <v>Oportunidades de crecimiento</v>
      </c>
      <c r="O341" s="9" t="str">
        <f>IF(OR(I341="Trabajo actualmente como empleado",I341="Trabajo de manera independiente"),_xlfn.LET(_xlpm.turno,MOD(COUNTIF($I$2:I341,I341)-1,5),_xlpm.nivel,VALUE(LEFT(M341,1)),IF(_xlpm.turno=4,"No estoy seguro/a",IF(_xlpm.turno&lt;IF(_xlpm.nivel&lt;=2,1,3),"Sí","No"))),"")</f>
        <v>Sí</v>
      </c>
      <c r="P341" s="9" t="str">
        <f>_xlfn.LET(_xlpm.perfil,I341,_xlpm.turno,COUNTIF($I$2:I341,_xlpm.perfil)-1,_xlpm.busca,OR(_xlpm.perfil="Actualmente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trabajar"),IF(AND(_xlpm.trabaja,O341="No"),"Todavía no he iniciado una búsqueda activa",CHOOSE(MOD(_xlpm.turno*3,5)+1,"Menos de 1 mes","Entre 1 y 3 meses","Entre 4 y 6 meses","Más de 6 meses","Todavía no he iniciado una búsqueda activa")),"")))</f>
        <v>Entre 1 y 3 meses</v>
      </c>
      <c r="Q341" t="str">
        <f>IF(I341="Tengo un emprendimiento o quiero iniciar uno","",CHOOSE(MOD(INT((COUNTIF($I$2:I341,I341)-1)/7),3)+1,"Sí","No","Tengo una pero necesito actualizarla"))</f>
        <v>Tengo una pero necesito actualizarla</v>
      </c>
      <c r="R341" s="9" t="str">
        <f>IF(I341="Tengo un emprendimiento o quiero iniciar uno","",IF(I341="Busco mi primer empleo","No",IF(MOD(COUNTIF($I$2:I341,I341)-1,2)=0,"Sí","No")))</f>
        <v>No</v>
      </c>
      <c r="S341" t="str">
        <f>IF(I341="Tengo un emprendimiento o quiero iniciar uno","",CHOOSE(MOD(INT((COUNTIF($I$2:I341,I341)-1)/3),10)+1,"Portales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41" t="str">
        <f>IF(I341="Tengo un emprendimiento o quiero iniciar uno","",_xlfn.LET(_xlpm.opcion,MOD(INT((COUNTIF($I$2:I341,I341)-1)/4),6)+1,CHOOSE(IF(AND(_xlpm.opcion=3,Q341="Sí"),1,_xlpm.opcion),"Falta de experiencia","Falta de formación","Dificultades con la hoja de vida","Horarios disponibles","Transporte","Internet")))</f>
        <v>Dificultades con la hoja de vida</v>
      </c>
      <c r="U341" s="9" t="str">
        <f>IF(I341="Tengo un emprendimiento o quiero iniciar uno","",IF(MOD(INT((COUNTIF($I$2:I341,I341)-1)/3),2)=0,"Sí","No"))</f>
        <v>No</v>
      </c>
      <c r="V341" s="9" t="str">
        <f>IF(I341="Tengo un emprendimiento o quiero iniciar uno",CHOOSE(MOD(COUNTIF($I$2:I341,I341)-1,3)+1,"Tengo un emprendimiento","Estoy iniciando un emprendimiento","Me interesa emprender"),"")</f>
        <v/>
      </c>
      <c r="W341" t="str">
        <f t="shared" si="95"/>
        <v/>
      </c>
      <c r="X341" s="9" t="str">
        <f>IF(I341="Tengo un emprendimiento o quiero iniciar uno",CHOOSE(MOD(COUNTIF($I$2:I341,I341)-1,5)+1,"Falta de financiación","Falta de conocimientos administrativos","Falta de conocimientos financieros","Falta de tiempo","Falta de herramientas"),"")</f>
        <v/>
      </c>
      <c r="Y341" s="9" t="str">
        <f t="shared" si="96"/>
        <v/>
      </c>
      <c r="Z341" t="str">
        <f>IF(I341="Tengo un emprendimiento o quiero iniciar uno",CHOOSE(INT(MOD((COUNTIF($I$2:I341,I341)-1)*7,39)/13)+1,"Sí","No","No conozco programas de ese tipo"),"")</f>
        <v/>
      </c>
      <c r="AA341" t="str">
        <f t="shared" si="97"/>
        <v>No puedo hacerlo</v>
      </c>
      <c r="AB341" t="str">
        <f t="shared" si="97"/>
        <v>No puedo hacerlo</v>
      </c>
      <c r="AC341" t="str">
        <f t="shared" si="98"/>
        <v>Puedo hacerlo con ayuda</v>
      </c>
      <c r="AD341" s="9" t="str">
        <f t="shared" si="99"/>
        <v>Puedo hacerlo con ayuda</v>
      </c>
      <c r="AE341" t="str">
        <f t="shared" si="100"/>
        <v>No puedo hacerlo</v>
      </c>
      <c r="AF341" s="9" t="str">
        <f t="shared" si="101"/>
        <v>Comunicación</v>
      </c>
      <c r="AG341" s="9" t="str">
        <f t="shared" si="102"/>
        <v>Falta de experiencia;Falta de información</v>
      </c>
      <c r="AH341" t="str">
        <f t="shared" si="103"/>
        <v>No conozco ninguno</v>
      </c>
      <c r="AI341" s="9" t="str">
        <f t="shared" si="104"/>
        <v>Presencial</v>
      </c>
      <c r="AJ341" s="9" t="str">
        <f t="shared" si="105"/>
        <v>Mañana entre semana</v>
      </c>
      <c r="AK341" s="9" t="str">
        <f t="shared" si="106"/>
        <v>Correo electrónico</v>
      </c>
    </row>
    <row r="342" spans="1:37">
      <c r="A342" t="str">
        <f t="shared" si="107"/>
        <v>SG341</v>
      </c>
      <c r="B342" s="9" t="s">
        <v>419</v>
      </c>
      <c r="C342" s="9" t="s">
        <v>427</v>
      </c>
      <c r="D342" t="str">
        <f t="shared" si="90"/>
        <v>Masculino</v>
      </c>
      <c r="E342" t="str">
        <f t="shared" si="91"/>
        <v>De 18 a 20 años</v>
      </c>
      <c r="F342">
        <f t="shared" si="92"/>
        <v>18</v>
      </c>
      <c r="G342" s="9" t="s">
        <v>430</v>
      </c>
      <c r="H342" s="9" t="str">
        <f t="shared" si="93"/>
        <v>Bachiller</v>
      </c>
      <c r="I342" s="9" t="str">
        <f t="shared" si="94"/>
        <v>Estudio y quiero comenzar a trabajar</v>
      </c>
      <c r="J342" s="13" t="str">
        <f>IF(I342="Trabajo actualmente como empleado",IF(MOD((COUNTIF($I$2:I342,"Trabajo actualmente como empleado")-1)*37,150)&lt;100,"Empleado con contrato","Empleado sin contrato formal"),IF(I342="Trabajo de manera independiente","Trabajo independiente",""))</f>
        <v/>
      </c>
      <c r="K342" s="9" t="str">
        <f>IF(OR(I342="Trabajo actualmente como empleado",I342="Trabajo de manera independiente"),CHOOSE(MOD(COUNTIF($I$2:I342,I342)-1,4)+1,"Menos de 3 meses","De 3 a 6 meses","De 7 a 12 meses","Más de un año"),"")</f>
        <v/>
      </c>
      <c r="L342" t="str">
        <f>IF(OR(I342="Trabajo actualmente como empleado",I342="Trabajo de manera independiente"),CHOOSE(MOD(COUNTIF($I$2:I342,I342)-1,3)+1,"Sí, completamente","Parcialmente","No"),"")</f>
        <v/>
      </c>
      <c r="M342" t="str">
        <f>IF(OR(I342="Trabajo actualmente como empleado",I342="Trabajo de manera independiente"),CHOOSE(MOD(INT((COUNTIF($I$2:I342,I342)-1)/3),4)+1,"1- Muy satisfecho/a","2- Satisfecho/a","3- Insatisfecho/a","4- Muy insatisfecho/a"),"")</f>
        <v/>
      </c>
      <c r="N342" t="str">
        <f>IF(OR(I342="Trabajo actualmente como empleado",I342="Trabajo de manera independiente"),_xlfn.LET(_xlpm.opcion,MOD(INT((COUNTIF($I$2:I342,I342)-1)/5),6)+1,CHOOSE(IF(AND(_xlpm.opcion=6,L342="Sí, completamente"),5,_xlpm.opcion),"Salario","Estabilidad laboral","Horario","Acceso a prestaciones","Oportunidades de crecimiento","Trabajar en un área relacionada con mi formación")),"")</f>
        <v/>
      </c>
      <c r="O342" s="9" t="str">
        <f>IF(OR(I342="Trabajo actualmente como empleado",I342="Trabajo de manera independiente"),_xlfn.LET(_xlpm.turno,MOD(COUNTIF($I$2:I342,I342)-1,5),_xlpm.nivel,VALUE(LEFT(M342,1)),IF(_xlpm.turno=4,"No estoy seguro/a",IF(_xlpm.turno&lt;IF(_xlpm.nivel&lt;=2,1,3),"Sí","No"))),"")</f>
        <v/>
      </c>
      <c r="P342" s="9" t="str">
        <f>_xlfn.LET(_xlpm.perfil,I342,_xlpm.turno,COUNTIF($I$2:I342,_xlpm.perfil)-1,_xlpm.busca,OR(_xlpm.perfil="Actualmente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trabajar"),IF(AND(_xlpm.trabaja,O342="No"),"Todavía no he iniciado una búsqueda activa",CHOOSE(MOD(_xlpm.turno*3,5)+1,"Menos de 1 mes","Entre 1 y 3 meses","Entre 4 y 6 meses","Más de 6 meses","Todavía no he iniciado una búsqueda activa")),"")))</f>
        <v>Menos de 1 mes</v>
      </c>
      <c r="Q342" t="str">
        <f>IF(I342="Tengo un emprendimiento o quiero iniciar uno","",CHOOSE(MOD(INT((COUNTIF($I$2:I342,I342)-1)/7),3)+1,"Sí","No","Tengo una pero necesito actualizarla"))</f>
        <v>Tengo una pero necesito actualizarla</v>
      </c>
      <c r="R342" s="9" t="str">
        <f>IF(I342="Tengo un emprendimiento o quiero iniciar uno","",IF(I342="Busco mi primer empleo","No",IF(MOD(COUNTIF($I$2:I342,I342)-1,2)=0,"Sí","No")))</f>
        <v>Sí</v>
      </c>
      <c r="S342" t="str">
        <f>IF(I342="Tengo un emprendimiento o quiero iniciar uno","",CHOOSE(MOD(INT((COUNTIF($I$2:I342,I342)-1)/3),10)+1,"Portales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42" t="str">
        <f>IF(I342="Tengo un emprendimiento o quiero iniciar uno","",_xlfn.LET(_xlpm.opcion,MOD(INT((COUNTIF($I$2:I342,I342)-1)/4),6)+1,CHOOSE(IF(AND(_xlpm.opcion=3,Q342="Sí"),1,_xlpm.opcion),"Falta de experiencia","Falta de formación","Dificultades con la hoja de vida","Horarios disponibles","Transporte","Internet")))</f>
        <v>Transporte</v>
      </c>
      <c r="U342" s="9" t="str">
        <f>IF(I342="Tengo un emprendimiento o quiero iniciar uno","",IF(MOD(INT((COUNTIF($I$2:I342,I342)-1)/3),2)=0,"Sí","No"))</f>
        <v>No</v>
      </c>
      <c r="V342" s="9" t="str">
        <f>IF(I342="Tengo un emprendimiento o quiero iniciar uno",CHOOSE(MOD(COUNTIF($I$2:I342,I342)-1,3)+1,"Tengo un emprendimiento","Estoy iniciando un emprendimiento","Me interesa emprender"),"")</f>
        <v/>
      </c>
      <c r="W342" t="str">
        <f t="shared" si="95"/>
        <v/>
      </c>
      <c r="X342" s="9" t="str">
        <f>IF(I342="Tengo un emprendimiento o quiero iniciar uno",CHOOSE(MOD(COUNTIF($I$2:I342,I342)-1,5)+1,"Falta de financiación","Falta de conocimientos administrativos","Falta de conocimientos financieros","Falta de tiempo","Falta de herramientas"),"")</f>
        <v/>
      </c>
      <c r="Y342" s="9" t="str">
        <f t="shared" si="96"/>
        <v/>
      </c>
      <c r="Z342" t="str">
        <f>IF(I342="Tengo un emprendimiento o quiero iniciar uno",CHOOSE(INT(MOD((COUNTIF($I$2:I342,I342)-1)*7,39)/13)+1,"Sí","No","No conozco programas de ese tipo"),"")</f>
        <v/>
      </c>
      <c r="AA342" t="str">
        <f t="shared" si="97"/>
        <v>Puedo hacerlo con dificultad</v>
      </c>
      <c r="AB342" t="str">
        <f t="shared" si="97"/>
        <v>Puedo hacerlo con dificultad</v>
      </c>
      <c r="AC342" t="str">
        <f t="shared" si="98"/>
        <v>Puedo hacerlo con dificultad</v>
      </c>
      <c r="AD342" s="9" t="str">
        <f t="shared" si="99"/>
        <v>Puedo hacerlo con ayuda</v>
      </c>
      <c r="AE342" t="str">
        <f t="shared" si="100"/>
        <v>No puedo hacerlo</v>
      </c>
      <c r="AF342" s="9" t="str">
        <f t="shared" si="101"/>
        <v>Liderazgo</v>
      </c>
      <c r="AG342" s="9" t="str">
        <f t="shared" si="102"/>
        <v>Falta de experiencia;Falta de información</v>
      </c>
      <c r="AH342" t="str">
        <f t="shared" si="103"/>
        <v>Ferias de empleo</v>
      </c>
      <c r="AI342" s="9" t="str">
        <f t="shared" si="104"/>
        <v>Virtual</v>
      </c>
      <c r="AJ342" s="9" t="str">
        <f t="shared" si="105"/>
        <v>Fines de semana</v>
      </c>
      <c r="AK342" s="9" t="str">
        <f t="shared" si="106"/>
        <v>Redes sociales</v>
      </c>
    </row>
    <row r="343" spans="1:37">
      <c r="A343" t="str">
        <f t="shared" si="107"/>
        <v>SG342</v>
      </c>
      <c r="B343" s="9" t="s">
        <v>419</v>
      </c>
      <c r="C343" s="9" t="s">
        <v>427</v>
      </c>
      <c r="D343" t="str">
        <f t="shared" si="90"/>
        <v>Femenino</v>
      </c>
      <c r="E343" t="str">
        <f t="shared" si="91"/>
        <v>De 20 a 22 años</v>
      </c>
      <c r="F343">
        <f t="shared" si="92"/>
        <v>20</v>
      </c>
      <c r="G343" s="9" t="s">
        <v>430</v>
      </c>
      <c r="H343" s="9" t="str">
        <f t="shared" si="93"/>
        <v>Bachiller</v>
      </c>
      <c r="I343" s="9" t="str">
        <f t="shared" si="94"/>
        <v>Trabajo actualmente como empleado</v>
      </c>
      <c r="J343" s="13" t="str">
        <f>IF(I343="Trabajo actualmente como empleado",IF(MOD((COUNTIF($I$2:I343,"Trabajo actualmente como empleado")-1)*37,150)&lt;100,"Empleado con contrato","Empleado sin contrato formal"),IF(I343="Trabajo de manera independiente","Trabajo independiente",""))</f>
        <v>Empleado con contrato</v>
      </c>
      <c r="K343" s="9" t="str">
        <f>IF(OR(I343="Trabajo actualmente como empleado",I343="Trabajo de manera independiente"),CHOOSE(MOD(COUNTIF($I$2:I343,I343)-1,4)+1,"Menos de 3 meses","De 3 a 6 meses","De 7 a 12 meses","Más de un año"),"")</f>
        <v>Más de un año</v>
      </c>
      <c r="L343" t="str">
        <f>IF(OR(I343="Trabajo actualmente como empleado",I343="Trabajo de manera independiente"),CHOOSE(MOD(COUNTIF($I$2:I343,I343)-1,3)+1,"Sí, completamente","Parcialmente","No"),"")</f>
        <v>No</v>
      </c>
      <c r="M343" t="str">
        <f>IF(OR(I343="Trabajo actualmente como empleado",I343="Trabajo de manera independiente"),CHOOSE(MOD(INT((COUNTIF($I$2:I343,I343)-1)/3),4)+1,"1- Muy satisfecho/a","2- Satisfecho/a","3- Insatisfecho/a","4- Muy insatisfecho/a"),"")</f>
        <v>4- Muy insatisfecho/a</v>
      </c>
      <c r="N343" t="str">
        <f>IF(OR(I343="Trabajo actualmente como empleado",I343="Trabajo de manera independiente"),_xlfn.LET(_xlpm.opcion,MOD(INT((COUNTIF($I$2:I343,I343)-1)/5),6)+1,CHOOSE(IF(AND(_xlpm.opcion=6,L343="Sí, completamente"),5,_xlpm.opcion),"Salario","Estabilidad laboral","Horario","Acceso a prestaciones","Oportunidades de crecimiento","Trabajar en un área relacionada con mi formación")),"")</f>
        <v>Acceso a prestaciones</v>
      </c>
      <c r="O343" s="9" t="str">
        <f>IF(OR(I343="Trabajo actualmente como empleado",I343="Trabajo de manera independiente"),_xlfn.LET(_xlpm.turno,MOD(COUNTIF($I$2:I343,I343)-1,5),_xlpm.nivel,VALUE(LEFT(M343,1)),IF(_xlpm.turno=4,"No estoy seguro/a",IF(_xlpm.turno&lt;IF(_xlpm.nivel&lt;=2,1,3),"Sí","No"))),"")</f>
        <v>Sí</v>
      </c>
      <c r="P343" s="9" t="str">
        <f>_xlfn.LET(_xlpm.perfil,I343,_xlpm.turno,COUNTIF($I$2:I343,_xlpm.perfil)-1,_xlpm.busca,OR(_xlpm.perfil="Actualmente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trabajar"),IF(AND(_xlpm.trabaja,O343="No"),"Todavía no he iniciado una búsqueda activa",CHOOSE(MOD(_xlpm.turno*3,5)+1,"Menos de 1 mes","Entre 1 y 3 meses","Entre 4 y 6 meses","Más de 6 meses","Todavía no he iniciado una búsqueda activa")),"")))</f>
        <v>Entre 1 y 3 meses</v>
      </c>
      <c r="Q343" t="str">
        <f>IF(I343="Tengo un emprendimiento o quiero iniciar uno","",CHOOSE(MOD(INT((COUNTIF($I$2:I343,I343)-1)/7),3)+1,"Sí","No","Tengo una pero necesito actualizarla"))</f>
        <v>Sí</v>
      </c>
      <c r="R343" s="9" t="str">
        <f>IF(I343="Tengo un emprendimiento o quiero iniciar uno","",IF(I343="Busco mi primer empleo","No",IF(MOD(COUNTIF($I$2:I343,I343)-1,2)=0,"Sí","No")))</f>
        <v>No</v>
      </c>
      <c r="S343" t="str">
        <f>IF(I343="Tengo un emprendimiento o quiero iniciar uno","",CHOOSE(MOD(INT((COUNTIF($I$2:I343,I343)-1)/3),10)+1,"Portales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43" t="str">
        <f>IF(I343="Tengo un emprendimiento o quiero iniciar uno","",_xlfn.LET(_xlpm.opcion,MOD(INT((COUNTIF($I$2:I343,I343)-1)/4),6)+1,CHOOSE(IF(AND(_xlpm.opcion=3,Q343="Sí"),1,_xlpm.opcion),"Falta de experiencia","Falta de formación","Dificultades con la hoja de vida","Horarios disponibles","Transporte","Internet")))</f>
        <v>Falta de experiencia</v>
      </c>
      <c r="U343" s="9" t="str">
        <f>IF(I343="Tengo un emprendimiento o quiero iniciar uno","",IF(MOD(INT((COUNTIF($I$2:I343,I343)-1)/3),2)=0,"Sí","No"))</f>
        <v>No</v>
      </c>
      <c r="V343" s="9" t="str">
        <f>IF(I343="Tengo un emprendimiento o quiero iniciar uno",CHOOSE(MOD(COUNTIF($I$2:I343,I343)-1,3)+1,"Tengo un emprendimiento","Estoy iniciando un emprendimiento","Me interesa emprender"),"")</f>
        <v/>
      </c>
      <c r="W343" t="str">
        <f t="shared" si="95"/>
        <v/>
      </c>
      <c r="X343" s="9" t="str">
        <f>IF(I343="Tengo un emprendimiento o quiero iniciar uno",CHOOSE(MOD(COUNTIF($I$2:I343,I343)-1,5)+1,"Falta de financiación","Falta de conocimientos administrativos","Falta de conocimientos financieros","Falta de tiempo","Falta de herramientas"),"")</f>
        <v/>
      </c>
      <c r="Y343" s="9" t="str">
        <f t="shared" si="96"/>
        <v/>
      </c>
      <c r="Z343" t="str">
        <f>IF(I343="Tengo un emprendimiento o quiero iniciar uno",CHOOSE(INT(MOD((COUNTIF($I$2:I343,I343)-1)*7,39)/13)+1,"Sí","No","No conozco programas de ese tipo"),"")</f>
        <v/>
      </c>
      <c r="AA343" t="str">
        <f t="shared" si="97"/>
        <v>Puedo hacerlo sin ayuda</v>
      </c>
      <c r="AB343" t="str">
        <f t="shared" si="97"/>
        <v>Puedo hacerlo sin ayuda</v>
      </c>
      <c r="AC343" t="str">
        <f t="shared" si="98"/>
        <v>Puedo hacerlo sin ayuda</v>
      </c>
      <c r="AD343" s="9" t="str">
        <f t="shared" si="99"/>
        <v>Puedo hacerlo con dificultad</v>
      </c>
      <c r="AE343" t="str">
        <f t="shared" si="100"/>
        <v>Puedo hacerlo con ayuda</v>
      </c>
      <c r="AF343" s="9" t="str">
        <f t="shared" si="101"/>
        <v>Emprendimiento</v>
      </c>
      <c r="AG343" s="9" t="str">
        <f t="shared" si="102"/>
        <v>Falta de experiencia;Falta de información</v>
      </c>
      <c r="AH343" t="str">
        <f t="shared" si="103"/>
        <v>No conozco ninguno</v>
      </c>
      <c r="AI343" s="9" t="str">
        <f t="shared" si="104"/>
        <v>Presencial y virtual</v>
      </c>
      <c r="AJ343" s="9" t="str">
        <f t="shared" si="105"/>
        <v>Diurno</v>
      </c>
      <c r="AK343" s="9" t="str">
        <f t="shared" si="106"/>
        <v>WhatsApp</v>
      </c>
    </row>
    <row r="344" spans="1:37">
      <c r="A344" t="str">
        <f t="shared" si="107"/>
        <v>SG343</v>
      </c>
      <c r="B344" s="9" t="s">
        <v>419</v>
      </c>
      <c r="C344" s="9" t="s">
        <v>427</v>
      </c>
      <c r="D344" t="str">
        <f t="shared" si="90"/>
        <v>Femenino</v>
      </c>
      <c r="E344" t="str">
        <f t="shared" si="91"/>
        <v>De 22 a 24 años</v>
      </c>
      <c r="F344">
        <f t="shared" si="92"/>
        <v>22</v>
      </c>
      <c r="G344" s="9" t="s">
        <v>430</v>
      </c>
      <c r="H344" s="9" t="str">
        <f t="shared" si="93"/>
        <v>Bachiller</v>
      </c>
      <c r="I344" s="9" t="str">
        <f t="shared" si="94"/>
        <v>Actualmente no trabajo y estoy buscando empleo</v>
      </c>
      <c r="J344" s="13" t="str">
        <f>IF(I344="Trabajo actualmente como empleado",IF(MOD((COUNTIF($I$2:I344,"Trabajo actualmente como empleado")-1)*37,150)&lt;100,"Empleado con contrato","Empleado sin contrato formal"),IF(I344="Trabajo de manera independiente","Trabajo independiente",""))</f>
        <v/>
      </c>
      <c r="K344" s="9" t="str">
        <f>IF(OR(I344="Trabajo actualmente como empleado",I344="Trabajo de manera independiente"),CHOOSE(MOD(COUNTIF($I$2:I344,I344)-1,4)+1,"Menos de 3 meses","De 3 a 6 meses","De 7 a 12 meses","Más de un año"),"")</f>
        <v/>
      </c>
      <c r="L344" t="str">
        <f>IF(OR(I344="Trabajo actualmente como empleado",I344="Trabajo de manera independiente"),CHOOSE(MOD(COUNTIF($I$2:I344,I344)-1,3)+1,"Sí, completamente","Parcialmente","No"),"")</f>
        <v/>
      </c>
      <c r="M344" t="str">
        <f>IF(OR(I344="Trabajo actualmente como empleado",I344="Trabajo de manera independiente"),CHOOSE(MOD(INT((COUNTIF($I$2:I344,I344)-1)/3),4)+1,"1- Muy satisfecho/a","2- Satisfecho/a","3- Insatisfecho/a","4- Muy insatisfecho/a"),"")</f>
        <v/>
      </c>
      <c r="N344" t="str">
        <f>IF(OR(I344="Trabajo actualmente como empleado",I344="Trabajo de manera independiente"),_xlfn.LET(_xlpm.opcion,MOD(INT((COUNTIF($I$2:I344,I344)-1)/5),6)+1,CHOOSE(IF(AND(_xlpm.opcion=6,L344="Sí, completamente"),5,_xlpm.opcion),"Salario","Estabilidad laboral","Horario","Acceso a prestaciones","Oportunidades de crecimiento","Trabajar en un área relacionada con mi formación")),"")</f>
        <v/>
      </c>
      <c r="O344" s="9" t="str">
        <f>IF(OR(I344="Trabajo actualmente como empleado",I344="Trabajo de manera independiente"),_xlfn.LET(_xlpm.turno,MOD(COUNTIF($I$2:I344,I344)-1,5),_xlpm.nivel,VALUE(LEFT(M344,1)),IF(_xlpm.turno=4,"No estoy seguro/a",IF(_xlpm.turno&lt;IF(_xlpm.nivel&lt;=2,1,3),"Sí","No"))),"")</f>
        <v/>
      </c>
      <c r="P344" s="9" t="str">
        <f>_xlfn.LET(_xlpm.perfil,I344,_xlpm.turno,COUNTIF($I$2:I344,_xlpm.perfil)-1,_xlpm.busca,OR(_xlpm.perfil="Actualmente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trabajar"),IF(AND(_xlpm.trabaja,O344="No"),"Todavía no he iniciado una búsqueda activa",CHOOSE(MOD(_xlpm.turno*3,5)+1,"Menos de 1 mes","Entre 1 y 3 meses","Entre 4 y 6 meses","Más de 6 meses","Todavía no he iniciado una búsqueda activa")),"")))</f>
        <v>Entre 4 y 6 meses</v>
      </c>
      <c r="Q344" t="str">
        <f>IF(I344="Tengo un emprendimiento o quiero iniciar uno","",CHOOSE(MOD(INT((COUNTIF($I$2:I344,I344)-1)/7),3)+1,"Sí","No","Tengo una pero necesito actualizarla"))</f>
        <v>Tengo una pero necesito actualizarla</v>
      </c>
      <c r="R344" s="9" t="str">
        <f>IF(I344="Tengo un emprendimiento o quiero iniciar uno","",IF(I344="Busco mi primer empleo","No",IF(MOD(COUNTIF($I$2:I344,I344)-1,2)=0,"Sí","No")))</f>
        <v>Sí</v>
      </c>
      <c r="S344" t="str">
        <f>IF(I344="Tengo un emprendimiento o quiero iniciar uno","",CHOOSE(MOD(INT((COUNTIF($I$2:I344,I344)-1)/3),10)+1,"Portales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44" t="str">
        <f>IF(I344="Tengo un emprendimiento o quiero iniciar uno","",_xlfn.LET(_xlpm.opcion,MOD(INT((COUNTIF($I$2:I344,I344)-1)/4),6)+1,CHOOSE(IF(AND(_xlpm.opcion=3,Q344="Sí"),1,_xlpm.opcion),"Falta de experiencia","Falta de formación","Dificultades con la hoja de vida","Horarios disponibles","Transporte","Internet")))</f>
        <v>Horarios disponibles</v>
      </c>
      <c r="U344" s="9" t="str">
        <f>IF(I344="Tengo un emprendimiento o quiero iniciar uno","",IF(MOD(INT((COUNTIF($I$2:I344,I344)-1)/3),2)=0,"Sí","No"))</f>
        <v>Sí</v>
      </c>
      <c r="V344" s="9" t="str">
        <f>IF(I344="Tengo un emprendimiento o quiero iniciar uno",CHOOSE(MOD(COUNTIF($I$2:I344,I344)-1,3)+1,"Tengo un emprendimiento","Estoy iniciando un emprendimiento","Me interesa emprender"),"")</f>
        <v/>
      </c>
      <c r="W344" t="str">
        <f t="shared" si="95"/>
        <v/>
      </c>
      <c r="X344" s="9" t="str">
        <f>IF(I344="Tengo un emprendimiento o quiero iniciar uno",CHOOSE(MOD(COUNTIF($I$2:I344,I344)-1,5)+1,"Falta de financiación","Falta de conocimientos administrativos","Falta de conocimientos financieros","Falta de tiempo","Falta de herramientas"),"")</f>
        <v/>
      </c>
      <c r="Y344" s="9" t="str">
        <f t="shared" si="96"/>
        <v/>
      </c>
      <c r="Z344" t="str">
        <f>IF(I344="Tengo un emprendimiento o quiero iniciar uno",CHOOSE(INT(MOD((COUNTIF($I$2:I344,I344)-1)*7,39)/13)+1,"Sí","No","No conozco programas de ese tipo"),"")</f>
        <v/>
      </c>
      <c r="AA344" t="str">
        <f t="shared" si="97"/>
        <v>Puedo hacerlo con ayuda</v>
      </c>
      <c r="AB344" t="str">
        <f t="shared" si="97"/>
        <v>Puedo hacerlo con ayuda</v>
      </c>
      <c r="AC344" t="str">
        <f t="shared" si="98"/>
        <v>Puedo hacerlo con ayuda</v>
      </c>
      <c r="AD344" s="9" t="str">
        <f t="shared" si="99"/>
        <v>Puedo hacerlo sin ayuda</v>
      </c>
      <c r="AE344" t="str">
        <f t="shared" si="100"/>
        <v>Puedo hacerlo con ayuda</v>
      </c>
      <c r="AF344" s="9" t="str">
        <f t="shared" si="101"/>
        <v>Herramientas digitales</v>
      </c>
      <c r="AG344" s="9" t="str">
        <f t="shared" si="102"/>
        <v>Costos de transporte;Distancia</v>
      </c>
      <c r="AH344" t="str">
        <f t="shared" si="103"/>
        <v>Oficina de orientación laboral</v>
      </c>
      <c r="AI344" s="9" t="str">
        <f t="shared" si="104"/>
        <v>Me es indiferente</v>
      </c>
      <c r="AJ344" s="9" t="str">
        <f t="shared" si="105"/>
        <v>Mañana entre semana</v>
      </c>
      <c r="AK344" s="9" t="str">
        <f t="shared" si="106"/>
        <v>Correo electrónico</v>
      </c>
    </row>
    <row r="345" spans="1:37">
      <c r="A345" t="str">
        <f t="shared" si="107"/>
        <v>SG344</v>
      </c>
      <c r="B345" s="9" t="s">
        <v>419</v>
      </c>
      <c r="C345" s="9" t="s">
        <v>427</v>
      </c>
      <c r="D345" t="str">
        <f t="shared" si="90"/>
        <v>Masculino</v>
      </c>
      <c r="E345" t="str">
        <f t="shared" si="91"/>
        <v>De 24 a 26 años</v>
      </c>
      <c r="F345">
        <f t="shared" si="92"/>
        <v>24</v>
      </c>
      <c r="G345" s="9" t="s">
        <v>430</v>
      </c>
      <c r="H345" s="9" t="str">
        <f t="shared" si="93"/>
        <v>Técnico</v>
      </c>
      <c r="I345" s="9" t="str">
        <f t="shared" si="94"/>
        <v>Estudio y quiero comenzar a trabajar</v>
      </c>
      <c r="J345" s="13" t="str">
        <f>IF(I345="Trabajo actualmente como empleado",IF(MOD((COUNTIF($I$2:I345,"Trabajo actualmente como empleado")-1)*37,150)&lt;100,"Empleado con contrato","Empleado sin contrato formal"),IF(I345="Trabajo de manera independiente","Trabajo independiente",""))</f>
        <v/>
      </c>
      <c r="K345" s="9" t="str">
        <f>IF(OR(I345="Trabajo actualmente como empleado",I345="Trabajo de manera independiente"),CHOOSE(MOD(COUNTIF($I$2:I345,I345)-1,4)+1,"Menos de 3 meses","De 3 a 6 meses","De 7 a 12 meses","Más de un año"),"")</f>
        <v/>
      </c>
      <c r="L345" t="str">
        <f>IF(OR(I345="Trabajo actualmente como empleado",I345="Trabajo de manera independiente"),CHOOSE(MOD(COUNTIF($I$2:I345,I345)-1,3)+1,"Sí, completamente","Parcialmente","No"),"")</f>
        <v/>
      </c>
      <c r="M345" t="str">
        <f>IF(OR(I345="Trabajo actualmente como empleado",I345="Trabajo de manera independiente"),CHOOSE(MOD(INT((COUNTIF($I$2:I345,I345)-1)/3),4)+1,"1- Muy satisfecho/a","2- Satisfecho/a","3- Insatisfecho/a","4- Muy insatisfecho/a"),"")</f>
        <v/>
      </c>
      <c r="N345" t="str">
        <f>IF(OR(I345="Trabajo actualmente como empleado",I345="Trabajo de manera independiente"),_xlfn.LET(_xlpm.opcion,MOD(INT((COUNTIF($I$2:I345,I345)-1)/5),6)+1,CHOOSE(IF(AND(_xlpm.opcion=6,L345="Sí, completamente"),5,_xlpm.opcion),"Salario","Estabilidad laboral","Horario","Acceso a prestaciones","Oportunidades de crecimiento","Trabajar en un área relacionada con mi formación")),"")</f>
        <v/>
      </c>
      <c r="O345" s="9" t="str">
        <f>IF(OR(I345="Trabajo actualmente como empleado",I345="Trabajo de manera independiente"),_xlfn.LET(_xlpm.turno,MOD(COUNTIF($I$2:I345,I345)-1,5),_xlpm.nivel,VALUE(LEFT(M345,1)),IF(_xlpm.turno=4,"No estoy seguro/a",IF(_xlpm.turno&lt;IF(_xlpm.nivel&lt;=2,1,3),"Sí","No"))),"")</f>
        <v/>
      </c>
      <c r="P345" s="9" t="str">
        <f>_xlfn.LET(_xlpm.perfil,I345,_xlpm.turno,COUNTIF($I$2:I345,_xlpm.perfil)-1,_xlpm.busca,OR(_xlpm.perfil="Actualmente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trabajar"),IF(AND(_xlpm.trabaja,O345="No"),"Todavía no he iniciado una búsqueda activa",CHOOSE(MOD(_xlpm.turno*3,5)+1,"Menos de 1 mes","Entre 1 y 3 meses","Entre 4 y 6 meses","Más de 6 meses","Todavía no he iniciado una búsqueda activa")),"")))</f>
        <v>Más de 6 meses</v>
      </c>
      <c r="Q345" t="str">
        <f>IF(I345="Tengo un emprendimiento o quiero iniciar uno","",CHOOSE(MOD(INT((COUNTIF($I$2:I345,I345)-1)/7),3)+1,"Sí","No","Tengo una pero necesito actualizarla"))</f>
        <v>Tengo una pero necesito actualizarla</v>
      </c>
      <c r="R345" s="9" t="str">
        <f>IF(I345="Tengo un emprendimiento o quiero iniciar uno","",IF(I345="Busco mi primer empleo","No",IF(MOD(COUNTIF($I$2:I345,I345)-1,2)=0,"Sí","No")))</f>
        <v>No</v>
      </c>
      <c r="S345" t="str">
        <f>IF(I345="Tengo un emprendimiento o quiero iniciar uno","",CHOOSE(MOD(INT((COUNTIF($I$2:I345,I345)-1)/3),10)+1,"Portales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45" t="str">
        <f>IF(I345="Tengo un emprendimiento o quiero iniciar uno","",_xlfn.LET(_xlpm.opcion,MOD(INT((COUNTIF($I$2:I345,I345)-1)/4),6)+1,CHOOSE(IF(AND(_xlpm.opcion=3,Q345="Sí"),1,_xlpm.opcion),"Falta de experiencia","Falta de formación","Dificultades con la hoja de vida","Horarios disponibles","Transporte","Internet")))</f>
        <v>Transporte</v>
      </c>
      <c r="U345" s="9" t="str">
        <f>IF(I345="Tengo un emprendimiento o quiero iniciar uno","",IF(MOD(INT((COUNTIF($I$2:I345,I345)-1)/3),2)=0,"Sí","No"))</f>
        <v>No</v>
      </c>
      <c r="V345" s="9" t="str">
        <f>IF(I345="Tengo un emprendimiento o quiero iniciar uno",CHOOSE(MOD(COUNTIF($I$2:I345,I345)-1,3)+1,"Tengo un emprendimiento","Estoy iniciando un emprendimiento","Me interesa emprender"),"")</f>
        <v/>
      </c>
      <c r="W345" t="str">
        <f t="shared" si="95"/>
        <v/>
      </c>
      <c r="X345" s="9" t="str">
        <f>IF(I345="Tengo un emprendimiento o quiero iniciar uno",CHOOSE(MOD(COUNTIF($I$2:I345,I345)-1,5)+1,"Falta de financiación","Falta de conocimientos administrativos","Falta de conocimientos financieros","Falta de tiempo","Falta de herramientas"),"")</f>
        <v/>
      </c>
      <c r="Y345" s="9" t="str">
        <f t="shared" si="96"/>
        <v/>
      </c>
      <c r="Z345" t="str">
        <f>IF(I345="Tengo un emprendimiento o quiero iniciar uno",CHOOSE(INT(MOD((COUNTIF($I$2:I345,I345)-1)*7,39)/13)+1,"Sí","No","No conozco programas de ese tipo"),"")</f>
        <v/>
      </c>
      <c r="AA345" t="str">
        <f t="shared" si="97"/>
        <v>Puedo hacerlo sin ayuda</v>
      </c>
      <c r="AB345" t="str">
        <f t="shared" si="97"/>
        <v>Puedo hacerlo sin ayuda</v>
      </c>
      <c r="AC345" t="str">
        <f t="shared" si="98"/>
        <v>Puedo hacerlo con dificultad</v>
      </c>
      <c r="AD345" s="9" t="str">
        <f t="shared" si="99"/>
        <v>No puedo hacerlo</v>
      </c>
      <c r="AE345" t="str">
        <f t="shared" si="100"/>
        <v>Puedo hacerlo con dificultad</v>
      </c>
      <c r="AF345" s="9" t="str">
        <f t="shared" si="101"/>
        <v>Educación financiera</v>
      </c>
      <c r="AG345" s="9" t="str">
        <f t="shared" si="102"/>
        <v>Costos de transporte;Distancia</v>
      </c>
      <c r="AH345" t="str">
        <f t="shared" si="103"/>
        <v>Programas de emprendimiento</v>
      </c>
      <c r="AI345" s="9" t="str">
        <f t="shared" si="104"/>
        <v>Presencial</v>
      </c>
      <c r="AJ345" s="9" t="str">
        <f t="shared" si="105"/>
        <v>Fines de semana</v>
      </c>
      <c r="AK345" s="9" t="str">
        <f t="shared" si="106"/>
        <v>Celular</v>
      </c>
    </row>
    <row r="346" spans="1:37">
      <c r="A346" t="str">
        <f t="shared" si="107"/>
        <v>SG345</v>
      </c>
      <c r="B346" s="9" t="s">
        <v>419</v>
      </c>
      <c r="C346" s="9" t="s">
        <v>427</v>
      </c>
      <c r="D346" t="str">
        <f t="shared" si="90"/>
        <v>Masculino</v>
      </c>
      <c r="E346" t="str">
        <f t="shared" si="91"/>
        <v>De 26 a 28 años</v>
      </c>
      <c r="F346">
        <f t="shared" si="92"/>
        <v>28</v>
      </c>
      <c r="G346" s="9" t="s">
        <v>430</v>
      </c>
      <c r="H346" s="9" t="str">
        <f t="shared" si="93"/>
        <v>Profesional</v>
      </c>
      <c r="I346" s="9" t="str">
        <f t="shared" si="94"/>
        <v>Trabajo actualmente como empleado</v>
      </c>
      <c r="J346" s="13" t="str">
        <f>IF(I346="Trabajo actualmente como empleado",IF(MOD((COUNTIF($I$2:I346,"Trabajo actualmente como empleado")-1)*37,150)&lt;100,"Empleado con contrato","Empleado sin contrato formal"),IF(I346="Trabajo de manera independiente","Trabajo independiente",""))</f>
        <v>Empleado con contrato</v>
      </c>
      <c r="K346" s="9" t="str">
        <f>IF(OR(I346="Trabajo actualmente como empleado",I346="Trabajo de manera independiente"),CHOOSE(MOD(COUNTIF($I$2:I346,I346)-1,4)+1,"Menos de 3 meses","De 3 a 6 meses","De 7 a 12 meses","Más de un año"),"")</f>
        <v>Menos de 3 meses</v>
      </c>
      <c r="L346" t="str">
        <f>IF(OR(I346="Trabajo actualmente como empleado",I346="Trabajo de manera independiente"),CHOOSE(MOD(COUNTIF($I$2:I346,I346)-1,3)+1,"Sí, completamente","Parcialmente","No"),"")</f>
        <v>Sí, completamente</v>
      </c>
      <c r="M346" t="str">
        <f>IF(OR(I346="Trabajo actualmente como empleado",I346="Trabajo de manera independiente"),CHOOSE(MOD(INT((COUNTIF($I$2:I346,I346)-1)/3),4)+1,"1- Muy satisfecho/a","2- Satisfecho/a","3- Insatisfecho/a","4- Muy insatisfecho/a"),"")</f>
        <v>1- Muy satisfecho/a</v>
      </c>
      <c r="N346" t="str">
        <f>IF(OR(I346="Trabajo actualmente como empleado",I346="Trabajo de manera independiente"),_xlfn.LET(_xlpm.opcion,MOD(INT((COUNTIF($I$2:I346,I346)-1)/5),6)+1,CHOOSE(IF(AND(_xlpm.opcion=6,L346="Sí, completamente"),5,_xlpm.opcion),"Salario","Estabilidad laboral","Horario","Acceso a prestaciones","Oportunidades de crecimiento","Trabajar en un área relacionada con mi formación")),"")</f>
        <v>Acceso a prestaciones</v>
      </c>
      <c r="O346" s="9" t="str">
        <f>IF(OR(I346="Trabajo actualmente como empleado",I346="Trabajo de manera independiente"),_xlfn.LET(_xlpm.turno,MOD(COUNTIF($I$2:I346,I346)-1,5),_xlpm.nivel,VALUE(LEFT(M346,1)),IF(_xlpm.turno=4,"No estoy seguro/a",IF(_xlpm.turno&lt;IF(_xlpm.nivel&lt;=2,1,3),"Sí","No"))),"")</f>
        <v>No</v>
      </c>
      <c r="P346" s="9" t="str">
        <f>_xlfn.LET(_xlpm.perfil,I346,_xlpm.turno,COUNTIF($I$2:I346,_xlpm.perfil)-1,_xlpm.busca,OR(_xlpm.perfil="Actualmente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46" t="str">
        <f>IF(I346="Tengo un emprendimiento o quiero iniciar uno","",CHOOSE(MOD(INT((COUNTIF($I$2:I346,I346)-1)/7),3)+1,"Sí","No","Tengo una pero necesito actualizarla"))</f>
        <v>Sí</v>
      </c>
      <c r="R346" s="9" t="str">
        <f>IF(I346="Tengo un emprendimiento o quiero iniciar uno","",IF(I346="Busco mi primer empleo","No",IF(MOD(COUNTIF($I$2:I346,I346)-1,2)=0,"Sí","No")))</f>
        <v>Sí</v>
      </c>
      <c r="S346" t="str">
        <f>IF(I346="Tengo un emprendimiento o quiero iniciar uno","",CHOOSE(MOD(INT((COUNTIF($I$2:I346,I346)-1)/3),10)+1,"Portales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346" t="str">
        <f>IF(I346="Tengo un emprendimiento o quiero iniciar uno","",_xlfn.LET(_xlpm.opcion,MOD(INT((COUNTIF($I$2:I346,I346)-1)/4),6)+1,CHOOSE(IF(AND(_xlpm.opcion=3,Q346="Sí"),1,_xlpm.opcion),"Falta de experiencia","Falta de formación","Dificultades con la hoja de vida","Horarios disponibles","Transporte","Internet")))</f>
        <v>Horarios disponibles</v>
      </c>
      <c r="U346" s="9" t="str">
        <f>IF(I346="Tengo un emprendimiento o quiero iniciar uno","",IF(MOD(INT((COUNTIF($I$2:I346,I346)-1)/3),2)=0,"Sí","No"))</f>
        <v>Sí</v>
      </c>
      <c r="V346" s="9" t="str">
        <f>IF(I346="Tengo un emprendimiento o quiero iniciar uno",CHOOSE(MOD(COUNTIF($I$2:I346,I346)-1,3)+1,"Tengo un emprendimiento","Estoy iniciando un emprendimiento","Me interesa emprender"),"")</f>
        <v/>
      </c>
      <c r="W346" t="str">
        <f t="shared" si="95"/>
        <v/>
      </c>
      <c r="X346" s="9" t="str">
        <f>IF(I346="Tengo un emprendimiento o quiero iniciar uno",CHOOSE(MOD(COUNTIF($I$2:I346,I346)-1,5)+1,"Falta de financiación","Falta de conocimientos administrativos","Falta de conocimientos financieros","Falta de tiempo","Falta de herramientas"),"")</f>
        <v/>
      </c>
      <c r="Y346" s="9" t="str">
        <f t="shared" si="96"/>
        <v/>
      </c>
      <c r="Z346" t="str">
        <f>IF(I346="Tengo un emprendimiento o quiero iniciar uno",CHOOSE(INT(MOD((COUNTIF($I$2:I346,I346)-1)*7,39)/13)+1,"Sí","No","No conozco programas de ese tipo"),"")</f>
        <v/>
      </c>
      <c r="AA346" t="str">
        <f t="shared" si="97"/>
        <v>No puedo hacerlo</v>
      </c>
      <c r="AB346" t="str">
        <f t="shared" si="97"/>
        <v>No puedo hacerlo</v>
      </c>
      <c r="AC346" t="str">
        <f t="shared" si="98"/>
        <v>Puedo hacerlo sin ayuda</v>
      </c>
      <c r="AD346" s="9" t="str">
        <f t="shared" si="99"/>
        <v>No puedo hacerlo</v>
      </c>
      <c r="AE346" t="str">
        <f t="shared" si="100"/>
        <v>Puedo hacerlo sin ayuda</v>
      </c>
      <c r="AF346" s="9" t="str">
        <f t="shared" si="101"/>
        <v>Crear una hoja de vida;Preparación para entrevista</v>
      </c>
      <c r="AG346" s="9" t="str">
        <f t="shared" si="102"/>
        <v>Costos de transporte;Distancia</v>
      </c>
      <c r="AH346" t="str">
        <f t="shared" si="103"/>
        <v>Oficina de orientación laboral</v>
      </c>
      <c r="AI346" s="9" t="str">
        <f t="shared" si="104"/>
        <v>Virtual</v>
      </c>
      <c r="AJ346" s="9" t="str">
        <f t="shared" si="105"/>
        <v>Nocturno</v>
      </c>
      <c r="AK346" s="9" t="str">
        <f t="shared" si="106"/>
        <v>WhatsApp</v>
      </c>
    </row>
    <row r="347" spans="1:37">
      <c r="A347" t="str">
        <f t="shared" si="107"/>
        <v>SG346</v>
      </c>
      <c r="B347" s="9" t="s">
        <v>419</v>
      </c>
      <c r="C347" s="9" t="s">
        <v>427</v>
      </c>
      <c r="D347" t="str">
        <f t="shared" si="90"/>
        <v>Femenino</v>
      </c>
      <c r="E347" t="str">
        <f t="shared" si="91"/>
        <v>De 18 a 20 años</v>
      </c>
      <c r="F347">
        <f t="shared" si="92"/>
        <v>19</v>
      </c>
      <c r="G347" s="9" t="s">
        <v>430</v>
      </c>
      <c r="H347" s="9" t="str">
        <f t="shared" si="93"/>
        <v>Bachiller</v>
      </c>
      <c r="I347" s="9" t="str">
        <f t="shared" si="94"/>
        <v>Actualmente no trabajo y estoy buscando empleo</v>
      </c>
      <c r="J347" s="13" t="str">
        <f>IF(I347="Trabajo actualmente como empleado",IF(MOD((COUNTIF($I$2:I347,"Trabajo actualmente como empleado")-1)*37,150)&lt;100,"Empleado con contrato","Empleado sin contrato formal"),IF(I347="Trabajo de manera independiente","Trabajo independiente",""))</f>
        <v/>
      </c>
      <c r="K347" s="9" t="str">
        <f>IF(OR(I347="Trabajo actualmente como empleado",I347="Trabajo de manera independiente"),CHOOSE(MOD(COUNTIF($I$2:I347,I347)-1,4)+1,"Menos de 3 meses","De 3 a 6 meses","De 7 a 12 meses","Más de un año"),"")</f>
        <v/>
      </c>
      <c r="L347" t="str">
        <f>IF(OR(I347="Trabajo actualmente como empleado",I347="Trabajo de manera independiente"),CHOOSE(MOD(COUNTIF($I$2:I347,I347)-1,3)+1,"Sí, completamente","Parcialmente","No"),"")</f>
        <v/>
      </c>
      <c r="M347" t="str">
        <f>IF(OR(I347="Trabajo actualmente como empleado",I347="Trabajo de manera independiente"),CHOOSE(MOD(INT((COUNTIF($I$2:I347,I347)-1)/3),4)+1,"1- Muy satisfecho/a","2- Satisfecho/a","3- Insatisfecho/a","4- Muy insatisfecho/a"),"")</f>
        <v/>
      </c>
      <c r="N347" t="str">
        <f>IF(OR(I347="Trabajo actualmente como empleado",I347="Trabajo de manera independiente"),_xlfn.LET(_xlpm.opcion,MOD(INT((COUNTIF($I$2:I347,I347)-1)/5),6)+1,CHOOSE(IF(AND(_xlpm.opcion=6,L347="Sí, completamente"),5,_xlpm.opcion),"Salario","Estabilidad laboral","Horario","Acceso a prestaciones","Oportunidades de crecimiento","Trabajar en un área relacionada con mi formación")),"")</f>
        <v/>
      </c>
      <c r="O347" s="9" t="str">
        <f>IF(OR(I347="Trabajo actualmente como empleado",I347="Trabajo de manera independiente"),_xlfn.LET(_xlpm.turno,MOD(COUNTIF($I$2:I347,I347)-1,5),_xlpm.nivel,VALUE(LEFT(M347,1)),IF(_xlpm.turno=4,"No estoy seguro/a",IF(_xlpm.turno&lt;IF(_xlpm.nivel&lt;=2,1,3),"Sí","No"))),"")</f>
        <v/>
      </c>
      <c r="P347" s="9" t="str">
        <f>_xlfn.LET(_xlpm.perfil,I347,_xlpm.turno,COUNTIF($I$2:I347,_xlpm.perfil)-1,_xlpm.busca,OR(_xlpm.perfil="Actualmente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trabajar"),IF(AND(_xlpm.trabaja,O347="No"),"Todavía no he iniciado una búsqueda activa",CHOOSE(MOD(_xlpm.turno*3,5)+1,"Menos de 1 mes","Entre 1 y 3 meses","Entre 4 y 6 meses","Más de 6 meses","Todavía no he iniciado una búsqueda activa")),"")))</f>
        <v>Entre 1 y 3 meses</v>
      </c>
      <c r="Q347" t="str">
        <f>IF(I347="Tengo un emprendimiento o quiero iniciar uno","",CHOOSE(MOD(INT((COUNTIF($I$2:I347,I347)-1)/7),3)+1,"Sí","No","Tengo una pero necesito actualizarla"))</f>
        <v>Sí</v>
      </c>
      <c r="R347" s="9" t="str">
        <f>IF(I347="Tengo un emprendimiento o quiero iniciar uno","",IF(I347="Busco mi primer empleo","No",IF(MOD(COUNTIF($I$2:I347,I347)-1,2)=0,"Sí","No")))</f>
        <v>No</v>
      </c>
      <c r="S347" t="str">
        <f>IF(I347="Tengo un emprendimiento o quiero iniciar uno","",CHOOSE(MOD(INT((COUNTIF($I$2:I347,I347)-1)/3),10)+1,"Portales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47" t="str">
        <f>IF(I347="Tengo un emprendimiento o quiero iniciar uno","",_xlfn.LET(_xlpm.opcion,MOD(INT((COUNTIF($I$2:I347,I347)-1)/4),6)+1,CHOOSE(IF(AND(_xlpm.opcion=3,Q347="Sí"),1,_xlpm.opcion),"Falta de experiencia","Falta de formación","Dificultades con la hoja de vida","Horarios disponibles","Transporte","Internet")))</f>
        <v>Horarios disponibles</v>
      </c>
      <c r="U347" s="9" t="str">
        <f>IF(I347="Tengo un emprendimiento o quiero iniciar uno","",IF(MOD(INT((COUNTIF($I$2:I347,I347)-1)/3),2)=0,"Sí","No"))</f>
        <v>No</v>
      </c>
      <c r="V347" s="9" t="str">
        <f>IF(I347="Tengo un emprendimiento o quiero iniciar uno",CHOOSE(MOD(COUNTIF($I$2:I347,I347)-1,3)+1,"Tengo un emprendimiento","Estoy iniciando un emprendimiento","Me interesa emprender"),"")</f>
        <v/>
      </c>
      <c r="W347" t="str">
        <f t="shared" si="95"/>
        <v/>
      </c>
      <c r="X347" s="9" t="str">
        <f>IF(I347="Tengo un emprendimiento o quiero iniciar uno",CHOOSE(MOD(COUNTIF($I$2:I347,I347)-1,5)+1,"Falta de financiación","Falta de conocimientos administrativos","Falta de conocimientos financieros","Falta de tiempo","Falta de herramientas"),"")</f>
        <v/>
      </c>
      <c r="Y347" s="9" t="str">
        <f t="shared" si="96"/>
        <v/>
      </c>
      <c r="Z347" t="str">
        <f>IF(I347="Tengo un emprendimiento o quiero iniciar uno",CHOOSE(INT(MOD((COUNTIF($I$2:I347,I347)-1)*7,39)/13)+1,"Sí","No","No conozco programas de ese tipo"),"")</f>
        <v/>
      </c>
      <c r="AA347" t="str">
        <f t="shared" si="97"/>
        <v>Puedo hacerlo con dificultad</v>
      </c>
      <c r="AB347" t="str">
        <f t="shared" si="97"/>
        <v>Puedo hacerlo con dificultad</v>
      </c>
      <c r="AC347" t="str">
        <f t="shared" si="98"/>
        <v>Puedo hacerlo con ayuda</v>
      </c>
      <c r="AD347" s="9" t="str">
        <f t="shared" si="99"/>
        <v>Puedo hacerlo con ayuda</v>
      </c>
      <c r="AE347" t="str">
        <f t="shared" si="100"/>
        <v>Puedo hacerlo sin ayuda</v>
      </c>
      <c r="AF347" s="9" t="str">
        <f t="shared" si="101"/>
        <v>Comunicación;Liderazgo</v>
      </c>
      <c r="AG347" s="9" t="str">
        <f t="shared" si="102"/>
        <v>Falta de información</v>
      </c>
      <c r="AH347" t="str">
        <f t="shared" si="103"/>
        <v>Ferias de empleo</v>
      </c>
      <c r="AI347" s="9" t="str">
        <f t="shared" si="104"/>
        <v>Presencial y virtual</v>
      </c>
      <c r="AJ347" s="9" t="str">
        <f t="shared" si="105"/>
        <v>Mañana entre semana</v>
      </c>
      <c r="AK347" s="9" t="str">
        <f t="shared" si="106"/>
        <v>Redes sociales</v>
      </c>
    </row>
    <row r="348" spans="1:37">
      <c r="A348" t="str">
        <f t="shared" si="107"/>
        <v>SG347</v>
      </c>
      <c r="B348" s="9" t="s">
        <v>419</v>
      </c>
      <c r="C348" s="9" t="s">
        <v>427</v>
      </c>
      <c r="D348" t="str">
        <f t="shared" si="90"/>
        <v>Otro</v>
      </c>
      <c r="E348" t="str">
        <f t="shared" si="91"/>
        <v>De 20 a 22 años</v>
      </c>
      <c r="F348">
        <f t="shared" si="92"/>
        <v>21</v>
      </c>
      <c r="G348" s="9" t="s">
        <v>430</v>
      </c>
      <c r="H348" s="9" t="str">
        <f t="shared" si="93"/>
        <v>Técnico</v>
      </c>
      <c r="I348" s="9" t="str">
        <f t="shared" si="94"/>
        <v>Tengo un emprendimiento o quiero iniciar uno</v>
      </c>
      <c r="J348" s="13" t="str">
        <f>IF(I348="Trabajo actualmente como empleado",IF(MOD((COUNTIF($I$2:I348,"Trabajo actualmente como empleado")-1)*37,150)&lt;100,"Empleado con contrato","Empleado sin contrato formal"),IF(I348="Trabajo de manera independiente","Trabajo independiente",""))</f>
        <v/>
      </c>
      <c r="K348" s="9" t="str">
        <f>IF(OR(I348="Trabajo actualmente como empleado",I348="Trabajo de manera independiente"),CHOOSE(MOD(COUNTIF($I$2:I348,I348)-1,4)+1,"Menos de 3 meses","De 3 a 6 meses","De 7 a 12 meses","Más de un año"),"")</f>
        <v/>
      </c>
      <c r="L348" t="str">
        <f>IF(OR(I348="Trabajo actualmente como empleado",I348="Trabajo de manera independiente"),CHOOSE(MOD(COUNTIF($I$2:I348,I348)-1,3)+1,"Sí, completamente","Parcialmente","No"),"")</f>
        <v/>
      </c>
      <c r="M348" t="str">
        <f>IF(OR(I348="Trabajo actualmente como empleado",I348="Trabajo de manera independiente"),CHOOSE(MOD(INT((COUNTIF($I$2:I348,I348)-1)/3),4)+1,"1- Muy satisfecho/a","2- Satisfecho/a","3- Insatisfecho/a","4- Muy insatisfecho/a"),"")</f>
        <v/>
      </c>
      <c r="N348" t="str">
        <f>IF(OR(I348="Trabajo actualmente como empleado",I348="Trabajo de manera independiente"),_xlfn.LET(_xlpm.opcion,MOD(INT((COUNTIF($I$2:I348,I348)-1)/5),6)+1,CHOOSE(IF(AND(_xlpm.opcion=6,L348="Sí, completamente"),5,_xlpm.opcion),"Salario","Estabilidad laboral","Horario","Acceso a prestaciones","Oportunidades de crecimiento","Trabajar en un área relacionada con mi formación")),"")</f>
        <v/>
      </c>
      <c r="O348" s="9" t="str">
        <f>IF(OR(I348="Trabajo actualmente como empleado",I348="Trabajo de manera independiente"),_xlfn.LET(_xlpm.turno,MOD(COUNTIF($I$2:I348,I348)-1,5),_xlpm.nivel,VALUE(LEFT(M348,1)),IF(_xlpm.turno=4,"No estoy seguro/a",IF(_xlpm.turno&lt;IF(_xlpm.nivel&lt;=2,1,3),"Sí","No"))),"")</f>
        <v/>
      </c>
      <c r="P348" s="9" t="str">
        <f>_xlfn.LET(_xlpm.perfil,I348,_xlpm.turno,COUNTIF($I$2:I348,_xlpm.perfil)-1,_xlpm.busca,OR(_xlpm.perfil="Actualmente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trabajar"),IF(AND(_xlpm.trabaja,O348="No"),"Todavía no he iniciado una búsqueda activa",CHOOSE(MOD(_xlpm.turno*3,5)+1,"Menos de 1 mes","Entre 1 y 3 meses","Entre 4 y 6 meses","Más de 6 meses","Todavía no he iniciado una búsqueda activa")),"")))</f>
        <v/>
      </c>
      <c r="Q348" t="str">
        <f>IF(I348="Tengo un emprendimiento o quiero iniciar uno","",CHOOSE(MOD(INT((COUNTIF($I$2:I348,I348)-1)/7),3)+1,"Sí","No","Tengo una pero necesito actualizarla"))</f>
        <v/>
      </c>
      <c r="R348" s="9" t="str">
        <f>IF(I348="Tengo un emprendimiento o quiero iniciar uno","",IF(I348="Busco mi primer empleo","No",IF(MOD(COUNTIF($I$2:I348,I348)-1,2)=0,"Sí","No")))</f>
        <v/>
      </c>
      <c r="S348" t="str">
        <f>IF(I348="Tengo un emprendimiento o quiero iniciar uno","",CHOOSE(MOD(INT((COUNTIF($I$2:I348,I348)-1)/3),10)+1,"Portales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48" t="str">
        <f>IF(I348="Tengo un emprendimiento o quiero iniciar uno","",_xlfn.LET(_xlpm.opcion,MOD(INT((COUNTIF($I$2:I348,I348)-1)/4),6)+1,CHOOSE(IF(AND(_xlpm.opcion=3,Q348="Sí"),1,_xlpm.opcion),"Falta de experiencia","Falta de formación","Dificultades con la hoja de vida","Horarios disponibles","Transporte","Internet")))</f>
        <v/>
      </c>
      <c r="U348" s="9" t="str">
        <f>IF(I348="Tengo un emprendimiento o quiero iniciar uno","",IF(MOD(INT((COUNTIF($I$2:I348,I348)-1)/3),2)=0,"Sí","No"))</f>
        <v/>
      </c>
      <c r="V348" s="9" t="str">
        <f>IF(I348="Tengo un emprendimiento o quiero iniciar uno",CHOOSE(MOD(COUNTIF($I$2:I348,I348)-1,3)+1,"Tengo un emprendimiento","Estoy iniciando un emprendimiento","Me interesa emprender"),"")</f>
        <v>Estoy iniciando un emprendimiento</v>
      </c>
      <c r="W348" t="str">
        <f t="shared" si="95"/>
        <v>Inicio</v>
      </c>
      <c r="X348" s="9" t="str">
        <f>IF(I348="Tengo un emprendimiento o quiero iniciar uno",CHOOSE(MOD(COUNTIF($I$2:I348,I348)-1,5)+1,"Falta de financiación","Falta de conocimientos administrativos","Falta de conocimientos financieros","Falta de tiempo","Falta de herramientas"),"")</f>
        <v>Falta de tiempo</v>
      </c>
      <c r="Y348" s="9" t="str">
        <f t="shared" si="96"/>
        <v>Falta de tiempo</v>
      </c>
      <c r="Z348" t="str">
        <f>IF(I348="Tengo un emprendimiento o quiero iniciar uno",CHOOSE(INT(MOD((COUNTIF($I$2:I348,I348)-1)*7,39)/13)+1,"Sí","No","No conozco programas de ese tipo"),"")</f>
        <v>Sí</v>
      </c>
      <c r="AA348" t="str">
        <f t="shared" si="97"/>
        <v>Puedo hacerlo sin ayuda</v>
      </c>
      <c r="AB348" t="str">
        <f t="shared" si="97"/>
        <v>Puedo hacerlo sin ayuda</v>
      </c>
      <c r="AC348" t="str">
        <f t="shared" si="98"/>
        <v>Puedo hacerlo con dificultad</v>
      </c>
      <c r="AD348" s="9" t="str">
        <f t="shared" si="99"/>
        <v>Puedo hacerlo con dificultad</v>
      </c>
      <c r="AE348" t="str">
        <f t="shared" si="100"/>
        <v>No puedo hacerlo</v>
      </c>
      <c r="AF348" s="9" t="str">
        <f t="shared" si="101"/>
        <v>Herramientas digitales;Educación financiera</v>
      </c>
      <c r="AG348" s="9" t="str">
        <f t="shared" si="102"/>
        <v>Falta de información</v>
      </c>
      <c r="AH348" t="str">
        <f t="shared" si="103"/>
        <v>No conozco ninguno</v>
      </c>
      <c r="AI348" s="9" t="str">
        <f t="shared" si="104"/>
        <v>Me es indiferente</v>
      </c>
      <c r="AJ348" s="9" t="str">
        <f t="shared" si="105"/>
        <v>Fines de semana</v>
      </c>
      <c r="AK348" s="9" t="str">
        <f t="shared" si="106"/>
        <v>Celular</v>
      </c>
    </row>
    <row r="349" spans="1:37">
      <c r="A349" t="str">
        <f t="shared" si="107"/>
        <v>SG348</v>
      </c>
      <c r="B349" s="9" t="s">
        <v>419</v>
      </c>
      <c r="C349" s="9" t="s">
        <v>427</v>
      </c>
      <c r="D349" t="str">
        <f t="shared" si="90"/>
        <v>Masculino</v>
      </c>
      <c r="E349" t="str">
        <f t="shared" si="91"/>
        <v>De 22 a 24 años</v>
      </c>
      <c r="F349">
        <f t="shared" si="92"/>
        <v>23</v>
      </c>
      <c r="G349" s="9" t="s">
        <v>430</v>
      </c>
      <c r="H349" s="9" t="str">
        <f t="shared" si="93"/>
        <v>Tecnólogo</v>
      </c>
      <c r="I349" s="9" t="str">
        <f t="shared" si="94"/>
        <v>Trabajo de manera independiente</v>
      </c>
      <c r="J349" s="13" t="str">
        <f>IF(I349="Trabajo actualmente como empleado",IF(MOD((COUNTIF($I$2:I349,"Trabajo actualmente como empleado")-1)*37,150)&lt;100,"Empleado con contrato","Empleado sin contrato formal"),IF(I349="Trabajo de manera independiente","Trabajo independiente",""))</f>
        <v>Trabajo independiente</v>
      </c>
      <c r="K349" s="9" t="str">
        <f>IF(OR(I349="Trabajo actualmente como empleado",I349="Trabajo de manera independiente"),CHOOSE(MOD(COUNTIF($I$2:I349,I349)-1,4)+1,"Menos de 3 meses","De 3 a 6 meses","De 7 a 12 meses","Más de un año"),"")</f>
        <v>De 7 a 12 meses</v>
      </c>
      <c r="L349" t="str">
        <f>IF(OR(I349="Trabajo actualmente como empleado",I349="Trabajo de manera independiente"),CHOOSE(MOD(COUNTIF($I$2:I349,I349)-1,3)+1,"Sí, completamente","Parcialmente","No"),"")</f>
        <v>Parcialmente</v>
      </c>
      <c r="M349" t="str">
        <f>IF(OR(I349="Trabajo actualmente como empleado",I349="Trabajo de manera independiente"),CHOOSE(MOD(INT((COUNTIF($I$2:I349,I349)-1)/3),4)+1,"1- Muy satisfecho/a","2- Satisfecho/a","3- Insatisfecho/a","4- Muy insatisfecho/a"),"")</f>
        <v>4- Muy insatisfecho/a</v>
      </c>
      <c r="N349" t="str">
        <f>IF(OR(I349="Trabajo actualmente como empleado",I349="Trabajo de manera independiente"),_xlfn.LET(_xlpm.opcion,MOD(INT((COUNTIF($I$2:I349,I349)-1)/5),6)+1,CHOOSE(IF(AND(_xlpm.opcion=6,L349="Sí,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49" s="9" t="str">
        <f>IF(OR(I349="Trabajo actualmente como empleado",I349="Trabajo de manera independiente"),_xlfn.LET(_xlpm.turno,MOD(COUNTIF($I$2:I349,I349)-1,5),_xlpm.nivel,VALUE(LEFT(M349,1)),IF(_xlpm.turno=4,"No estoy seguro/a",IF(_xlpm.turno&lt;IF(_xlpm.nivel&lt;=2,1,3),"Sí","No"))),"")</f>
        <v>No</v>
      </c>
      <c r="P349" s="9" t="str">
        <f>_xlfn.LET(_xlpm.perfil,I349,_xlpm.turno,COUNTIF($I$2:I349,_xlpm.perfil)-1,_xlpm.busca,OR(_xlpm.perfil="Actualmente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trabajar"),IF(AND(_xlpm.trabaja,O349="No"),"Todavía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49" t="str">
        <f>IF(I349="Tengo un emprendimiento o quiero iniciar uno","",CHOOSE(MOD(INT((COUNTIF($I$2:I349,I349)-1)/7),3)+1,"Sí","No","Tengo una pero necesito actualizarla"))</f>
        <v>Tengo una pero necesito actualizarla</v>
      </c>
      <c r="R349" s="9" t="str">
        <f>IF(I349="Tengo un emprendimiento o quiero iniciar uno","",IF(I349="Busco mi primer empleo","No",IF(MOD(COUNTIF($I$2:I349,I349)-1,2)=0,"Sí","No")))</f>
        <v>Sí</v>
      </c>
      <c r="S349" t="str">
        <f>IF(I349="Tengo un emprendimiento o quiero iniciar uno","",CHOOSE(MOD(INT((COUNTIF($I$2:I349,I349)-1)/3),10)+1,"Portales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49" t="str">
        <f>IF(I349="Tengo un emprendimiento o quiero iniciar uno","",_xlfn.LET(_xlpm.opcion,MOD(INT((COUNTIF($I$2:I349,I349)-1)/4),6)+1,CHOOSE(IF(AND(_xlpm.opcion=3,Q349="Sí"),1,_xlpm.opcion),"Falta de experiencia","Falta de formación","Dificultades con la hoja de vida","Horarios disponibles","Transporte","Internet")))</f>
        <v>Dificultades con la hoja de vida</v>
      </c>
      <c r="U349" s="9" t="str">
        <f>IF(I349="Tengo un emprendimiento o quiero iniciar uno","",IF(MOD(INT((COUNTIF($I$2:I349,I349)-1)/3),2)=0,"Sí","No"))</f>
        <v>No</v>
      </c>
      <c r="V349" s="9" t="str">
        <f>IF(I349="Tengo un emprendimiento o quiero iniciar uno",CHOOSE(MOD(COUNTIF($I$2:I349,I349)-1,3)+1,"Tengo un emprendimiento","Estoy iniciando un emprendimiento","Me interesa emprender"),"")</f>
        <v/>
      </c>
      <c r="W349" t="str">
        <f t="shared" si="95"/>
        <v/>
      </c>
      <c r="X349" s="9" t="str">
        <f>IF(I349="Tengo un emprendimiento o quiero iniciar uno",CHOOSE(MOD(COUNTIF($I$2:I349,I349)-1,5)+1,"Falta de financiación","Falta de conocimientos administrativos","Falta de conocimientos financieros","Falta de tiempo","Falta de herramientas"),"")</f>
        <v/>
      </c>
      <c r="Y349" s="9" t="str">
        <f t="shared" si="96"/>
        <v/>
      </c>
      <c r="Z349" t="str">
        <f>IF(I349="Tengo un emprendimiento o quiero iniciar uno",CHOOSE(INT(MOD((COUNTIF($I$2:I349,I349)-1)*7,39)/13)+1,"Sí","No","No conozco programas de ese tipo"),"")</f>
        <v/>
      </c>
      <c r="AA349" t="str">
        <f t="shared" si="97"/>
        <v>Puedo hacerlo con ayuda</v>
      </c>
      <c r="AB349" t="str">
        <f t="shared" si="97"/>
        <v>Puedo hacerlo con ayuda</v>
      </c>
      <c r="AC349" t="str">
        <f t="shared" si="98"/>
        <v>Puedo hacerlo sin ayuda</v>
      </c>
      <c r="AD349" s="9" t="str">
        <f t="shared" si="99"/>
        <v>Puedo hacerlo con dificultad</v>
      </c>
      <c r="AE349" t="str">
        <f t="shared" si="100"/>
        <v>Puedo hacerlo con ayuda</v>
      </c>
      <c r="AF349" s="9" t="str">
        <f t="shared" si="101"/>
        <v>Crear una hoja de vida</v>
      </c>
      <c r="AG349" s="9" t="str">
        <f t="shared" si="102"/>
        <v>Falta de información</v>
      </c>
      <c r="AH349" t="str">
        <f t="shared" si="103"/>
        <v>Ferias de empleo</v>
      </c>
      <c r="AI349" s="9" t="str">
        <f t="shared" si="104"/>
        <v>Presencial</v>
      </c>
      <c r="AJ349" s="9" t="str">
        <f t="shared" si="105"/>
        <v>Nocturno</v>
      </c>
      <c r="AK349" s="9" t="str">
        <f t="shared" si="106"/>
        <v>Correo electrónico</v>
      </c>
    </row>
    <row r="350" spans="1:37">
      <c r="A350" t="str">
        <f t="shared" si="107"/>
        <v>SG349</v>
      </c>
      <c r="B350" s="9" t="s">
        <v>419</v>
      </c>
      <c r="C350" s="9" t="s">
        <v>427</v>
      </c>
      <c r="D350" t="str">
        <f t="shared" si="90"/>
        <v>Femenino</v>
      </c>
      <c r="E350" t="str">
        <f t="shared" si="91"/>
        <v>De 24 a 26 años</v>
      </c>
      <c r="F350">
        <f t="shared" si="92"/>
        <v>25</v>
      </c>
      <c r="G350" s="9" t="s">
        <v>430</v>
      </c>
      <c r="H350" s="9" t="str">
        <f t="shared" si="93"/>
        <v>Profesional</v>
      </c>
      <c r="I350" s="9" t="str">
        <f t="shared" si="94"/>
        <v>Busco mi primer empleo</v>
      </c>
      <c r="J350" s="13" t="str">
        <f>IF(I350="Trabajo actualmente como empleado",IF(MOD((COUNTIF($I$2:I350,"Trabajo actualmente como empleado")-1)*37,150)&lt;100,"Empleado con contrato","Empleado sin contrato formal"),IF(I350="Trabajo de manera independiente","Trabajo independiente",""))</f>
        <v/>
      </c>
      <c r="K350" s="9" t="str">
        <f>IF(OR(I350="Trabajo actualmente como empleado",I350="Trabajo de manera independiente"),CHOOSE(MOD(COUNTIF($I$2:I350,I350)-1,4)+1,"Menos de 3 meses","De 3 a 6 meses","De 7 a 12 meses","Más de un año"),"")</f>
        <v/>
      </c>
      <c r="L350" t="str">
        <f>IF(OR(I350="Trabajo actualmente como empleado",I350="Trabajo de manera independiente"),CHOOSE(MOD(COUNTIF($I$2:I350,I350)-1,3)+1,"Sí, completamente","Parcialmente","No"),"")</f>
        <v/>
      </c>
      <c r="M350" t="str">
        <f>IF(OR(I350="Trabajo actualmente como empleado",I350="Trabajo de manera independiente"),CHOOSE(MOD(INT((COUNTIF($I$2:I350,I350)-1)/3),4)+1,"1- Muy satisfecho/a","2- Satisfecho/a","3- Insatisfecho/a","4- Muy insatisfecho/a"),"")</f>
        <v/>
      </c>
      <c r="N350" t="str">
        <f>IF(OR(I350="Trabajo actualmente como empleado",I350="Trabajo de manera independiente"),_xlfn.LET(_xlpm.opcion,MOD(INT((COUNTIF($I$2:I350,I350)-1)/5),6)+1,CHOOSE(IF(AND(_xlpm.opcion=6,L350="Sí, completamente"),5,_xlpm.opcion),"Salario","Estabilidad laboral","Horario","Acceso a prestaciones","Oportunidades de crecimiento","Trabajar en un área relacionada con mi formación")),"")</f>
        <v/>
      </c>
      <c r="O350" s="9" t="str">
        <f>IF(OR(I350="Trabajo actualmente como empleado",I350="Trabajo de manera independiente"),_xlfn.LET(_xlpm.turno,MOD(COUNTIF($I$2:I350,I350)-1,5),_xlpm.nivel,VALUE(LEFT(M350,1)),IF(_xlpm.turno=4,"No estoy seguro/a",IF(_xlpm.turno&lt;IF(_xlpm.nivel&lt;=2,1,3),"Sí","No"))),"")</f>
        <v/>
      </c>
      <c r="P350" s="9" t="str">
        <f>_xlfn.LET(_xlpm.perfil,I350,_xlpm.turno,COUNTIF($I$2:I350,_xlpm.perfil)-1,_xlpm.busca,OR(_xlpm.perfil="Actualmente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trabajar"),IF(AND(_xlpm.trabaja,O350="No"),"Todavía no he iniciado una búsqueda activa",CHOOSE(MOD(_xlpm.turno*3,5)+1,"Menos de 1 mes","Entre 1 y 3 meses","Entre 4 y 6 meses","Más de 6 meses","Todavía no he iniciado una búsqueda activa")),"")))</f>
        <v>Más de 6 meses</v>
      </c>
      <c r="Q350" t="str">
        <f>IF(I350="Tengo un emprendimiento o quiero iniciar uno","",CHOOSE(MOD(INT((COUNTIF($I$2:I350,I350)-1)/7),3)+1,"Sí","No","Tengo una pero necesito actualizarla"))</f>
        <v>Sí</v>
      </c>
      <c r="R350" s="9" t="str">
        <f>IF(I350="Tengo un emprendimiento o quiero iniciar uno","",IF(I350="Busco mi primer empleo","No",IF(MOD(COUNTIF($I$2:I350,I350)-1,2)=0,"Sí","No")))</f>
        <v>No</v>
      </c>
      <c r="S350" t="str">
        <f>IF(I350="Tengo un emprendimiento o quiero iniciar uno","",CHOOSE(MOD(INT((COUNTIF($I$2:I350,I350)-1)/3),10)+1,"Portales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50" t="str">
        <f>IF(I350="Tengo un emprendimiento o quiero iniciar uno","",_xlfn.LET(_xlpm.opcion,MOD(INT((COUNTIF($I$2:I350,I350)-1)/4),6)+1,CHOOSE(IF(AND(_xlpm.opcion=3,Q350="Sí"),1,_xlpm.opcion),"Falta de experiencia","Falta de formación","Dificultades con la hoja de vida","Horarios disponibles","Transporte","Internet")))</f>
        <v>Internet</v>
      </c>
      <c r="U350" s="9" t="str">
        <f>IF(I350="Tengo un emprendimiento o quiero iniciar uno","",IF(MOD(INT((COUNTIF($I$2:I350,I350)-1)/3),2)=0,"Sí","No"))</f>
        <v>No</v>
      </c>
      <c r="V350" s="9" t="str">
        <f>IF(I350="Tengo un emprendimiento o quiero iniciar uno",CHOOSE(MOD(COUNTIF($I$2:I350,I350)-1,3)+1,"Tengo un emprendimiento","Estoy iniciando un emprendimiento","Me interesa emprender"),"")</f>
        <v/>
      </c>
      <c r="W350" t="str">
        <f t="shared" si="95"/>
        <v/>
      </c>
      <c r="X350" s="9" t="str">
        <f>IF(I350="Tengo un emprendimiento o quiero iniciar uno",CHOOSE(MOD(COUNTIF($I$2:I350,I350)-1,5)+1,"Falta de financiación","Falta de conocimientos administrativos","Falta de conocimientos financieros","Falta de tiempo","Falta de herramientas"),"")</f>
        <v/>
      </c>
      <c r="Y350" s="9" t="str">
        <f t="shared" si="96"/>
        <v/>
      </c>
      <c r="Z350" t="str">
        <f>IF(I350="Tengo un emprendimiento o quiero iniciar uno",CHOOSE(INT(MOD((COUNTIF($I$2:I350,I350)-1)*7,39)/13)+1,"Sí","No","No conozco programas de ese tipo"),"")</f>
        <v/>
      </c>
      <c r="AA350" t="str">
        <f t="shared" si="97"/>
        <v>Puedo hacerlo sin ayuda</v>
      </c>
      <c r="AB350" t="str">
        <f t="shared" si="97"/>
        <v>Puedo hacerlo sin ayuda</v>
      </c>
      <c r="AC350" t="str">
        <f t="shared" si="98"/>
        <v>No puedo hacerlo</v>
      </c>
      <c r="AD350" s="9" t="str">
        <f t="shared" si="99"/>
        <v>Puedo hacerlo sin ayuda</v>
      </c>
      <c r="AE350" t="str">
        <f t="shared" si="100"/>
        <v>Puedo hacerlo con ayuda</v>
      </c>
      <c r="AF350" s="9" t="str">
        <f t="shared" si="101"/>
        <v>Preparación para entrevista</v>
      </c>
      <c r="AG350" s="9" t="str">
        <f t="shared" si="102"/>
        <v>Horarios</v>
      </c>
      <c r="AH350" t="str">
        <f t="shared" si="103"/>
        <v>Programas de emprendimiento</v>
      </c>
      <c r="AI350" s="9" t="str">
        <f t="shared" si="104"/>
        <v>Virtual</v>
      </c>
      <c r="AJ350" s="9" t="str">
        <f t="shared" si="105"/>
        <v>Mañana entre semana</v>
      </c>
      <c r="AK350" s="9" t="str">
        <f t="shared" si="106"/>
        <v>Redes sociales</v>
      </c>
    </row>
    <row r="351" spans="1:37">
      <c r="A351" t="str">
        <f t="shared" si="107"/>
        <v>SG350</v>
      </c>
      <c r="B351" s="9" t="s">
        <v>419</v>
      </c>
      <c r="C351" s="9" t="s">
        <v>427</v>
      </c>
      <c r="D351" t="str">
        <f t="shared" si="90"/>
        <v>Femenino</v>
      </c>
      <c r="E351" t="str">
        <f t="shared" si="91"/>
        <v>De 26 a 28 años</v>
      </c>
      <c r="F351">
        <f t="shared" si="92"/>
        <v>26</v>
      </c>
      <c r="G351" s="9" t="s">
        <v>430</v>
      </c>
      <c r="H351" s="9" t="str">
        <f t="shared" si="93"/>
        <v>Profesional</v>
      </c>
      <c r="I351" s="9" t="str">
        <f t="shared" si="94"/>
        <v>Trabajo actualmente como empleado</v>
      </c>
      <c r="J351" s="13" t="str">
        <f>IF(I351="Trabajo actualmente como empleado",IF(MOD((COUNTIF($I$2:I351,"Trabajo actualmente como empleado")-1)*37,150)&lt;100,"Empleado con contrato","Empleado sin contrato formal"),IF(I351="Trabajo de manera independiente","Trabajo independiente",""))</f>
        <v>Empleado sin contrato formal</v>
      </c>
      <c r="K351" s="9" t="str">
        <f>IF(OR(I351="Trabajo actualmente como empleado",I351="Trabajo de manera independiente"),CHOOSE(MOD(COUNTIF($I$2:I351,I351)-1,4)+1,"Menos de 3 meses","De 3 a 6 meses","De 7 a 12 meses","Más de un año"),"")</f>
        <v>De 3 a 6 meses</v>
      </c>
      <c r="L351" t="str">
        <f>IF(OR(I351="Trabajo actualmente como empleado",I351="Trabajo de manera independiente"),CHOOSE(MOD(COUNTIF($I$2:I351,I351)-1,3)+1,"Sí, completamente","Parcialmente","No"),"")</f>
        <v>Parcialmente</v>
      </c>
      <c r="M351" t="str">
        <f>IF(OR(I351="Trabajo actualmente como empleado",I351="Trabajo de manera independiente"),CHOOSE(MOD(INT((COUNTIF($I$2:I351,I351)-1)/3),4)+1,"1- Muy satisfecho/a","2- Satisfecho/a","3- Insatisfecho/a","4- Muy insatisfecho/a"),"")</f>
        <v>1- Muy satisfecho/a</v>
      </c>
      <c r="N351" t="str">
        <f>IF(OR(I351="Trabajo actualmente como empleado",I351="Trabajo de manera independiente"),_xlfn.LET(_xlpm.opcion,MOD(INT((COUNTIF($I$2:I351,I351)-1)/5),6)+1,CHOOSE(IF(AND(_xlpm.opcion=6,L351="Sí, completamente"),5,_xlpm.opcion),"Salario","Estabilidad laboral","Horario","Acceso a prestaciones","Oportunidades de crecimiento","Trabajar en un área relacionada con mi formación")),"")</f>
        <v>Acceso a prestaciones</v>
      </c>
      <c r="O351" s="9" t="str">
        <f>IF(OR(I351="Trabajo actualmente como empleado",I351="Trabajo de manera independiente"),_xlfn.LET(_xlpm.turno,MOD(COUNTIF($I$2:I351,I351)-1,5),_xlpm.nivel,VALUE(LEFT(M351,1)),IF(_xlpm.turno=4,"No estoy seguro/a",IF(_xlpm.turno&lt;IF(_xlpm.nivel&lt;=2,1,3),"Sí","No"))),"")</f>
        <v>No estoy seguro/a</v>
      </c>
      <c r="P351" s="9" t="str">
        <f>_xlfn.LET(_xlpm.perfil,I351,_xlpm.turno,COUNTIF($I$2:I351,_xlpm.perfil)-1,_xlpm.busca,OR(_xlpm.perfil="Actualmente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trabajar"),IF(AND(_xlpm.trabaja,O351="No"),"Todavía no he iniciado una búsqueda activa",CHOOSE(MOD(_xlpm.turno*3,5)+1,"Menos de 1 mes","Entre 1 y 3 meses","Entre 4 y 6 meses","Más de 6 meses","Todavía no he iniciado una búsqueda activa")),"")))</f>
        <v>Entre 4 y 6 meses</v>
      </c>
      <c r="Q351" t="str">
        <f>IF(I351="Tengo un emprendimiento o quiero iniciar uno","",CHOOSE(MOD(INT((COUNTIF($I$2:I351,I351)-1)/7),3)+1,"Sí","No","Tengo una pero necesito actualizarla"))</f>
        <v>Sí</v>
      </c>
      <c r="R351" s="9" t="str">
        <f>IF(I351="Tengo un emprendimiento o quiero iniciar uno","",IF(I351="Busco mi primer empleo","No",IF(MOD(COUNTIF($I$2:I351,I351)-1,2)=0,"Sí","No")))</f>
        <v>No</v>
      </c>
      <c r="S351" t="str">
        <f>IF(I351="Tengo un emprendimiento o quiero iniciar uno","",CHOOSE(MOD(INT((COUNTIF($I$2:I351,I351)-1)/3),10)+1,"Portales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351" t="str">
        <f>IF(I351="Tengo un emprendimiento o quiero iniciar uno","",_xlfn.LET(_xlpm.opcion,MOD(INT((COUNTIF($I$2:I351,I351)-1)/4),6)+1,CHOOSE(IF(AND(_xlpm.opcion=3,Q351="Sí"),1,_xlpm.opcion),"Falta de experiencia","Falta de formación","Dificultades con la hoja de vida","Horarios disponibles","Transporte","Internet")))</f>
        <v>Horarios disponibles</v>
      </c>
      <c r="U351" s="9" t="str">
        <f>IF(I351="Tengo un emprendimiento o quiero iniciar uno","",IF(MOD(INT((COUNTIF($I$2:I351,I351)-1)/3),2)=0,"Sí","No"))</f>
        <v>Sí</v>
      </c>
      <c r="V351" s="9" t="str">
        <f>IF(I351="Tengo un emprendimiento o quiero iniciar uno",CHOOSE(MOD(COUNTIF($I$2:I351,I351)-1,3)+1,"Tengo un emprendimiento","Estoy iniciando un emprendimiento","Me interesa emprender"),"")</f>
        <v/>
      </c>
      <c r="W351" t="str">
        <f t="shared" si="95"/>
        <v/>
      </c>
      <c r="X351" s="9" t="str">
        <f>IF(I351="Tengo un emprendimiento o quiero iniciar uno",CHOOSE(MOD(COUNTIF($I$2:I351,I351)-1,5)+1,"Falta de financiación","Falta de conocimientos administrativos","Falta de conocimientos financieros","Falta de tiempo","Falta de herramientas"),"")</f>
        <v/>
      </c>
      <c r="Y351" s="9" t="str">
        <f t="shared" si="96"/>
        <v/>
      </c>
      <c r="Z351" t="str">
        <f>IF(I351="Tengo un emprendimiento o quiero iniciar uno",CHOOSE(INT(MOD((COUNTIF($I$2:I351,I351)-1)*7,39)/13)+1,"Sí","No","No conozco programas de ese tipo"),"")</f>
        <v/>
      </c>
      <c r="AA351" t="str">
        <f t="shared" si="97"/>
        <v>No puedo hacerlo</v>
      </c>
      <c r="AB351" t="str">
        <f t="shared" si="97"/>
        <v>No puedo hacerlo</v>
      </c>
      <c r="AC351" t="str">
        <f t="shared" si="98"/>
        <v>Puedo hacerlo con dificultad</v>
      </c>
      <c r="AD351" s="9" t="str">
        <f t="shared" si="99"/>
        <v>No puedo hacerlo</v>
      </c>
      <c r="AE351" t="str">
        <f t="shared" si="100"/>
        <v>Puedo hacerlo con dificultad</v>
      </c>
      <c r="AF351" s="9" t="str">
        <f t="shared" si="101"/>
        <v>Comunicación</v>
      </c>
      <c r="AG351" s="9" t="str">
        <f t="shared" si="102"/>
        <v>Horarios</v>
      </c>
      <c r="AH351" t="str">
        <f t="shared" si="103"/>
        <v>Oficina de orientación laboral</v>
      </c>
      <c r="AI351" s="9" t="str">
        <f t="shared" si="104"/>
        <v>Presencial y virtual</v>
      </c>
      <c r="AJ351" s="9" t="str">
        <f t="shared" si="105"/>
        <v>Fines de semana</v>
      </c>
      <c r="AK351" s="9" t="str">
        <f t="shared" si="106"/>
        <v>WhatsApp</v>
      </c>
    </row>
    <row r="352" spans="1:37">
      <c r="A352" t="str">
        <f t="shared" si="107"/>
        <v>SG351</v>
      </c>
      <c r="B352" s="9" t="s">
        <v>419</v>
      </c>
      <c r="C352" s="9" t="s">
        <v>427</v>
      </c>
      <c r="D352" t="str">
        <f t="shared" si="90"/>
        <v>Masculino</v>
      </c>
      <c r="E352" t="str">
        <f t="shared" si="91"/>
        <v>De 18 a 20 años</v>
      </c>
      <c r="F352">
        <f t="shared" si="92"/>
        <v>18</v>
      </c>
      <c r="G352" s="9" t="s">
        <v>430</v>
      </c>
      <c r="H352" s="9" t="str">
        <f t="shared" si="93"/>
        <v>Tecnólogo</v>
      </c>
      <c r="I352" s="9" t="str">
        <f t="shared" si="94"/>
        <v>Trabajo de manera independiente</v>
      </c>
      <c r="J352" s="13" t="str">
        <f>IF(I352="Trabajo actualmente como empleado",IF(MOD((COUNTIF($I$2:I352,"Trabajo actualmente como empleado")-1)*37,150)&lt;100,"Empleado con contrato","Empleado sin contrato formal"),IF(I352="Trabajo de manera independiente","Trabajo independiente",""))</f>
        <v>Trabajo independiente</v>
      </c>
      <c r="K352" s="9" t="str">
        <f>IF(OR(I352="Trabajo actualmente como empleado",I352="Trabajo de manera independiente"),CHOOSE(MOD(COUNTIF($I$2:I352,I352)-1,4)+1,"Menos de 3 meses","De 3 a 6 meses","De 7 a 12 meses","Más de un año"),"")</f>
        <v>Más de un año</v>
      </c>
      <c r="L352" t="str">
        <f>IF(OR(I352="Trabajo actualmente como empleado",I352="Trabajo de manera independiente"),CHOOSE(MOD(COUNTIF($I$2:I352,I352)-1,3)+1,"Sí, completamente","Parcialmente","No"),"")</f>
        <v>No</v>
      </c>
      <c r="M352" t="str">
        <f>IF(OR(I352="Trabajo actualmente como empleado",I352="Trabajo de manera independiente"),CHOOSE(MOD(INT((COUNTIF($I$2:I352,I352)-1)/3),4)+1,"1- Muy satisfecho/a","2- Satisfecho/a","3- Insatisfecho/a","4- Muy insatisfecho/a"),"")</f>
        <v>4- Muy insatisfecho/a</v>
      </c>
      <c r="N352" t="str">
        <f>IF(OR(I352="Trabajo actualmente como empleado",I352="Trabajo de manera independiente"),_xlfn.LET(_xlpm.opcion,MOD(INT((COUNTIF($I$2:I352,I352)-1)/5),6)+1,CHOOSE(IF(AND(_xlpm.opcion=6,L352="Sí,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52" s="9" t="str">
        <f>IF(OR(I352="Trabajo actualmente como empleado",I352="Trabajo de manera independiente"),_xlfn.LET(_xlpm.turno,MOD(COUNTIF($I$2:I352,I352)-1,5),_xlpm.nivel,VALUE(LEFT(M352,1)),IF(_xlpm.turno=4,"No estoy seguro/a",IF(_xlpm.turno&lt;IF(_xlpm.nivel&lt;=2,1,3),"Sí","No"))),"")</f>
        <v>No estoy seguro/a</v>
      </c>
      <c r="P352" s="9" t="str">
        <f>_xlfn.LET(_xlpm.perfil,I352,_xlpm.turno,COUNTIF($I$2:I352,_xlpm.perfil)-1,_xlpm.busca,OR(_xlpm.perfil="Actualmente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trabajar"),IF(AND(_xlpm.trabaja,O352="No"),"Todavía no he iniciado una búsqueda activa",CHOOSE(MOD(_xlpm.turno*3,5)+1,"Menos de 1 mes","Entre 1 y 3 meses","Entre 4 y 6 meses","Más de 6 meses","Todavía no he iniciado una búsqueda activa")),"")))</f>
        <v>Entre 4 y 6 meses</v>
      </c>
      <c r="Q352" t="str">
        <f>IF(I352="Tengo un emprendimiento o quiero iniciar uno","",CHOOSE(MOD(INT((COUNTIF($I$2:I352,I352)-1)/7),3)+1,"Sí","No","Tengo una pero necesito actualizarla"))</f>
        <v>Tengo una pero necesito actualizarla</v>
      </c>
      <c r="R352" s="9" t="str">
        <f>IF(I352="Tengo un emprendimiento o quiero iniciar uno","",IF(I352="Busco mi primer empleo","No",IF(MOD(COUNTIF($I$2:I352,I352)-1,2)=0,"Sí","No")))</f>
        <v>No</v>
      </c>
      <c r="S352" t="str">
        <f>IF(I352="Tengo un emprendimiento o quiero iniciar uno","",CHOOSE(MOD(INT((COUNTIF($I$2:I352,I352)-1)/3),10)+1,"Portales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52" t="str">
        <f>IF(I352="Tengo un emprendimiento o quiero iniciar uno","",_xlfn.LET(_xlpm.opcion,MOD(INT((COUNTIF($I$2:I352,I352)-1)/4),6)+1,CHOOSE(IF(AND(_xlpm.opcion=3,Q352="Sí"),1,_xlpm.opcion),"Falta de experiencia","Falta de formación","Dificultades con la hoja de vida","Horarios disponibles","Transporte","Internet")))</f>
        <v>Dificultades con la hoja de vida</v>
      </c>
      <c r="U352" s="9" t="str">
        <f>IF(I352="Tengo un emprendimiento o quiero iniciar uno","",IF(MOD(INT((COUNTIF($I$2:I352,I352)-1)/3),2)=0,"Sí","No"))</f>
        <v>No</v>
      </c>
      <c r="V352" s="9" t="str">
        <f>IF(I352="Tengo un emprendimiento o quiero iniciar uno",CHOOSE(MOD(COUNTIF($I$2:I352,I352)-1,3)+1,"Tengo un emprendimiento","Estoy iniciando un emprendimiento","Me interesa emprender"),"")</f>
        <v/>
      </c>
      <c r="W352" t="str">
        <f t="shared" si="95"/>
        <v/>
      </c>
      <c r="X352" s="9" t="str">
        <f>IF(I352="Tengo un emprendimiento o quiero iniciar uno",CHOOSE(MOD(COUNTIF($I$2:I352,I352)-1,5)+1,"Falta de financiación","Falta de conocimientos administrativos","Falta de conocimientos financieros","Falta de tiempo","Falta de herramientas"),"")</f>
        <v/>
      </c>
      <c r="Y352" s="9" t="str">
        <f t="shared" si="96"/>
        <v/>
      </c>
      <c r="Z352" t="str">
        <f>IF(I352="Tengo un emprendimiento o quiero iniciar uno",CHOOSE(INT(MOD((COUNTIF($I$2:I352,I352)-1)*7,39)/13)+1,"Sí","No","No conozco programas de ese tipo"),"")</f>
        <v/>
      </c>
      <c r="AA352" t="str">
        <f t="shared" si="97"/>
        <v>Puedo hacerlo con dificultad</v>
      </c>
      <c r="AB352" t="str">
        <f t="shared" si="97"/>
        <v>Puedo hacerlo con dificultad</v>
      </c>
      <c r="AC352" t="str">
        <f t="shared" si="98"/>
        <v>Puedo hacerlo sin ayuda</v>
      </c>
      <c r="AD352" s="9" t="str">
        <f t="shared" si="99"/>
        <v>Puedo hacerlo con ayuda</v>
      </c>
      <c r="AE352" t="str">
        <f t="shared" si="100"/>
        <v>Puedo hacerlo con dificultad</v>
      </c>
      <c r="AF352" s="9" t="str">
        <f t="shared" si="101"/>
        <v>Liderazgo</v>
      </c>
      <c r="AG352" s="9" t="str">
        <f t="shared" si="102"/>
        <v>Horarios</v>
      </c>
      <c r="AH352" t="str">
        <f t="shared" si="103"/>
        <v>Programas de emprendimiento</v>
      </c>
      <c r="AI352" s="9" t="str">
        <f t="shared" si="104"/>
        <v>Me es indiferente</v>
      </c>
      <c r="AJ352" s="9" t="str">
        <f t="shared" si="105"/>
        <v>Nocturno</v>
      </c>
      <c r="AK352" s="9" t="str">
        <f t="shared" si="106"/>
        <v>Correo electrónico</v>
      </c>
    </row>
    <row r="353" spans="1:37">
      <c r="A353" t="str">
        <f t="shared" si="107"/>
        <v>SG352</v>
      </c>
      <c r="B353" s="9" t="s">
        <v>419</v>
      </c>
      <c r="C353" s="9" t="s">
        <v>427</v>
      </c>
      <c r="D353" t="str">
        <f t="shared" si="90"/>
        <v>Masculino</v>
      </c>
      <c r="E353" t="str">
        <f t="shared" si="91"/>
        <v>De 20 a 22 años</v>
      </c>
      <c r="F353">
        <f t="shared" si="92"/>
        <v>20</v>
      </c>
      <c r="G353" s="9" t="s">
        <v>430</v>
      </c>
      <c r="H353" s="9" t="str">
        <f t="shared" si="93"/>
        <v>Tecnólogo</v>
      </c>
      <c r="I353" s="9" t="str">
        <f t="shared" si="94"/>
        <v>Busco mi primer empleo</v>
      </c>
      <c r="J353" s="13" t="str">
        <f>IF(I353="Trabajo actualmente como empleado",IF(MOD((COUNTIF($I$2:I353,"Trabajo actualmente como empleado")-1)*37,150)&lt;100,"Empleado con contrato","Empleado sin contrato formal"),IF(I353="Trabajo de manera independiente","Trabajo independiente",""))</f>
        <v/>
      </c>
      <c r="K353" s="9" t="str">
        <f>IF(OR(I353="Trabajo actualmente como empleado",I353="Trabajo de manera independiente"),CHOOSE(MOD(COUNTIF($I$2:I353,I353)-1,4)+1,"Menos de 3 meses","De 3 a 6 meses","De 7 a 12 meses","Más de un año"),"")</f>
        <v/>
      </c>
      <c r="L353" t="str">
        <f>IF(OR(I353="Trabajo actualmente como empleado",I353="Trabajo de manera independiente"),CHOOSE(MOD(COUNTIF($I$2:I353,I353)-1,3)+1,"Sí, completamente","Parcialmente","No"),"")</f>
        <v/>
      </c>
      <c r="M353" t="str">
        <f>IF(OR(I353="Trabajo actualmente como empleado",I353="Trabajo de manera independiente"),CHOOSE(MOD(INT((COUNTIF($I$2:I353,I353)-1)/3),4)+1,"1- Muy satisfecho/a","2- Satisfecho/a","3- Insatisfecho/a","4- Muy insatisfecho/a"),"")</f>
        <v/>
      </c>
      <c r="N353" t="str">
        <f>IF(OR(I353="Trabajo actualmente como empleado",I353="Trabajo de manera independiente"),_xlfn.LET(_xlpm.opcion,MOD(INT((COUNTIF($I$2:I353,I353)-1)/5),6)+1,CHOOSE(IF(AND(_xlpm.opcion=6,L353="Sí, completamente"),5,_xlpm.opcion),"Salario","Estabilidad laboral","Horario","Acceso a prestaciones","Oportunidades de crecimiento","Trabajar en un área relacionada con mi formación")),"")</f>
        <v/>
      </c>
      <c r="O353" s="9" t="str">
        <f>IF(OR(I353="Trabajo actualmente como empleado",I353="Trabajo de manera independiente"),_xlfn.LET(_xlpm.turno,MOD(COUNTIF($I$2:I353,I353)-1,5),_xlpm.nivel,VALUE(LEFT(M353,1)),IF(_xlpm.turno=4,"No estoy seguro/a",IF(_xlpm.turno&lt;IF(_xlpm.nivel&lt;=2,1,3),"Sí","No"))),"")</f>
        <v/>
      </c>
      <c r="P353" s="9" t="str">
        <f>_xlfn.LET(_xlpm.perfil,I353,_xlpm.turno,COUNTIF($I$2:I353,_xlpm.perfil)-1,_xlpm.busca,OR(_xlpm.perfil="Actualmente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trabajar"),IF(AND(_xlpm.trabaja,O353="No"),"Todavía no he iniciado una búsqueda activa",CHOOSE(MOD(_xlpm.turno*3,5)+1,"Menos de 1 mes","Entre 1 y 3 meses","Entre 4 y 6 meses","Más de 6 meses","Todavía no he iniciado una búsqueda activa")),"")))</f>
        <v>Entre 4 y 6 meses</v>
      </c>
      <c r="Q353" t="str">
        <f>IF(I353="Tengo un emprendimiento o quiero iniciar uno","",CHOOSE(MOD(INT((COUNTIF($I$2:I353,I353)-1)/7),3)+1,"Sí","No","Tengo una pero necesito actualizarla"))</f>
        <v>Sí</v>
      </c>
      <c r="R353" s="9" t="str">
        <f>IF(I353="Tengo un emprendimiento o quiero iniciar uno","",IF(I353="Busco mi primer empleo","No",IF(MOD(COUNTIF($I$2:I353,I353)-1,2)=0,"Sí","No")))</f>
        <v>No</v>
      </c>
      <c r="S353" t="str">
        <f>IF(I353="Tengo un emprendimiento o quiero iniciar uno","",CHOOSE(MOD(INT((COUNTIF($I$2:I353,I353)-1)/3),10)+1,"Portales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53" t="str">
        <f>IF(I353="Tengo un emprendimiento o quiero iniciar uno","",_xlfn.LET(_xlpm.opcion,MOD(INT((COUNTIF($I$2:I353,I353)-1)/4),6)+1,CHOOSE(IF(AND(_xlpm.opcion=3,Q353="Sí"),1,_xlpm.opcion),"Falta de experiencia","Falta de formación","Dificultades con la hoja de vida","Horarios disponibles","Transporte","Internet")))</f>
        <v>Internet</v>
      </c>
      <c r="U353" s="9" t="str">
        <f>IF(I353="Tengo un emprendimiento o quiero iniciar uno","",IF(MOD(INT((COUNTIF($I$2:I353,I353)-1)/3),2)=0,"Sí","No"))</f>
        <v>No</v>
      </c>
      <c r="V353" s="9" t="str">
        <f>IF(I353="Tengo un emprendimiento o quiero iniciar uno",CHOOSE(MOD(COUNTIF($I$2:I353,I353)-1,3)+1,"Tengo un emprendimiento","Estoy iniciando un emprendimiento","Me interesa emprender"),"")</f>
        <v/>
      </c>
      <c r="W353" t="str">
        <f t="shared" si="95"/>
        <v/>
      </c>
      <c r="X353" s="9" t="str">
        <f>IF(I353="Tengo un emprendimiento o quiero iniciar uno",CHOOSE(MOD(COUNTIF($I$2:I353,I353)-1,5)+1,"Falta de financiación","Falta de conocimientos administrativos","Falta de conocimientos financieros","Falta de tiempo","Falta de herramientas"),"")</f>
        <v/>
      </c>
      <c r="Y353" s="9" t="str">
        <f t="shared" si="96"/>
        <v/>
      </c>
      <c r="Z353" t="str">
        <f>IF(I353="Tengo un emprendimiento o quiero iniciar uno",CHOOSE(INT(MOD((COUNTIF($I$2:I353,I353)-1)*7,39)/13)+1,"Sí","No","No conozco programas de ese tipo"),"")</f>
        <v/>
      </c>
      <c r="AA353" t="str">
        <f t="shared" si="97"/>
        <v>Puedo hacerlo sin ayuda</v>
      </c>
      <c r="AB353" t="str">
        <f t="shared" si="97"/>
        <v>Puedo hacerlo sin ayuda</v>
      </c>
      <c r="AC353" t="str">
        <f t="shared" si="98"/>
        <v>No puedo hacerlo</v>
      </c>
      <c r="AD353" s="9" t="str">
        <f t="shared" si="99"/>
        <v>Puedo hacerlo con ayuda</v>
      </c>
      <c r="AE353" t="str">
        <f t="shared" si="100"/>
        <v>Puedo hacerlo sin ayuda</v>
      </c>
      <c r="AF353" s="9" t="str">
        <f t="shared" si="101"/>
        <v>Emprendimiento</v>
      </c>
      <c r="AG353" s="9" t="str">
        <f t="shared" si="102"/>
        <v>Costos de transporte</v>
      </c>
      <c r="AH353" t="str">
        <f t="shared" si="103"/>
        <v>No conozco ninguno</v>
      </c>
      <c r="AI353" s="9" t="str">
        <f t="shared" si="104"/>
        <v>Presencial</v>
      </c>
      <c r="AJ353" s="9" t="str">
        <f t="shared" si="105"/>
        <v>Mañana entre semana</v>
      </c>
      <c r="AK353" s="9" t="str">
        <f t="shared" si="106"/>
        <v>Celular</v>
      </c>
    </row>
    <row r="354" spans="1:37">
      <c r="A354" t="str">
        <f t="shared" si="107"/>
        <v>SG353</v>
      </c>
      <c r="B354" s="9" t="s">
        <v>419</v>
      </c>
      <c r="C354" s="9" t="s">
        <v>427</v>
      </c>
      <c r="D354" t="str">
        <f t="shared" si="90"/>
        <v>Femenino</v>
      </c>
      <c r="E354" t="str">
        <f t="shared" si="91"/>
        <v>De 22 a 24 años</v>
      </c>
      <c r="F354">
        <f t="shared" si="92"/>
        <v>22</v>
      </c>
      <c r="G354" s="9" t="s">
        <v>430</v>
      </c>
      <c r="H354" s="9" t="str">
        <f t="shared" si="93"/>
        <v>Profesional</v>
      </c>
      <c r="I354" s="9" t="str">
        <f t="shared" si="94"/>
        <v>Trabajo actualmente como empleado</v>
      </c>
      <c r="J354" s="13" t="str">
        <f>IF(I354="Trabajo actualmente como empleado",IF(MOD((COUNTIF($I$2:I354,"Trabajo actualmente como empleado")-1)*37,150)&lt;100,"Empleado con contrato","Empleado sin contrato formal"),IF(I354="Trabajo de manera independiente","Trabajo independiente",""))</f>
        <v>Empleado con contrato</v>
      </c>
      <c r="K354" s="9" t="str">
        <f>IF(OR(I354="Trabajo actualmente como empleado",I354="Trabajo de manera independiente"),CHOOSE(MOD(COUNTIF($I$2:I354,I354)-1,4)+1,"Menos de 3 meses","De 3 a 6 meses","De 7 a 12 meses","Más de un año"),"")</f>
        <v>De 7 a 12 meses</v>
      </c>
      <c r="L354" t="str">
        <f>IF(OR(I354="Trabajo actualmente como empleado",I354="Trabajo de manera independiente"),CHOOSE(MOD(COUNTIF($I$2:I354,I354)-1,3)+1,"Sí, completamente","Parcialmente","No"),"")</f>
        <v>No</v>
      </c>
      <c r="M354" t="str">
        <f>IF(OR(I354="Trabajo actualmente como empleado",I354="Trabajo de manera independiente"),CHOOSE(MOD(INT((COUNTIF($I$2:I354,I354)-1)/3),4)+1,"1- Muy satisfecho/a","2- Satisfecho/a","3- Insatisfecho/a","4- Muy insatisfecho/a"),"")</f>
        <v>1- Muy satisfecho/a</v>
      </c>
      <c r="N354" t="str">
        <f>IF(OR(I354="Trabajo actualmente como empleado",I354="Trabajo de manera independiente"),_xlfn.LET(_xlpm.opcion,MOD(INT((COUNTIF($I$2:I354,I354)-1)/5),6)+1,CHOOSE(IF(AND(_xlpm.opcion=6,L354="Sí, completamente"),5,_xlpm.opcion),"Salario","Estabilidad laboral","Horario","Acceso a prestaciones","Oportunidades de crecimiento","Trabajar en un área relacionada con mi formación")),"")</f>
        <v>Oportunidades de crecimiento</v>
      </c>
      <c r="O354" s="9" t="str">
        <f>IF(OR(I354="Trabajo actualmente como empleado",I354="Trabajo de manera independiente"),_xlfn.LET(_xlpm.turno,MOD(COUNTIF($I$2:I354,I354)-1,5),_xlpm.nivel,VALUE(LEFT(M354,1)),IF(_xlpm.turno=4,"No estoy seguro/a",IF(_xlpm.turno&lt;IF(_xlpm.nivel&lt;=2,1,3),"Sí","No"))),"")</f>
        <v>Sí</v>
      </c>
      <c r="P354" s="9" t="str">
        <f>_xlfn.LET(_xlpm.perfil,I354,_xlpm.turno,COUNTIF($I$2:I354,_xlpm.perfil)-1,_xlpm.busca,OR(_xlpm.perfil="Actualmente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trabajar"),IF(AND(_xlpm.trabaja,O354="No"),"Todavía no he iniciado una búsqueda activa",CHOOSE(MOD(_xlpm.turno*3,5)+1,"Menos de 1 mes","Entre 1 y 3 meses","Entre 4 y 6 meses","Más de 6 meses","Todavía no he iniciado una búsqueda activa")),"")))</f>
        <v>Menos de 1 mes</v>
      </c>
      <c r="Q354" t="str">
        <f>IF(I354="Tengo un emprendimiento o quiero iniciar uno","",CHOOSE(MOD(INT((COUNTIF($I$2:I354,I354)-1)/7),3)+1,"Sí","No","Tengo una pero necesito actualizarla"))</f>
        <v>Sí</v>
      </c>
      <c r="R354" s="9" t="str">
        <f>IF(I354="Tengo un emprendimiento o quiero iniciar uno","",IF(I354="Busco mi primer empleo","No",IF(MOD(COUNTIF($I$2:I354,I354)-1,2)=0,"Sí","No")))</f>
        <v>Sí</v>
      </c>
      <c r="S354" t="str">
        <f>IF(I354="Tengo un emprendimiento o quiero iniciar uno","",CHOOSE(MOD(INT((COUNTIF($I$2:I354,I354)-1)/3),10)+1,"Portales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354" t="str">
        <f>IF(I354="Tengo un emprendimiento o quiero iniciar uno","",_xlfn.LET(_xlpm.opcion,MOD(INT((COUNTIF($I$2:I354,I354)-1)/4),6)+1,CHOOSE(IF(AND(_xlpm.opcion=3,Q354="Sí"),1,_xlpm.opcion),"Falta de experiencia","Falta de formación","Dificultades con la hoja de vida","Horarios disponibles","Transporte","Internet")))</f>
        <v>Horarios disponibles</v>
      </c>
      <c r="U354" s="9" t="str">
        <f>IF(I354="Tengo un emprendimiento o quiero iniciar uno","",IF(MOD(INT((COUNTIF($I$2:I354,I354)-1)/3),2)=0,"Sí","No"))</f>
        <v>Sí</v>
      </c>
      <c r="V354" s="9" t="str">
        <f>IF(I354="Tengo un emprendimiento o quiero iniciar uno",CHOOSE(MOD(COUNTIF($I$2:I354,I354)-1,3)+1,"Tengo un emprendimiento","Estoy iniciando un emprendimiento","Me interesa emprender"),"")</f>
        <v/>
      </c>
      <c r="W354" t="str">
        <f t="shared" si="95"/>
        <v/>
      </c>
      <c r="X354" s="9" t="str">
        <f>IF(I354="Tengo un emprendimiento o quiero iniciar uno",CHOOSE(MOD(COUNTIF($I$2:I354,I354)-1,5)+1,"Falta de financiación","Falta de conocimientos administrativos","Falta de conocimientos financieros","Falta de tiempo","Falta de herramientas"),"")</f>
        <v/>
      </c>
      <c r="Y354" s="9" t="str">
        <f t="shared" si="96"/>
        <v/>
      </c>
      <c r="Z354" t="str">
        <f>IF(I354="Tengo un emprendimiento o quiero iniciar uno",CHOOSE(INT(MOD((COUNTIF($I$2:I354,I354)-1)*7,39)/13)+1,"Sí","No","No conozco programas de ese tipo"),"")</f>
        <v/>
      </c>
      <c r="AA354" t="str">
        <f t="shared" si="97"/>
        <v>Puedo hacerlo con ayuda</v>
      </c>
      <c r="AB354" t="str">
        <f t="shared" si="97"/>
        <v>Puedo hacerlo con ayuda</v>
      </c>
      <c r="AC354" t="str">
        <f t="shared" si="98"/>
        <v>Puedo hacerlo con dificultad</v>
      </c>
      <c r="AD354" s="9" t="str">
        <f t="shared" si="99"/>
        <v>Puedo hacerlo con dificultad</v>
      </c>
      <c r="AE354" t="str">
        <f t="shared" si="100"/>
        <v>No puedo hacerlo</v>
      </c>
      <c r="AF354" s="9" t="str">
        <f t="shared" si="101"/>
        <v>Herramientas digitales</v>
      </c>
      <c r="AG354" s="9" t="str">
        <f t="shared" si="102"/>
        <v>Costos de transporte</v>
      </c>
      <c r="AH354" t="str">
        <f t="shared" si="103"/>
        <v>Ferias de empleo</v>
      </c>
      <c r="AI354" s="9" t="str">
        <f t="shared" si="104"/>
        <v>Virtual</v>
      </c>
      <c r="AJ354" s="9" t="str">
        <f t="shared" si="105"/>
        <v>Fines de semana</v>
      </c>
      <c r="AK354" s="9" t="str">
        <f t="shared" si="106"/>
        <v>WhatsApp</v>
      </c>
    </row>
    <row r="355" spans="1:37">
      <c r="A355" t="str">
        <f t="shared" si="107"/>
        <v>SG354</v>
      </c>
      <c r="B355" s="9" t="s">
        <v>419</v>
      </c>
      <c r="C355" s="9" t="s">
        <v>427</v>
      </c>
      <c r="D355" t="str">
        <f t="shared" si="90"/>
        <v>Otro</v>
      </c>
      <c r="E355" t="str">
        <f t="shared" si="91"/>
        <v>De 24 a 26 años</v>
      </c>
      <c r="F355">
        <f t="shared" si="92"/>
        <v>24</v>
      </c>
      <c r="G355" s="9" t="s">
        <v>430</v>
      </c>
      <c r="H355" s="9" t="str">
        <f t="shared" si="93"/>
        <v>Posgrado</v>
      </c>
      <c r="I355" s="9" t="str">
        <f t="shared" si="94"/>
        <v>Actualmente no trabajo y estoy buscando empleo</v>
      </c>
      <c r="J355" s="13" t="str">
        <f>IF(I355="Trabajo actualmente como empleado",IF(MOD((COUNTIF($I$2:I355,"Trabajo actualmente como empleado")-1)*37,150)&lt;100,"Empleado con contrato","Empleado sin contrato formal"),IF(I355="Trabajo de manera independiente","Trabajo independiente",""))</f>
        <v/>
      </c>
      <c r="K355" s="9" t="str">
        <f>IF(OR(I355="Trabajo actualmente como empleado",I355="Trabajo de manera independiente"),CHOOSE(MOD(COUNTIF($I$2:I355,I355)-1,4)+1,"Menos de 3 meses","De 3 a 6 meses","De 7 a 12 meses","Más de un año"),"")</f>
        <v/>
      </c>
      <c r="L355" t="str">
        <f>IF(OR(I355="Trabajo actualmente como empleado",I355="Trabajo de manera independiente"),CHOOSE(MOD(COUNTIF($I$2:I355,I355)-1,3)+1,"Sí, completamente","Parcialmente","No"),"")</f>
        <v/>
      </c>
      <c r="M355" t="str">
        <f>IF(OR(I355="Trabajo actualmente como empleado",I355="Trabajo de manera independiente"),CHOOSE(MOD(INT((COUNTIF($I$2:I355,I355)-1)/3),4)+1,"1- Muy satisfecho/a","2- Satisfecho/a","3- Insatisfecho/a","4- Muy insatisfecho/a"),"")</f>
        <v/>
      </c>
      <c r="N355" t="str">
        <f>IF(OR(I355="Trabajo actualmente como empleado",I355="Trabajo de manera independiente"),_xlfn.LET(_xlpm.opcion,MOD(INT((COUNTIF($I$2:I355,I355)-1)/5),6)+1,CHOOSE(IF(AND(_xlpm.opcion=6,L355="Sí, completamente"),5,_xlpm.opcion),"Salario","Estabilidad laboral","Horario","Acceso a prestaciones","Oportunidades de crecimiento","Trabajar en un área relacionada con mi formación")),"")</f>
        <v/>
      </c>
      <c r="O355" s="9" t="str">
        <f>IF(OR(I355="Trabajo actualmente como empleado",I355="Trabajo de manera independiente"),_xlfn.LET(_xlpm.turno,MOD(COUNTIF($I$2:I355,I355)-1,5),_xlpm.nivel,VALUE(LEFT(M355,1)),IF(_xlpm.turno=4,"No estoy seguro/a",IF(_xlpm.turno&lt;IF(_xlpm.nivel&lt;=2,1,3),"Sí","No"))),"")</f>
        <v/>
      </c>
      <c r="P355" s="9" t="str">
        <f>_xlfn.LET(_xlpm.perfil,I355,_xlpm.turno,COUNTIF($I$2:I355,_xlpm.perfil)-1,_xlpm.busca,OR(_xlpm.perfil="Actualmente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trabajar"),IF(AND(_xlpm.trabaja,O355="No"),"Todavía no he iniciado una búsqueda activa",CHOOSE(MOD(_xlpm.turno*3,5)+1,"Menos de 1 mes","Entre 1 y 3 meses","Entre 4 y 6 meses","Más de 6 meses","Todavía no he iniciado una búsqueda activa")),"")))</f>
        <v>Menos de 1 mes</v>
      </c>
      <c r="Q355" t="str">
        <f>IF(I355="Tengo un emprendimiento o quiero iniciar uno","",CHOOSE(MOD(INT((COUNTIF($I$2:I355,I355)-1)/7),3)+1,"Sí","No","Tengo una pero necesito actualizarla"))</f>
        <v>Sí</v>
      </c>
      <c r="R355" s="9" t="str">
        <f>IF(I355="Tengo un emprendimiento o quiero iniciar uno","",IF(I355="Busco mi primer empleo","No",IF(MOD(COUNTIF($I$2:I355,I355)-1,2)=0,"Sí","No")))</f>
        <v>Sí</v>
      </c>
      <c r="S355" t="str">
        <f>IF(I355="Tengo un emprendimiento o quiero iniciar uno","",CHOOSE(MOD(INT((COUNTIF($I$2:I355,I355)-1)/3),10)+1,"Portales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55" t="str">
        <f>IF(I355="Tengo un emprendimiento o quiero iniciar uno","",_xlfn.LET(_xlpm.opcion,MOD(INT((COUNTIF($I$2:I355,I355)-1)/4),6)+1,CHOOSE(IF(AND(_xlpm.opcion=3,Q355="Sí"),1,_xlpm.opcion),"Falta de experiencia","Falta de formación","Dificultades con la hoja de vida","Horarios disponibles","Transporte","Internet")))</f>
        <v>Transporte</v>
      </c>
      <c r="U355" s="9" t="str">
        <f>IF(I355="Tengo un emprendimiento o quiero iniciar uno","",IF(MOD(INT((COUNTIF($I$2:I355,I355)-1)/3),2)=0,"Sí","No"))</f>
        <v>No</v>
      </c>
      <c r="V355" s="9" t="str">
        <f>IF(I355="Tengo un emprendimiento o quiero iniciar uno",CHOOSE(MOD(COUNTIF($I$2:I355,I355)-1,3)+1,"Tengo un emprendimiento","Estoy iniciando un emprendimiento","Me interesa emprender"),"")</f>
        <v/>
      </c>
      <c r="W355" t="str">
        <f t="shared" si="95"/>
        <v/>
      </c>
      <c r="X355" s="9" t="str">
        <f>IF(I355="Tengo un emprendimiento o quiero iniciar uno",CHOOSE(MOD(COUNTIF($I$2:I355,I355)-1,5)+1,"Falta de financiación","Falta de conocimientos administrativos","Falta de conocimientos financieros","Falta de tiempo","Falta de herramientas"),"")</f>
        <v/>
      </c>
      <c r="Y355" s="9" t="str">
        <f t="shared" si="96"/>
        <v/>
      </c>
      <c r="Z355" t="str">
        <f>IF(I355="Tengo un emprendimiento o quiero iniciar uno",CHOOSE(INT(MOD((COUNTIF($I$2:I355,I355)-1)*7,39)/13)+1,"Sí","No","No conozco programas de ese tipo"),"")</f>
        <v/>
      </c>
      <c r="AA355" t="str">
        <f t="shared" si="97"/>
        <v>Puedo hacerlo sin ayuda</v>
      </c>
      <c r="AB355" t="str">
        <f t="shared" si="97"/>
        <v>Puedo hacerlo sin ayuda</v>
      </c>
      <c r="AC355" t="str">
        <f t="shared" si="98"/>
        <v>Puedo hacerlo sin ayuda</v>
      </c>
      <c r="AD355" s="9" t="str">
        <f t="shared" si="99"/>
        <v>Puedo hacerlo sin ayuda</v>
      </c>
      <c r="AE355" t="str">
        <f t="shared" si="100"/>
        <v>No puedo hacerlo</v>
      </c>
      <c r="AF355" s="9" t="str">
        <f t="shared" si="101"/>
        <v>Educación financiera</v>
      </c>
      <c r="AG355" s="9" t="str">
        <f t="shared" si="102"/>
        <v>Costos de transporte</v>
      </c>
      <c r="AH355" t="str">
        <f t="shared" si="103"/>
        <v>No conozco ninguno</v>
      </c>
      <c r="AI355" s="9" t="str">
        <f t="shared" si="104"/>
        <v>Presencial y virtual</v>
      </c>
      <c r="AJ355" s="9" t="str">
        <f t="shared" si="105"/>
        <v>Nocturno</v>
      </c>
      <c r="AK355" s="9" t="str">
        <f t="shared" si="106"/>
        <v>Redes sociales</v>
      </c>
    </row>
    <row r="356" spans="1:37">
      <c r="A356" t="str">
        <f t="shared" si="107"/>
        <v>SG355</v>
      </c>
      <c r="B356" s="9" t="s">
        <v>419</v>
      </c>
      <c r="C356" s="9" t="s">
        <v>427</v>
      </c>
      <c r="D356" t="str">
        <f t="shared" si="90"/>
        <v>Masculino</v>
      </c>
      <c r="E356" t="str">
        <f t="shared" si="91"/>
        <v>De 26 a 28 años</v>
      </c>
      <c r="F356">
        <f t="shared" si="92"/>
        <v>27</v>
      </c>
      <c r="G356" s="9" t="s">
        <v>430</v>
      </c>
      <c r="H356" s="9" t="str">
        <f t="shared" si="93"/>
        <v>Tecnólogo</v>
      </c>
      <c r="I356" s="9" t="str">
        <f t="shared" si="94"/>
        <v>Estudio y quiero comenzar a trabajar</v>
      </c>
      <c r="J356" s="13" t="str">
        <f>IF(I356="Trabajo actualmente como empleado",IF(MOD((COUNTIF($I$2:I356,"Trabajo actualmente como empleado")-1)*37,150)&lt;100,"Empleado con contrato","Empleado sin contrato formal"),IF(I356="Trabajo de manera independiente","Trabajo independiente",""))</f>
        <v/>
      </c>
      <c r="K356" s="9" t="str">
        <f>IF(OR(I356="Trabajo actualmente como empleado",I356="Trabajo de manera independiente"),CHOOSE(MOD(COUNTIF($I$2:I356,I356)-1,4)+1,"Menos de 3 meses","De 3 a 6 meses","De 7 a 12 meses","Más de un año"),"")</f>
        <v/>
      </c>
      <c r="L356" t="str">
        <f>IF(OR(I356="Trabajo actualmente como empleado",I356="Trabajo de manera independiente"),CHOOSE(MOD(COUNTIF($I$2:I356,I356)-1,3)+1,"Sí, completamente","Parcialmente","No"),"")</f>
        <v/>
      </c>
      <c r="M356" t="str">
        <f>IF(OR(I356="Trabajo actualmente como empleado",I356="Trabajo de manera independiente"),CHOOSE(MOD(INT((COUNTIF($I$2:I356,I356)-1)/3),4)+1,"1- Muy satisfecho/a","2- Satisfecho/a","3- Insatisfecho/a","4- Muy insatisfecho/a"),"")</f>
        <v/>
      </c>
      <c r="N356" t="str">
        <f>IF(OR(I356="Trabajo actualmente como empleado",I356="Trabajo de manera independiente"),_xlfn.LET(_xlpm.opcion,MOD(INT((COUNTIF($I$2:I356,I356)-1)/5),6)+1,CHOOSE(IF(AND(_xlpm.opcion=6,L356="Sí, completamente"),5,_xlpm.opcion),"Salario","Estabilidad laboral","Horario","Acceso a prestaciones","Oportunidades de crecimiento","Trabajar en un área relacionada con mi formación")),"")</f>
        <v/>
      </c>
      <c r="O356" s="9" t="str">
        <f>IF(OR(I356="Trabajo actualmente como empleado",I356="Trabajo de manera independiente"),_xlfn.LET(_xlpm.turno,MOD(COUNTIF($I$2:I356,I356)-1,5),_xlpm.nivel,VALUE(LEFT(M356,1)),IF(_xlpm.turno=4,"No estoy seguro/a",IF(_xlpm.turno&lt;IF(_xlpm.nivel&lt;=2,1,3),"Sí","No"))),"")</f>
        <v/>
      </c>
      <c r="P356" s="9" t="str">
        <f>_xlfn.LET(_xlpm.perfil,I356,_xlpm.turno,COUNTIF($I$2:I356,_xlpm.perfil)-1,_xlpm.busca,OR(_xlpm.perfil="Actualmente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trabajar"),IF(AND(_xlpm.trabaja,O356="No"),"Todavía no he iniciado una búsqueda activa",CHOOSE(MOD(_xlpm.turno*3,5)+1,"Menos de 1 mes","Entre 1 y 3 meses","Entre 4 y 6 meses","Más de 6 meses","Todavía no he iniciado una búsqueda activa")),"")))</f>
        <v>Entre 1 y 3 meses</v>
      </c>
      <c r="Q356" t="str">
        <f>IF(I356="Tengo un emprendimiento o quiero iniciar uno","",CHOOSE(MOD(INT((COUNTIF($I$2:I356,I356)-1)/7),3)+1,"Sí","No","Tengo una pero necesito actualizarla"))</f>
        <v>Sí</v>
      </c>
      <c r="R356" s="9" t="str">
        <f>IF(I356="Tengo un emprendimiento o quiero iniciar uno","",IF(I356="Busco mi primer empleo","No",IF(MOD(COUNTIF($I$2:I356,I356)-1,2)=0,"Sí","No")))</f>
        <v>Sí</v>
      </c>
      <c r="S356" t="str">
        <f>IF(I356="Tengo un emprendimiento o quiero iniciar uno","",CHOOSE(MOD(INT((COUNTIF($I$2:I356,I356)-1)/3),10)+1,"Portales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56" t="str">
        <f>IF(I356="Tengo un emprendimiento o quiero iniciar uno","",_xlfn.LET(_xlpm.opcion,MOD(INT((COUNTIF($I$2:I356,I356)-1)/4),6)+1,CHOOSE(IF(AND(_xlpm.opcion=3,Q356="Sí"),1,_xlpm.opcion),"Falta de experiencia","Falta de formación","Dificultades con la hoja de vida","Horarios disponibles","Transporte","Internet")))</f>
        <v>Transporte</v>
      </c>
      <c r="U356" s="9" t="str">
        <f>IF(I356="Tengo un emprendimiento o quiero iniciar uno","",IF(MOD(INT((COUNTIF($I$2:I356,I356)-1)/3),2)=0,"Sí","No"))</f>
        <v>Sí</v>
      </c>
      <c r="V356" s="9" t="str">
        <f>IF(I356="Tengo un emprendimiento o quiero iniciar uno",CHOOSE(MOD(COUNTIF($I$2:I356,I356)-1,3)+1,"Tengo un emprendimiento","Estoy iniciando un emprendimiento","Me interesa emprender"),"")</f>
        <v/>
      </c>
      <c r="W356" t="str">
        <f t="shared" si="95"/>
        <v/>
      </c>
      <c r="X356" s="9" t="str">
        <f>IF(I356="Tengo un emprendimiento o quiero iniciar uno",CHOOSE(MOD(COUNTIF($I$2:I356,I356)-1,5)+1,"Falta de financiación","Falta de conocimientos administrativos","Falta de conocimientos financieros","Falta de tiempo","Falta de herramientas"),"")</f>
        <v/>
      </c>
      <c r="Y356" s="9" t="str">
        <f t="shared" si="96"/>
        <v/>
      </c>
      <c r="Z356" t="str">
        <f>IF(I356="Tengo un emprendimiento o quiero iniciar uno",CHOOSE(INT(MOD((COUNTIF($I$2:I356,I356)-1)*7,39)/13)+1,"Sí","No","No conozco programas de ese tipo"),"")</f>
        <v/>
      </c>
      <c r="AA356" t="str">
        <f t="shared" si="97"/>
        <v>No puedo hacerlo</v>
      </c>
      <c r="AB356" t="str">
        <f t="shared" si="97"/>
        <v>No puedo hacerlo</v>
      </c>
      <c r="AC356" t="str">
        <f t="shared" si="98"/>
        <v>No puedo hacerlo</v>
      </c>
      <c r="AD356" s="9" t="str">
        <f t="shared" si="99"/>
        <v>No puedo hacerlo</v>
      </c>
      <c r="AE356" t="str">
        <f t="shared" si="100"/>
        <v>Puedo hacerlo con ayuda</v>
      </c>
      <c r="AF356" s="9" t="str">
        <f t="shared" si="101"/>
        <v>Crear una hoja de vida;Preparación para entrevista</v>
      </c>
      <c r="AG356" s="9" t="str">
        <f t="shared" si="102"/>
        <v>Horarios;Falta de información</v>
      </c>
      <c r="AH356" t="str">
        <f t="shared" si="103"/>
        <v>Oficina de orientación laboral</v>
      </c>
      <c r="AI356" s="9" t="str">
        <f t="shared" si="104"/>
        <v>Presencial</v>
      </c>
      <c r="AJ356" s="9" t="str">
        <f t="shared" si="105"/>
        <v>Mañana entre semana</v>
      </c>
      <c r="AK356" s="9" t="str">
        <f t="shared" si="106"/>
        <v>Celular</v>
      </c>
    </row>
    <row r="357" spans="1:37">
      <c r="A357" t="str">
        <f t="shared" si="107"/>
        <v>SG356</v>
      </c>
      <c r="B357" s="9" t="s">
        <v>419</v>
      </c>
      <c r="C357" s="9" t="s">
        <v>427</v>
      </c>
      <c r="D357" t="str">
        <f t="shared" si="90"/>
        <v>Femenino</v>
      </c>
      <c r="E357" t="str">
        <f t="shared" si="91"/>
        <v>De 18 a 20 años</v>
      </c>
      <c r="F357">
        <f t="shared" si="92"/>
        <v>19</v>
      </c>
      <c r="G357" s="9" t="s">
        <v>430</v>
      </c>
      <c r="H357" s="9" t="str">
        <f t="shared" si="93"/>
        <v>Bachiller</v>
      </c>
      <c r="I357" s="9" t="str">
        <f t="shared" si="94"/>
        <v>Trabajo actualmente como empleado</v>
      </c>
      <c r="J357" s="13" t="str">
        <f>IF(I357="Trabajo actualmente como empleado",IF(MOD((COUNTIF($I$2:I357,"Trabajo actualmente como empleado")-1)*37,150)&lt;100,"Empleado con contrato","Empleado sin contrato formal"),IF(I357="Trabajo de manera independiente","Trabajo independiente",""))</f>
        <v>Empleado con contrato</v>
      </c>
      <c r="K357" s="9" t="str">
        <f>IF(OR(I357="Trabajo actualmente como empleado",I357="Trabajo de manera independiente"),CHOOSE(MOD(COUNTIF($I$2:I357,I357)-1,4)+1,"Menos de 3 meses","De 3 a 6 meses","De 7 a 12 meses","Más de un año"),"")</f>
        <v>Más de un año</v>
      </c>
      <c r="L357" t="str">
        <f>IF(OR(I357="Trabajo actualmente como empleado",I357="Trabajo de manera independiente"),CHOOSE(MOD(COUNTIF($I$2:I357,I357)-1,3)+1,"Sí, completamente","Parcialmente","No"),"")</f>
        <v>Sí, completamente</v>
      </c>
      <c r="M357" t="str">
        <f>IF(OR(I357="Trabajo actualmente como empleado",I357="Trabajo de manera independiente"),CHOOSE(MOD(INT((COUNTIF($I$2:I357,I357)-1)/3),4)+1,"1- Muy satisfecho/a","2- Satisfecho/a","3- Insatisfecho/a","4- Muy insatisfecho/a"),"")</f>
        <v>2- Satisfecho/a</v>
      </c>
      <c r="N357" t="str">
        <f>IF(OR(I357="Trabajo actualmente como empleado",I357="Trabajo de manera independiente"),_xlfn.LET(_xlpm.opcion,MOD(INT((COUNTIF($I$2:I357,I357)-1)/5),6)+1,CHOOSE(IF(AND(_xlpm.opcion=6,L357="Sí, completamente"),5,_xlpm.opcion),"Salario","Estabilidad laboral","Horario","Acceso a prestaciones","Oportunidades de crecimiento","Trabajar en un área relacionada con mi formación")),"")</f>
        <v>Oportunidades de crecimiento</v>
      </c>
      <c r="O357" s="9" t="str">
        <f>IF(OR(I357="Trabajo actualmente como empleado",I357="Trabajo de manera independiente"),_xlfn.LET(_xlpm.turno,MOD(COUNTIF($I$2:I357,I357)-1,5),_xlpm.nivel,VALUE(LEFT(M357,1)),IF(_xlpm.turno=4,"No estoy seguro/a",IF(_xlpm.turno&lt;IF(_xlpm.nivel&lt;=2,1,3),"Sí","No"))),"")</f>
        <v>No</v>
      </c>
      <c r="P357" s="9" t="str">
        <f>_xlfn.LET(_xlpm.perfil,I357,_xlpm.turno,COUNTIF($I$2:I357,_xlpm.perfil)-1,_xlpm.busca,OR(_xlpm.perfil="Actualmente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57" t="str">
        <f>IF(I357="Tengo un emprendimiento o quiero iniciar uno","",CHOOSE(MOD(INT((COUNTIF($I$2:I357,I357)-1)/7),3)+1,"Sí","No","Tengo una pero necesito actualizarla"))</f>
        <v>Sí</v>
      </c>
      <c r="R357" s="9" t="str">
        <f>IF(I357="Tengo un emprendimiento o quiero iniciar uno","",IF(I357="Busco mi primer empleo","No",IF(MOD(COUNTIF($I$2:I357,I357)-1,2)=0,"Sí","No")))</f>
        <v>No</v>
      </c>
      <c r="S357" t="str">
        <f>IF(I357="Tengo un emprendimiento o quiero iniciar uno","",CHOOSE(MOD(INT((COUNTIF($I$2:I357,I357)-1)/3),10)+1,"Portales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357" t="str">
        <f>IF(I357="Tengo un emprendimiento o quiero iniciar uno","",_xlfn.LET(_xlpm.opcion,MOD(INT((COUNTIF($I$2:I357,I357)-1)/4),6)+1,CHOOSE(IF(AND(_xlpm.opcion=3,Q357="Sí"),1,_xlpm.opcion),"Falta de experiencia","Falta de formación","Dificultades con la hoja de vida","Horarios disponibles","Transporte","Internet")))</f>
        <v>Horarios disponibles</v>
      </c>
      <c r="U357" s="9" t="str">
        <f>IF(I357="Tengo un emprendimiento o quiero iniciar uno","",IF(MOD(INT((COUNTIF($I$2:I357,I357)-1)/3),2)=0,"Sí","No"))</f>
        <v>No</v>
      </c>
      <c r="V357" s="9" t="str">
        <f>IF(I357="Tengo un emprendimiento o quiero iniciar uno",CHOOSE(MOD(COUNTIF($I$2:I357,I357)-1,3)+1,"Tengo un emprendimiento","Estoy iniciando un emprendimiento","Me interesa emprender"),"")</f>
        <v/>
      </c>
      <c r="W357" t="str">
        <f t="shared" si="95"/>
        <v/>
      </c>
      <c r="X357" s="9" t="str">
        <f>IF(I357="Tengo un emprendimiento o quiero iniciar uno",CHOOSE(MOD(COUNTIF($I$2:I357,I357)-1,5)+1,"Falta de financiación","Falta de conocimientos administrativos","Falta de conocimientos financieros","Falta de tiempo","Falta de herramientas"),"")</f>
        <v/>
      </c>
      <c r="Y357" s="9" t="str">
        <f t="shared" si="96"/>
        <v/>
      </c>
      <c r="Z357" t="str">
        <f>IF(I357="Tengo un emprendimiento o quiero iniciar uno",CHOOSE(INT(MOD((COUNTIF($I$2:I357,I357)-1)*7,39)/13)+1,"Sí","No","No conozco programas de ese tipo"),"")</f>
        <v/>
      </c>
      <c r="AA357" t="str">
        <f t="shared" si="97"/>
        <v>Puedo hacerlo con dificultad</v>
      </c>
      <c r="AB357" t="str">
        <f t="shared" si="97"/>
        <v>Puedo hacerlo con dificultad</v>
      </c>
      <c r="AC357" t="str">
        <f t="shared" si="98"/>
        <v>Puedo hacerlo con dificultad</v>
      </c>
      <c r="AD357" s="9" t="str">
        <f t="shared" si="99"/>
        <v>No puedo hacerlo</v>
      </c>
      <c r="AE357" t="str">
        <f t="shared" si="100"/>
        <v>Puedo hacerlo con ayuda</v>
      </c>
      <c r="AF357" s="9" t="str">
        <f t="shared" si="101"/>
        <v>Comunicación;Liderazgo</v>
      </c>
      <c r="AG357" s="9" t="str">
        <f t="shared" si="102"/>
        <v>Horarios;Falta de información</v>
      </c>
      <c r="AH357" t="str">
        <f t="shared" si="103"/>
        <v>Programas de emprendimiento</v>
      </c>
      <c r="AI357" s="9" t="str">
        <f t="shared" si="104"/>
        <v>Virtual</v>
      </c>
      <c r="AJ357" s="9" t="str">
        <f t="shared" si="105"/>
        <v>Diurno</v>
      </c>
      <c r="AK357" s="9" t="str">
        <f t="shared" si="106"/>
        <v>Correo electrónico</v>
      </c>
    </row>
    <row r="358" spans="1:37">
      <c r="A358" t="str">
        <f t="shared" si="107"/>
        <v>SG357</v>
      </c>
      <c r="B358" s="9" t="s">
        <v>419</v>
      </c>
      <c r="C358" s="9" t="s">
        <v>427</v>
      </c>
      <c r="D358" t="str">
        <f t="shared" si="90"/>
        <v>Femenino</v>
      </c>
      <c r="E358" t="str">
        <f t="shared" si="91"/>
        <v>De 20 a 22 años</v>
      </c>
      <c r="F358">
        <f t="shared" si="92"/>
        <v>21</v>
      </c>
      <c r="G358" s="9" t="s">
        <v>430</v>
      </c>
      <c r="H358" s="9" t="str">
        <f t="shared" si="93"/>
        <v>Bachiller</v>
      </c>
      <c r="I358" s="9" t="str">
        <f t="shared" si="94"/>
        <v>Actualmente no trabajo y estoy buscando empleo</v>
      </c>
      <c r="J358" s="13" t="str">
        <f>IF(I358="Trabajo actualmente como empleado",IF(MOD((COUNTIF($I$2:I358,"Trabajo actualmente como empleado")-1)*37,150)&lt;100,"Empleado con contrato","Empleado sin contrato formal"),IF(I358="Trabajo de manera independiente","Trabajo independiente",""))</f>
        <v/>
      </c>
      <c r="K358" s="9" t="str">
        <f>IF(OR(I358="Trabajo actualmente como empleado",I358="Trabajo de manera independiente"),CHOOSE(MOD(COUNTIF($I$2:I358,I358)-1,4)+1,"Menos de 3 meses","De 3 a 6 meses","De 7 a 12 meses","Más de un año"),"")</f>
        <v/>
      </c>
      <c r="L358" t="str">
        <f>IF(OR(I358="Trabajo actualmente como empleado",I358="Trabajo de manera independiente"),CHOOSE(MOD(COUNTIF($I$2:I358,I358)-1,3)+1,"Sí, completamente","Parcialmente","No"),"")</f>
        <v/>
      </c>
      <c r="M358" t="str">
        <f>IF(OR(I358="Trabajo actualmente como empleado",I358="Trabajo de manera independiente"),CHOOSE(MOD(INT((COUNTIF($I$2:I358,I358)-1)/3),4)+1,"1- Muy satisfecho/a","2- Satisfecho/a","3- Insatisfecho/a","4- Muy insatisfecho/a"),"")</f>
        <v/>
      </c>
      <c r="N358" t="str">
        <f>IF(OR(I358="Trabajo actualmente como empleado",I358="Trabajo de manera independiente"),_xlfn.LET(_xlpm.opcion,MOD(INT((COUNTIF($I$2:I358,I358)-1)/5),6)+1,CHOOSE(IF(AND(_xlpm.opcion=6,L358="Sí, completamente"),5,_xlpm.opcion),"Salario","Estabilidad laboral","Horario","Acceso a prestaciones","Oportunidades de crecimiento","Trabajar en un área relacionada con mi formación")),"")</f>
        <v/>
      </c>
      <c r="O358" s="9" t="str">
        <f>IF(OR(I358="Trabajo actualmente como empleado",I358="Trabajo de manera independiente"),_xlfn.LET(_xlpm.turno,MOD(COUNTIF($I$2:I358,I358)-1,5),_xlpm.nivel,VALUE(LEFT(M358,1)),IF(_xlpm.turno=4,"No estoy seguro/a",IF(_xlpm.turno&lt;IF(_xlpm.nivel&lt;=2,1,3),"Sí","No"))),"")</f>
        <v/>
      </c>
      <c r="P358" s="9" t="str">
        <f>_xlfn.LET(_xlpm.perfil,I358,_xlpm.turno,COUNTIF($I$2:I358,_xlpm.perfil)-1,_xlpm.busca,OR(_xlpm.perfil="Actualmente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trabajar"),IF(AND(_xlpm.trabaja,O358="No"),"Todavía no he iniciado una búsqueda activa",CHOOSE(MOD(_xlpm.turno*3,5)+1,"Menos de 1 mes","Entre 1 y 3 meses","Entre 4 y 6 meses","Más de 6 meses","Todavía no he iniciado una búsqueda activa")),"")))</f>
        <v>Más de 6 meses</v>
      </c>
      <c r="Q358" t="str">
        <f>IF(I358="Tengo un emprendimiento o quiero iniciar uno","",CHOOSE(MOD(INT((COUNTIF($I$2:I358,I358)-1)/7),3)+1,"Sí","No","Tengo una pero necesito actualizarla"))</f>
        <v>Sí</v>
      </c>
      <c r="R358" s="9" t="str">
        <f>IF(I358="Tengo un emprendimiento o quiero iniciar uno","",IF(I358="Busco mi primer empleo","No",IF(MOD(COUNTIF($I$2:I358,I358)-1,2)=0,"Sí","No")))</f>
        <v>No</v>
      </c>
      <c r="S358" t="str">
        <f>IF(I358="Tengo un emprendimiento o quiero iniciar uno","",CHOOSE(MOD(INT((COUNTIF($I$2:I358,I358)-1)/3),10)+1,"Portales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58" t="str">
        <f>IF(I358="Tengo un emprendimiento o quiero iniciar uno","",_xlfn.LET(_xlpm.opcion,MOD(INT((COUNTIF($I$2:I358,I358)-1)/4),6)+1,CHOOSE(IF(AND(_xlpm.opcion=3,Q358="Sí"),1,_xlpm.opcion),"Falta de experiencia","Falta de formación","Dificultades con la hoja de vida","Horarios disponibles","Transporte","Internet")))</f>
        <v>Transporte</v>
      </c>
      <c r="U358" s="9" t="str">
        <f>IF(I358="Tengo un emprendimiento o quiero iniciar uno","",IF(MOD(INT((COUNTIF($I$2:I358,I358)-1)/3),2)=0,"Sí","No"))</f>
        <v>No</v>
      </c>
      <c r="V358" s="9" t="str">
        <f>IF(I358="Tengo un emprendimiento o quiero iniciar uno",CHOOSE(MOD(COUNTIF($I$2:I358,I358)-1,3)+1,"Tengo un emprendimiento","Estoy iniciando un emprendimiento","Me interesa emprender"),"")</f>
        <v/>
      </c>
      <c r="W358" t="str">
        <f t="shared" si="95"/>
        <v/>
      </c>
      <c r="X358" s="9" t="str">
        <f>IF(I358="Tengo un emprendimiento o quiero iniciar uno",CHOOSE(MOD(COUNTIF($I$2:I358,I358)-1,5)+1,"Falta de financiación","Falta de conocimientos administrativos","Falta de conocimientos financieros","Falta de tiempo","Falta de herramientas"),"")</f>
        <v/>
      </c>
      <c r="Y358" s="9" t="str">
        <f t="shared" si="96"/>
        <v/>
      </c>
      <c r="Z358" t="str">
        <f>IF(I358="Tengo un emprendimiento o quiero iniciar uno",CHOOSE(INT(MOD((COUNTIF($I$2:I358,I358)-1)*7,39)/13)+1,"Sí","No","No conozco programas de ese tipo"),"")</f>
        <v/>
      </c>
      <c r="AA358" t="str">
        <f t="shared" si="97"/>
        <v>Puedo hacerlo sin ayuda</v>
      </c>
      <c r="AB358" t="str">
        <f t="shared" si="97"/>
        <v>Puedo hacerlo sin ayuda</v>
      </c>
      <c r="AC358" t="str">
        <f t="shared" si="98"/>
        <v>Puedo hacerlo sin ayuda</v>
      </c>
      <c r="AD358" s="9" t="str">
        <f t="shared" si="99"/>
        <v>Puedo hacerlo con ayuda</v>
      </c>
      <c r="AE358" t="str">
        <f t="shared" si="100"/>
        <v>Puedo hacerlo con dificultad</v>
      </c>
      <c r="AF358" s="9" t="str">
        <f t="shared" si="101"/>
        <v>Herramientas digitales;Educación financiera</v>
      </c>
      <c r="AG358" s="9" t="str">
        <f t="shared" si="102"/>
        <v>Horarios;Falta de información</v>
      </c>
      <c r="AH358" t="str">
        <f t="shared" si="103"/>
        <v>Oficina de orientación laboral</v>
      </c>
      <c r="AI358" s="9" t="str">
        <f t="shared" si="104"/>
        <v>Presencial y virtual</v>
      </c>
      <c r="AJ358" s="9" t="str">
        <f t="shared" si="105"/>
        <v>Nocturno</v>
      </c>
      <c r="AK358" s="9" t="str">
        <f t="shared" si="106"/>
        <v>Redes sociales</v>
      </c>
    </row>
    <row r="359" spans="1:37">
      <c r="A359" t="str">
        <f t="shared" si="107"/>
        <v>SG358</v>
      </c>
      <c r="B359" s="9" t="s">
        <v>419</v>
      </c>
      <c r="C359" s="9" t="s">
        <v>427</v>
      </c>
      <c r="D359" t="str">
        <f t="shared" si="90"/>
        <v>Masculino</v>
      </c>
      <c r="E359" t="str">
        <f t="shared" si="91"/>
        <v>De 22 a 24 años</v>
      </c>
      <c r="F359">
        <f t="shared" si="92"/>
        <v>23</v>
      </c>
      <c r="G359" s="9" t="s">
        <v>430</v>
      </c>
      <c r="H359" s="9" t="str">
        <f t="shared" si="93"/>
        <v>Técnico</v>
      </c>
      <c r="I359" s="9" t="str">
        <f t="shared" si="94"/>
        <v>Tengo un emprendimiento o quiero iniciar uno</v>
      </c>
      <c r="J359" s="13" t="str">
        <f>IF(I359="Trabajo actualmente como empleado",IF(MOD((COUNTIF($I$2:I359,"Trabajo actualmente como empleado")-1)*37,150)&lt;100,"Empleado con contrato","Empleado sin contrato formal"),IF(I359="Trabajo de manera independiente","Trabajo independiente",""))</f>
        <v/>
      </c>
      <c r="K359" s="9" t="str">
        <f>IF(OR(I359="Trabajo actualmente como empleado",I359="Trabajo de manera independiente"),CHOOSE(MOD(COUNTIF($I$2:I359,I359)-1,4)+1,"Menos de 3 meses","De 3 a 6 meses","De 7 a 12 meses","Más de un año"),"")</f>
        <v/>
      </c>
      <c r="L359" t="str">
        <f>IF(OR(I359="Trabajo actualmente como empleado",I359="Trabajo de manera independiente"),CHOOSE(MOD(COUNTIF($I$2:I359,I359)-1,3)+1,"Sí, completamente","Parcialmente","No"),"")</f>
        <v/>
      </c>
      <c r="M359" t="str">
        <f>IF(OR(I359="Trabajo actualmente como empleado",I359="Trabajo de manera independiente"),CHOOSE(MOD(INT((COUNTIF($I$2:I359,I359)-1)/3),4)+1,"1- Muy satisfecho/a","2- Satisfecho/a","3- Insatisfecho/a","4- Muy insatisfecho/a"),"")</f>
        <v/>
      </c>
      <c r="N359" t="str">
        <f>IF(OR(I359="Trabajo actualmente como empleado",I359="Trabajo de manera independiente"),_xlfn.LET(_xlpm.opcion,MOD(INT((COUNTIF($I$2:I359,I359)-1)/5),6)+1,CHOOSE(IF(AND(_xlpm.opcion=6,L359="Sí, completamente"),5,_xlpm.opcion),"Salario","Estabilidad laboral","Horario","Acceso a prestaciones","Oportunidades de crecimiento","Trabajar en un área relacionada con mi formación")),"")</f>
        <v/>
      </c>
      <c r="O359" s="9" t="str">
        <f>IF(OR(I359="Trabajo actualmente como empleado",I359="Trabajo de manera independiente"),_xlfn.LET(_xlpm.turno,MOD(COUNTIF($I$2:I359,I359)-1,5),_xlpm.nivel,VALUE(LEFT(M359,1)),IF(_xlpm.turno=4,"No estoy seguro/a",IF(_xlpm.turno&lt;IF(_xlpm.nivel&lt;=2,1,3),"Sí","No"))),"")</f>
        <v/>
      </c>
      <c r="P359" s="9" t="str">
        <f>_xlfn.LET(_xlpm.perfil,I359,_xlpm.turno,COUNTIF($I$2:I359,_xlpm.perfil)-1,_xlpm.busca,OR(_xlpm.perfil="Actualmente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trabajar"),IF(AND(_xlpm.trabaja,O359="No"),"Todavía no he iniciado una búsqueda activa",CHOOSE(MOD(_xlpm.turno*3,5)+1,"Menos de 1 mes","Entre 1 y 3 meses","Entre 4 y 6 meses","Más de 6 meses","Todavía no he iniciado una búsqueda activa")),"")))</f>
        <v/>
      </c>
      <c r="Q359" t="str">
        <f>IF(I359="Tengo un emprendimiento o quiero iniciar uno","",CHOOSE(MOD(INT((COUNTIF($I$2:I359,I359)-1)/7),3)+1,"Sí","No","Tengo una pero necesito actualizarla"))</f>
        <v/>
      </c>
      <c r="R359" s="9" t="str">
        <f>IF(I359="Tengo un emprendimiento o quiero iniciar uno","",IF(I359="Busco mi primer empleo","No",IF(MOD(COUNTIF($I$2:I359,I359)-1,2)=0,"Sí","No")))</f>
        <v/>
      </c>
      <c r="S359" t="str">
        <f>IF(I359="Tengo un emprendimiento o quiero iniciar uno","",CHOOSE(MOD(INT((COUNTIF($I$2:I359,I359)-1)/3),10)+1,"Portales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59" t="str">
        <f>IF(I359="Tengo un emprendimiento o quiero iniciar uno","",_xlfn.LET(_xlpm.opcion,MOD(INT((COUNTIF($I$2:I359,I359)-1)/4),6)+1,CHOOSE(IF(AND(_xlpm.opcion=3,Q359="Sí"),1,_xlpm.opcion),"Falta de experiencia","Falta de formación","Dificultades con la hoja de vida","Horarios disponibles","Transporte","Internet")))</f>
        <v/>
      </c>
      <c r="U359" s="9" t="str">
        <f>IF(I359="Tengo un emprendimiento o quiero iniciar uno","",IF(MOD(INT((COUNTIF($I$2:I359,I359)-1)/3),2)=0,"Sí","No"))</f>
        <v/>
      </c>
      <c r="V359" s="9" t="str">
        <f>IF(I359="Tengo un emprendimiento o quiero iniciar uno",CHOOSE(MOD(COUNTIF($I$2:I359,I359)-1,3)+1,"Tengo un emprendimiento","Estoy iniciando un emprendimiento","Me interesa emprender"),"")</f>
        <v>Me interesa emprender</v>
      </c>
      <c r="W359" t="str">
        <f t="shared" si="95"/>
        <v/>
      </c>
      <c r="X359" s="9" t="str">
        <f>IF(I359="Tengo un emprendimiento o quiero iniciar uno",CHOOSE(MOD(COUNTIF($I$2:I359,I359)-1,5)+1,"Falta de financiación","Falta de conocimientos administrativos","Falta de conocimientos financieros","Falta de tiempo","Falta de herramientas"),"")</f>
        <v>Falta de herramientas</v>
      </c>
      <c r="Y359" s="9" t="str">
        <f t="shared" si="96"/>
        <v>Falta de herramientas</v>
      </c>
      <c r="Z359" t="str">
        <f>IF(I359="Tengo un emprendimiento o quiero iniciar uno",CHOOSE(INT(MOD((COUNTIF($I$2:I359,I359)-1)*7,39)/13)+1,"Sí","No","No conozco programas de ese tipo"),"")</f>
        <v>Sí</v>
      </c>
      <c r="AA359" t="str">
        <f t="shared" si="97"/>
        <v>Puedo hacerlo con ayuda</v>
      </c>
      <c r="AB359" t="str">
        <f t="shared" si="97"/>
        <v>Puedo hacerlo con ayuda</v>
      </c>
      <c r="AC359" t="str">
        <f t="shared" si="98"/>
        <v>No puedo hacerlo</v>
      </c>
      <c r="AD359" s="9" t="str">
        <f t="shared" si="99"/>
        <v>Puedo hacerlo con dificultad</v>
      </c>
      <c r="AE359" t="str">
        <f t="shared" si="100"/>
        <v>Puedo hacerlo sin ayuda</v>
      </c>
      <c r="AF359" s="9" t="str">
        <f t="shared" si="101"/>
        <v>Crear una hoja de vida</v>
      </c>
      <c r="AG359" s="9" t="str">
        <f t="shared" si="102"/>
        <v>Ninguna</v>
      </c>
      <c r="AH359" t="str">
        <f t="shared" si="103"/>
        <v>Ferias de empleo</v>
      </c>
      <c r="AI359" s="9" t="str">
        <f t="shared" si="104"/>
        <v>Me es indiferente</v>
      </c>
      <c r="AJ359" s="9" t="str">
        <f t="shared" si="105"/>
        <v>Mañana entre semana</v>
      </c>
      <c r="AK359" s="9" t="str">
        <f t="shared" si="106"/>
        <v>WhatsApp</v>
      </c>
    </row>
    <row r="360" spans="1:37">
      <c r="A360" t="str">
        <f t="shared" si="107"/>
        <v>SG359</v>
      </c>
      <c r="B360" s="9" t="s">
        <v>419</v>
      </c>
      <c r="C360" s="9" t="s">
        <v>427</v>
      </c>
      <c r="D360" t="str">
        <f t="shared" si="90"/>
        <v>Masculino</v>
      </c>
      <c r="E360" t="str">
        <f t="shared" si="91"/>
        <v>De 24 a 26 años</v>
      </c>
      <c r="F360">
        <f t="shared" si="92"/>
        <v>25</v>
      </c>
      <c r="G360" s="9" t="s">
        <v>430</v>
      </c>
      <c r="H360" s="9" t="str">
        <f t="shared" si="93"/>
        <v>Tecnólogo</v>
      </c>
      <c r="I360" s="9" t="str">
        <f t="shared" si="94"/>
        <v>Trabajo actualmente como empleado</v>
      </c>
      <c r="J360" s="13" t="str">
        <f>IF(I360="Trabajo actualmente como empleado",IF(MOD((COUNTIF($I$2:I360,"Trabajo actualmente como empleado")-1)*37,150)&lt;100,"Empleado con contrato","Empleado sin contrato formal"),IF(I360="Trabajo de manera independiente","Trabajo independiente",""))</f>
        <v>Empleado con contrato</v>
      </c>
      <c r="K360" s="9" t="str">
        <f>IF(OR(I360="Trabajo actualmente como empleado",I360="Trabajo de manera independiente"),CHOOSE(MOD(COUNTIF($I$2:I360,I360)-1,4)+1,"Menos de 3 meses","De 3 a 6 meses","De 7 a 12 meses","Más de un año"),"")</f>
        <v>Menos de 3 meses</v>
      </c>
      <c r="L360" t="str">
        <f>IF(OR(I360="Trabajo actualmente como empleado",I360="Trabajo de manera independiente"),CHOOSE(MOD(COUNTIF($I$2:I360,I360)-1,3)+1,"Sí, completamente","Parcialmente","No"),"")</f>
        <v>Parcialmente</v>
      </c>
      <c r="M360" t="str">
        <f>IF(OR(I360="Trabajo actualmente como empleado",I360="Trabajo de manera independiente"),CHOOSE(MOD(INT((COUNTIF($I$2:I360,I360)-1)/3),4)+1,"1- Muy satisfecho/a","2- Satisfecho/a","3- Insatisfecho/a","4- Muy insatisfecho/a"),"")</f>
        <v>2- Satisfecho/a</v>
      </c>
      <c r="N360" t="str">
        <f>IF(OR(I360="Trabajo actualmente como empleado",I360="Trabajo de manera independiente"),_xlfn.LET(_xlpm.opcion,MOD(INT((COUNTIF($I$2:I360,I360)-1)/5),6)+1,CHOOSE(IF(AND(_xlpm.opcion=6,L360="Sí, completamente"),5,_xlpm.opcion),"Salario","Estabilidad laboral","Horario","Acceso a prestaciones","Oportunidades de crecimiento","Trabajar en un área relacionada con mi formación")),"")</f>
        <v>Oportunidades de crecimiento</v>
      </c>
      <c r="O360" s="9" t="str">
        <f>IF(OR(I360="Trabajo actualmente como empleado",I360="Trabajo de manera independiente"),_xlfn.LET(_xlpm.turno,MOD(COUNTIF($I$2:I360,I360)-1,5),_xlpm.nivel,VALUE(LEFT(M360,1)),IF(_xlpm.turno=4,"No estoy seguro/a",IF(_xlpm.turno&lt;IF(_xlpm.nivel&lt;=2,1,3),"Sí","No"))),"")</f>
        <v>No</v>
      </c>
      <c r="P360" s="9" t="str">
        <f>_xlfn.LET(_xlpm.perfil,I360,_xlpm.turno,COUNTIF($I$2:I360,_xlpm.perfil)-1,_xlpm.busca,OR(_xlpm.perfil="Actualmente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60" t="str">
        <f>IF(I360="Tengo un emprendimiento o quiero iniciar uno","",CHOOSE(MOD(INT((COUNTIF($I$2:I360,I360)-1)/7),3)+1,"Sí","No","Tengo una pero necesito actualizarla"))</f>
        <v>No</v>
      </c>
      <c r="R360" s="9" t="str">
        <f>IF(I360="Tengo un emprendimiento o quiero iniciar uno","",IF(I360="Busco mi primer empleo","No",IF(MOD(COUNTIF($I$2:I360,I360)-1,2)=0,"Sí","No")))</f>
        <v>Sí</v>
      </c>
      <c r="S360" t="str">
        <f>IF(I360="Tengo un emprendimiento o quiero iniciar uno","",CHOOSE(MOD(INT((COUNTIF($I$2:I360,I360)-1)/3),10)+1,"Portales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360" t="str">
        <f>IF(I360="Tengo un emprendimiento o quiero iniciar uno","",_xlfn.LET(_xlpm.opcion,MOD(INT((COUNTIF($I$2:I360,I360)-1)/4),6)+1,CHOOSE(IF(AND(_xlpm.opcion=3,Q360="Sí"),1,_xlpm.opcion),"Falta de experiencia","Falta de formación","Dificultades con la hoja de vida","Horarios disponibles","Transporte","Internet")))</f>
        <v>Transporte</v>
      </c>
      <c r="U360" s="9" t="str">
        <f>IF(I360="Tengo un emprendimiento o quiero iniciar uno","",IF(MOD(INT((COUNTIF($I$2:I360,I360)-1)/3),2)=0,"Sí","No"))</f>
        <v>No</v>
      </c>
      <c r="V360" s="9" t="str">
        <f>IF(I360="Tengo un emprendimiento o quiero iniciar uno",CHOOSE(MOD(COUNTIF($I$2:I360,I360)-1,3)+1,"Tengo un emprendimiento","Estoy iniciando un emprendimiento","Me interesa emprender"),"")</f>
        <v/>
      </c>
      <c r="W360" t="str">
        <f t="shared" si="95"/>
        <v/>
      </c>
      <c r="X360" s="9" t="str">
        <f>IF(I360="Tengo un emprendimiento o quiero iniciar uno",CHOOSE(MOD(COUNTIF($I$2:I360,I360)-1,5)+1,"Falta de financiación","Falta de conocimientos administrativos","Falta de conocimientos financieros","Falta de tiempo","Falta de herramientas"),"")</f>
        <v/>
      </c>
      <c r="Y360" s="9" t="str">
        <f t="shared" si="96"/>
        <v/>
      </c>
      <c r="Z360" t="str">
        <f>IF(I360="Tengo un emprendimiento o quiero iniciar uno",CHOOSE(INT(MOD((COUNTIF($I$2:I360,I360)-1)*7,39)/13)+1,"Sí","No","No conozco programas de ese tipo"),"")</f>
        <v/>
      </c>
      <c r="AA360" t="str">
        <f t="shared" si="97"/>
        <v>Puedo hacerlo sin ayuda</v>
      </c>
      <c r="AB360" t="str">
        <f t="shared" si="97"/>
        <v>Puedo hacerlo sin ayuda</v>
      </c>
      <c r="AC360" t="str">
        <f t="shared" si="98"/>
        <v>Puedo hacerlo con dificultad</v>
      </c>
      <c r="AD360" s="9" t="str">
        <f t="shared" si="99"/>
        <v>Puedo hacerlo sin ayuda</v>
      </c>
      <c r="AE360" t="str">
        <f t="shared" si="100"/>
        <v>Puedo hacerlo sin ayuda</v>
      </c>
      <c r="AF360" s="9" t="str">
        <f t="shared" si="101"/>
        <v>Preparación para entrevista</v>
      </c>
      <c r="AG360" s="9" t="str">
        <f t="shared" si="102"/>
        <v>Ninguna</v>
      </c>
      <c r="AH360" t="str">
        <f t="shared" si="103"/>
        <v>No conozco ninguno</v>
      </c>
      <c r="AI360" s="9" t="str">
        <f t="shared" si="104"/>
        <v>Presencial</v>
      </c>
      <c r="AJ360" s="9" t="str">
        <f t="shared" si="105"/>
        <v>Diurno</v>
      </c>
      <c r="AK360" s="9" t="str">
        <f t="shared" si="106"/>
        <v>Redes sociales</v>
      </c>
    </row>
    <row r="361" spans="1:37">
      <c r="A361" t="str">
        <f t="shared" si="107"/>
        <v>SG360</v>
      </c>
      <c r="B361" s="9" t="s">
        <v>419</v>
      </c>
      <c r="C361" s="9" t="s">
        <v>427</v>
      </c>
      <c r="D361" t="str">
        <f t="shared" si="90"/>
        <v>Femenino</v>
      </c>
      <c r="E361" t="str">
        <f t="shared" si="91"/>
        <v>De 26 a 28 años</v>
      </c>
      <c r="F361">
        <f t="shared" si="92"/>
        <v>28</v>
      </c>
      <c r="G361" s="9" t="s">
        <v>430</v>
      </c>
      <c r="H361" s="9" t="str">
        <f t="shared" si="93"/>
        <v>Profesional</v>
      </c>
      <c r="I361" s="9" t="str">
        <f t="shared" si="94"/>
        <v>Actualmente no trabajo y estoy buscando empleo</v>
      </c>
      <c r="J361" s="13" t="str">
        <f>IF(I361="Trabajo actualmente como empleado",IF(MOD((COUNTIF($I$2:I361,"Trabajo actualmente como empleado")-1)*37,150)&lt;100,"Empleado con contrato","Empleado sin contrato formal"),IF(I361="Trabajo de manera independiente","Trabajo independiente",""))</f>
        <v/>
      </c>
      <c r="K361" s="9" t="str">
        <f>IF(OR(I361="Trabajo actualmente como empleado",I361="Trabajo de manera independiente"),CHOOSE(MOD(COUNTIF($I$2:I361,I361)-1,4)+1,"Menos de 3 meses","De 3 a 6 meses","De 7 a 12 meses","Más de un año"),"")</f>
        <v/>
      </c>
      <c r="L361" t="str">
        <f>IF(OR(I361="Trabajo actualmente como empleado",I361="Trabajo de manera independiente"),CHOOSE(MOD(COUNTIF($I$2:I361,I361)-1,3)+1,"Sí, completamente","Parcialmente","No"),"")</f>
        <v/>
      </c>
      <c r="M361" t="str">
        <f>IF(OR(I361="Trabajo actualmente como empleado",I361="Trabajo de manera independiente"),CHOOSE(MOD(INT((COUNTIF($I$2:I361,I361)-1)/3),4)+1,"1- Muy satisfecho/a","2- Satisfecho/a","3- Insatisfecho/a","4- Muy insatisfecho/a"),"")</f>
        <v/>
      </c>
      <c r="N361" t="str">
        <f>IF(OR(I361="Trabajo actualmente como empleado",I361="Trabajo de manera independiente"),_xlfn.LET(_xlpm.opcion,MOD(INT((COUNTIF($I$2:I361,I361)-1)/5),6)+1,CHOOSE(IF(AND(_xlpm.opcion=6,L361="Sí, completamente"),5,_xlpm.opcion),"Salario","Estabilidad laboral","Horario","Acceso a prestaciones","Oportunidades de crecimiento","Trabajar en un área relacionada con mi formación")),"")</f>
        <v/>
      </c>
      <c r="O361" s="9" t="str">
        <f>IF(OR(I361="Trabajo actualmente como empleado",I361="Trabajo de manera independiente"),_xlfn.LET(_xlpm.turno,MOD(COUNTIF($I$2:I361,I361)-1,5),_xlpm.nivel,VALUE(LEFT(M361,1)),IF(_xlpm.turno=4,"No estoy seguro/a",IF(_xlpm.turno&lt;IF(_xlpm.nivel&lt;=2,1,3),"Sí","No"))),"")</f>
        <v/>
      </c>
      <c r="P361" s="9" t="str">
        <f>_xlfn.LET(_xlpm.perfil,I361,_xlpm.turno,COUNTIF($I$2:I361,_xlpm.perfil)-1,_xlpm.busca,OR(_xlpm.perfil="Actualmente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trabajar"),IF(AND(_xlpm.trabaja,O361="No"),"Todavía no he iniciado una búsqueda activa",CHOOSE(MOD(_xlpm.turno*3,5)+1,"Menos de 1 mes","Entre 1 y 3 meses","Entre 4 y 6 meses","Más de 6 meses","Todavía no he iniciado una búsqueda activa")),"")))</f>
        <v>Entre 4 y 6 meses</v>
      </c>
      <c r="Q361" t="str">
        <f>IF(I361="Tengo un emprendimiento o quiero iniciar uno","",CHOOSE(MOD(INT((COUNTIF($I$2:I361,I361)-1)/7),3)+1,"Sí","No","Tengo una pero necesito actualizarla"))</f>
        <v>Sí</v>
      </c>
      <c r="R361" s="9" t="str">
        <f>IF(I361="Tengo un emprendimiento o quiero iniciar uno","",IF(I361="Busco mi primer empleo","No",IF(MOD(COUNTIF($I$2:I361,I361)-1,2)=0,"Sí","No")))</f>
        <v>Sí</v>
      </c>
      <c r="S361" t="str">
        <f>IF(I361="Tengo un emprendimiento o quiero iniciar uno","",CHOOSE(MOD(INT((COUNTIF($I$2:I361,I361)-1)/3),10)+1,"Portales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61" t="str">
        <f>IF(I361="Tengo un emprendimiento o quiero iniciar uno","",_xlfn.LET(_xlpm.opcion,MOD(INT((COUNTIF($I$2:I361,I361)-1)/4),6)+1,CHOOSE(IF(AND(_xlpm.opcion=3,Q361="Sí"),1,_xlpm.opcion),"Falta de experiencia","Falta de formación","Dificultades con la hoja de vida","Horarios disponibles","Transporte","Internet")))</f>
        <v>Transporte</v>
      </c>
      <c r="U361" s="9" t="str">
        <f>IF(I361="Tengo un emprendimiento o quiero iniciar uno","",IF(MOD(INT((COUNTIF($I$2:I361,I361)-1)/3),2)=0,"Sí","No"))</f>
        <v>Sí</v>
      </c>
      <c r="V361" s="9" t="str">
        <f>IF(I361="Tengo un emprendimiento o quiero iniciar uno",CHOOSE(MOD(COUNTIF($I$2:I361,I361)-1,3)+1,"Tengo un emprendimiento","Estoy iniciando un emprendimiento","Me interesa emprender"),"")</f>
        <v/>
      </c>
      <c r="W361" t="str">
        <f t="shared" si="95"/>
        <v/>
      </c>
      <c r="X361" s="9" t="str">
        <f>IF(I361="Tengo un emprendimiento o quiero iniciar uno",CHOOSE(MOD(COUNTIF($I$2:I361,I361)-1,5)+1,"Falta de financiación","Falta de conocimientos administrativos","Falta de conocimientos financieros","Falta de tiempo","Falta de herramientas"),"")</f>
        <v/>
      </c>
      <c r="Y361" s="9" t="str">
        <f t="shared" si="96"/>
        <v/>
      </c>
      <c r="Z361" t="str">
        <f>IF(I361="Tengo un emprendimiento o quiero iniciar uno",CHOOSE(INT(MOD((COUNTIF($I$2:I361,I361)-1)*7,39)/13)+1,"Sí","No","No conozco programas de ese tipo"),"")</f>
        <v/>
      </c>
      <c r="AA361" t="str">
        <f t="shared" si="97"/>
        <v>No puedo hacerlo</v>
      </c>
      <c r="AB361" t="str">
        <f t="shared" si="97"/>
        <v>No puedo hacerlo</v>
      </c>
      <c r="AC361" t="str">
        <f t="shared" si="98"/>
        <v>Puedo hacerlo sin ayuda</v>
      </c>
      <c r="AD361" s="9" t="str">
        <f t="shared" si="99"/>
        <v>Puedo hacerlo sin ayuda</v>
      </c>
      <c r="AE361" t="str">
        <f t="shared" si="100"/>
        <v>No puedo hacerlo</v>
      </c>
      <c r="AF361" s="9" t="str">
        <f t="shared" si="101"/>
        <v>Comunicación</v>
      </c>
      <c r="AG361" s="9" t="str">
        <f t="shared" si="102"/>
        <v>Ninguna</v>
      </c>
      <c r="AH361" t="str">
        <f t="shared" si="103"/>
        <v>Ferias de empleo</v>
      </c>
      <c r="AI361" s="9" t="str">
        <f t="shared" si="104"/>
        <v>Virtual</v>
      </c>
      <c r="AJ361" s="9" t="str">
        <f t="shared" si="105"/>
        <v>Nocturno</v>
      </c>
      <c r="AK361" s="9" t="str">
        <f t="shared" si="106"/>
        <v>Celular</v>
      </c>
    </row>
    <row r="362" spans="1:37">
      <c r="A362" t="str">
        <f t="shared" si="107"/>
        <v>SG361</v>
      </c>
      <c r="B362" s="9" t="s">
        <v>419</v>
      </c>
      <c r="C362" s="9" t="s">
        <v>427</v>
      </c>
      <c r="D362" s="9" t="str">
        <f t="shared" si="90"/>
        <v>Otro</v>
      </c>
      <c r="E362" t="str">
        <f t="shared" si="91"/>
        <v>De 18 a 20 años</v>
      </c>
      <c r="F362">
        <f t="shared" si="92"/>
        <v>18</v>
      </c>
      <c r="G362" s="9" t="s">
        <v>430</v>
      </c>
      <c r="H362" s="9" t="str">
        <f t="shared" si="93"/>
        <v>Técnico</v>
      </c>
      <c r="I362" s="9" t="str">
        <f t="shared" si="94"/>
        <v>Trabajo actualmente como empleado</v>
      </c>
      <c r="J362" s="13" t="str">
        <f>IF(I362="Trabajo actualmente como empleado",IF(MOD((COUNTIF($I$2:I362,"Trabajo actualmente como empleado")-1)*37,150)&lt;100,"Empleado con contrato","Empleado sin contrato formal"),IF(I362="Trabajo de manera independiente","Trabajo independiente",""))</f>
        <v>Empleado sin contrato formal</v>
      </c>
      <c r="K362" s="9" t="str">
        <f>IF(OR(I362="Trabajo actualmente como empleado",I362="Trabajo de manera independiente"),CHOOSE(MOD(COUNTIF($I$2:I362,I362)-1,4)+1,"Menos de 3 meses","De 3 a 6 meses","De 7 a 12 meses","Más de un año"),"")</f>
        <v>De 3 a 6 meses</v>
      </c>
      <c r="L362" t="str">
        <f>IF(OR(I362="Trabajo actualmente como empleado",I362="Trabajo de manera independiente"),CHOOSE(MOD(COUNTIF($I$2:I362,I362)-1,3)+1,"Sí, completamente","Parcialmente","No"),"")</f>
        <v>No</v>
      </c>
      <c r="M362" t="str">
        <f>IF(OR(I362="Trabajo actualmente como empleado",I362="Trabajo de manera independiente"),CHOOSE(MOD(INT((COUNTIF($I$2:I362,I362)-1)/3),4)+1,"1- Muy satisfecho/a","2- Satisfecho/a","3- Insatisfecho/a","4- Muy insatisfecho/a"),"")</f>
        <v>2- Satisfecho/a</v>
      </c>
      <c r="N362" t="str">
        <f>IF(OR(I362="Trabajo actualmente como empleado",I362="Trabajo de manera independiente"),_xlfn.LET(_xlpm.opcion,MOD(INT((COUNTIF($I$2:I362,I362)-1)/5),6)+1,CHOOSE(IF(AND(_xlpm.opcion=6,L362="Sí, completamente"),5,_xlpm.opcion),"Salario","Estabilidad laboral","Horario","Acceso a prestaciones","Oportunidades de crecimiento","Trabajar en un área relacionada con mi formación")),"")</f>
        <v>Oportunidades de crecimiento</v>
      </c>
      <c r="O362" s="9" t="str">
        <f>IF(OR(I362="Trabajo actualmente como empleado",I362="Trabajo de manera independiente"),_xlfn.LET(_xlpm.turno,MOD(COUNTIF($I$2:I362,I362)-1,5),_xlpm.nivel,VALUE(LEFT(M362,1)),IF(_xlpm.turno=4,"No estoy seguro/a",IF(_xlpm.turno&lt;IF(_xlpm.nivel&lt;=2,1,3),"Sí","No"))),"")</f>
        <v>No</v>
      </c>
      <c r="P362" s="9" t="str">
        <f>_xlfn.LET(_xlpm.perfil,I362,_xlpm.turno,COUNTIF($I$2:I362,_xlpm.perfil)-1,_xlpm.busca,OR(_xlpm.perfil="Actualmente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62" t="str">
        <f>IF(I362="Tengo un emprendimiento o quiero iniciar uno","",CHOOSE(MOD(INT((COUNTIF($I$2:I362,I362)-1)/7),3)+1,"Sí","No","Tengo una pero necesito actualizarla"))</f>
        <v>No</v>
      </c>
      <c r="R362" s="9" t="str">
        <f>IF(I362="Tengo un emprendimiento o quiero iniciar uno","",IF(I362="Busco mi primer empleo","No",IF(MOD(COUNTIF($I$2:I362,I362)-1,2)=0,"Sí","No")))</f>
        <v>No</v>
      </c>
      <c r="S362" t="str">
        <f>IF(I362="Tengo un emprendimiento o quiero iniciar uno","",CHOOSE(MOD(INT((COUNTIF($I$2:I362,I362)-1)/3),10)+1,"Portales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362" t="str">
        <f>IF(I362="Tengo un emprendimiento o quiero iniciar uno","",_xlfn.LET(_xlpm.opcion,MOD(INT((COUNTIF($I$2:I362,I362)-1)/4),6)+1,CHOOSE(IF(AND(_xlpm.opcion=3,Q362="Sí"),1,_xlpm.opcion),"Falta de experiencia","Falta de formación","Dificultades con la hoja de vida","Horarios disponibles","Transporte","Internet")))</f>
        <v>Transporte</v>
      </c>
      <c r="U362" s="9" t="str">
        <f>IF(I362="Tengo un emprendimiento o quiero iniciar uno","",IF(MOD(INT((COUNTIF($I$2:I362,I362)-1)/3),2)=0,"Sí","No"))</f>
        <v>No</v>
      </c>
      <c r="V362" s="9" t="str">
        <f>IF(I362="Tengo un emprendimiento o quiero iniciar uno",CHOOSE(MOD(COUNTIF($I$2:I362,I362)-1,3)+1,"Tengo un emprendimiento","Estoy iniciando un emprendimiento","Me interesa emprender"),"")</f>
        <v/>
      </c>
      <c r="W362" t="str">
        <f t="shared" si="95"/>
        <v/>
      </c>
      <c r="X362" s="9" t="str">
        <f>IF(I362="Tengo un emprendimiento o quiero iniciar uno",CHOOSE(MOD(COUNTIF($I$2:I362,I362)-1,5)+1,"Falta de financiación","Falta de conocimientos administrativos","Falta de conocimientos financieros","Falta de tiempo","Falta de herramientas"),"")</f>
        <v/>
      </c>
      <c r="Y362" s="9" t="str">
        <f t="shared" si="96"/>
        <v/>
      </c>
      <c r="Z362" t="str">
        <f>IF(I362="Tengo un emprendimiento o quiero iniciar uno",CHOOSE(INT(MOD((COUNTIF($I$2:I362,I362)-1)*7,39)/13)+1,"Sí","No","No conozco programas de ese tipo"),"")</f>
        <v/>
      </c>
      <c r="AA362" t="str">
        <f t="shared" si="97"/>
        <v>Puedo hacerlo con dificultad</v>
      </c>
      <c r="AB362" t="str">
        <f t="shared" si="97"/>
        <v>Puedo hacerlo con dificultad</v>
      </c>
      <c r="AC362" t="str">
        <f t="shared" si="98"/>
        <v>No puedo hacerlo</v>
      </c>
      <c r="AD362" s="9" t="str">
        <f t="shared" si="99"/>
        <v>No puedo hacerlo</v>
      </c>
      <c r="AE362" t="str">
        <f t="shared" si="100"/>
        <v>No puedo hacerlo</v>
      </c>
      <c r="AF362" s="9" t="str">
        <f t="shared" si="101"/>
        <v>Liderazgo</v>
      </c>
      <c r="AG362" s="9" t="str">
        <f t="shared" si="102"/>
        <v>Falta de experiencia</v>
      </c>
      <c r="AH362" t="str">
        <f t="shared" si="103"/>
        <v>Programas de emprendimiento</v>
      </c>
      <c r="AI362" s="9" t="str">
        <f t="shared" si="104"/>
        <v>Presencial y virtual</v>
      </c>
      <c r="AJ362" s="9" t="str">
        <f t="shared" si="105"/>
        <v>Mañana entre semana</v>
      </c>
      <c r="AK362" s="9" t="str">
        <f t="shared" si="106"/>
        <v>Correo electrónico</v>
      </c>
    </row>
    <row r="363" spans="1:37">
      <c r="A363" t="str">
        <f t="shared" si="107"/>
        <v>SG362</v>
      </c>
      <c r="B363" s="9" t="s">
        <v>419</v>
      </c>
      <c r="C363" s="9" t="s">
        <v>427</v>
      </c>
      <c r="D363" t="str">
        <f t="shared" si="90"/>
        <v>Masculino</v>
      </c>
      <c r="E363" t="str">
        <f t="shared" si="91"/>
        <v>De 20 a 22 años</v>
      </c>
      <c r="F363">
        <f t="shared" si="92"/>
        <v>20</v>
      </c>
      <c r="G363" s="9" t="s">
        <v>430</v>
      </c>
      <c r="H363" s="9" t="str">
        <f t="shared" si="93"/>
        <v>Tecnólogo</v>
      </c>
      <c r="I363" s="9" t="str">
        <f t="shared" si="94"/>
        <v>Trabajo de manera independiente</v>
      </c>
      <c r="J363" s="13" t="str">
        <f>IF(I363="Trabajo actualmente como empleado",IF(MOD((COUNTIF($I$2:I363,"Trabajo actualmente como empleado")-1)*37,150)&lt;100,"Empleado con contrato","Empleado sin contrato formal"),IF(I363="Trabajo de manera independiente","Trabajo independiente",""))</f>
        <v>Trabajo independiente</v>
      </c>
      <c r="K363" s="9" t="str">
        <f>IF(OR(I363="Trabajo actualmente como empleado",I363="Trabajo de manera independiente"),CHOOSE(MOD(COUNTIF($I$2:I363,I363)-1,4)+1,"Menos de 3 meses","De 3 a 6 meses","De 7 a 12 meses","Más de un año"),"")</f>
        <v>Menos de 3 meses</v>
      </c>
      <c r="L363" t="str">
        <f>IF(OR(I363="Trabajo actualmente como empleado",I363="Trabajo de manera independiente"),CHOOSE(MOD(COUNTIF($I$2:I363,I363)-1,3)+1,"Sí, completamente","Parcialmente","No"),"")</f>
        <v>Sí, completamente</v>
      </c>
      <c r="M363" t="str">
        <f>IF(OR(I363="Trabajo actualmente como empleado",I363="Trabajo de manera independiente"),CHOOSE(MOD(INT((COUNTIF($I$2:I363,I363)-1)/3),4)+1,"1- Muy satisfecho/a","2- Satisfecho/a","3- Insatisfecho/a","4- Muy insatisfecho/a"),"")</f>
        <v>1- Muy satisfecho/a</v>
      </c>
      <c r="N363" t="str">
        <f>IF(OR(I363="Trabajo actualmente como empleado",I363="Trabajo de manera independiente"),_xlfn.LET(_xlpm.opcion,MOD(INT((COUNTIF($I$2:I363,I363)-1)/5),6)+1,CHOOSE(IF(AND(_xlpm.opcion=6,L363="Sí, completamente"),5,_xlpm.opcion),"Salario","Estabilidad laboral","Horario","Acceso a prestaciones","Oportunidades de crecimiento","Trabajar en un área relacionada con mi formación")),"")</f>
        <v>Salario</v>
      </c>
      <c r="O363" s="9" t="str">
        <f>IF(OR(I363="Trabajo actualmente como empleado",I363="Trabajo de manera independiente"),_xlfn.LET(_xlpm.turno,MOD(COUNTIF($I$2:I363,I363)-1,5),_xlpm.nivel,VALUE(LEFT(M363,1)),IF(_xlpm.turno=4,"No estoy seguro/a",IF(_xlpm.turno&lt;IF(_xlpm.nivel&lt;=2,1,3),"Sí","No"))),"")</f>
        <v>Sí</v>
      </c>
      <c r="P363" s="9" t="str">
        <f>_xlfn.LET(_xlpm.perfil,I363,_xlpm.turno,COUNTIF($I$2:I363,_xlpm.perfil)-1,_xlpm.busca,OR(_xlpm.perfil="Actualmente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trabajar"),IF(AND(_xlpm.trabaja,O363="No"),"Todavía no he iniciado una búsqueda activa",CHOOSE(MOD(_xlpm.turno*3,5)+1,"Menos de 1 mes","Entre 1 y 3 meses","Entre 4 y 6 meses","Más de 6 meses","Todavía no he iniciado una búsqueda activa")),"")))</f>
        <v>Menos de 1 mes</v>
      </c>
      <c r="Q363" t="str">
        <f>IF(I363="Tengo un emprendimiento o quiero iniciar uno","",CHOOSE(MOD(INT((COUNTIF($I$2:I363,I363)-1)/7),3)+1,"Sí","No","Tengo una pero necesito actualizarla"))</f>
        <v>Tengo una pero necesito actualizarla</v>
      </c>
      <c r="R363" s="9" t="str">
        <f>IF(I363="Tengo un emprendimiento o quiero iniciar uno","",IF(I363="Busco mi primer empleo","No",IF(MOD(COUNTIF($I$2:I363,I363)-1,2)=0,"Sí","No")))</f>
        <v>Sí</v>
      </c>
      <c r="S363" t="str">
        <f>IF(I363="Tengo un emprendimiento o quiero iniciar uno","",CHOOSE(MOD(INT((COUNTIF($I$2:I363,I363)-1)/3),10)+1,"Portales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63" t="str">
        <f>IF(I363="Tengo un emprendimiento o quiero iniciar uno","",_xlfn.LET(_xlpm.opcion,MOD(INT((COUNTIF($I$2:I363,I363)-1)/4),6)+1,CHOOSE(IF(AND(_xlpm.opcion=3,Q363="Sí"),1,_xlpm.opcion),"Falta de experiencia","Falta de formación","Dificultades con la hoja de vida","Horarios disponibles","Transporte","Internet")))</f>
        <v>Horarios disponibles</v>
      </c>
      <c r="U363" s="9" t="str">
        <f>IF(I363="Tengo un emprendimiento o quiero iniciar uno","",IF(MOD(INT((COUNTIF($I$2:I363,I363)-1)/3),2)=0,"Sí","No"))</f>
        <v>Sí</v>
      </c>
      <c r="V363" s="9" t="str">
        <f>IF(I363="Tengo un emprendimiento o quiero iniciar uno",CHOOSE(MOD(COUNTIF($I$2:I363,I363)-1,3)+1,"Tengo un emprendimiento","Estoy iniciando un emprendimiento","Me interesa emprender"),"")</f>
        <v/>
      </c>
      <c r="W363" t="str">
        <f t="shared" si="95"/>
        <v/>
      </c>
      <c r="X363" s="9" t="str">
        <f>IF(I363="Tengo un emprendimiento o quiero iniciar uno",CHOOSE(MOD(COUNTIF($I$2:I363,I363)-1,5)+1,"Falta de financiación","Falta de conocimientos administrativos","Falta de conocimientos financieros","Falta de tiempo","Falta de herramientas"),"")</f>
        <v/>
      </c>
      <c r="Y363" s="9" t="str">
        <f t="shared" si="96"/>
        <v/>
      </c>
      <c r="Z363" t="str">
        <f>IF(I363="Tengo un emprendimiento o quiero iniciar uno",CHOOSE(INT(MOD((COUNTIF($I$2:I363,I363)-1)*7,39)/13)+1,"Sí","No","No conozco programas de ese tipo"),"")</f>
        <v/>
      </c>
      <c r="AA363" t="str">
        <f t="shared" si="97"/>
        <v>Puedo hacerlo sin ayuda</v>
      </c>
      <c r="AB363" t="str">
        <f t="shared" si="97"/>
        <v>Puedo hacerlo sin ayuda</v>
      </c>
      <c r="AC363" t="str">
        <f t="shared" si="98"/>
        <v>Puedo hacerlo con ayuda</v>
      </c>
      <c r="AD363" s="9" t="str">
        <f t="shared" si="99"/>
        <v>Puedo hacerlo con ayuda</v>
      </c>
      <c r="AE363" t="str">
        <f t="shared" si="100"/>
        <v>Puedo hacerlo con ayuda</v>
      </c>
      <c r="AF363" s="9" t="str">
        <f t="shared" si="101"/>
        <v>Emprendimiento</v>
      </c>
      <c r="AG363" s="9" t="str">
        <f t="shared" si="102"/>
        <v>Falta de experiencia</v>
      </c>
      <c r="AH363" t="str">
        <f t="shared" si="103"/>
        <v>Oficina de orientación laboral</v>
      </c>
      <c r="AI363" s="9" t="str">
        <f t="shared" si="104"/>
        <v>Me es indiferente</v>
      </c>
      <c r="AJ363" s="9" t="str">
        <f t="shared" si="105"/>
        <v>Diurno</v>
      </c>
      <c r="AK363" s="9" t="str">
        <f t="shared" si="106"/>
        <v>Redes sociales</v>
      </c>
    </row>
    <row r="364" spans="1:37">
      <c r="A364" t="str">
        <f t="shared" si="107"/>
        <v>SG363</v>
      </c>
      <c r="B364" s="9" t="s">
        <v>419</v>
      </c>
      <c r="C364" s="9" t="s">
        <v>427</v>
      </c>
      <c r="D364" t="str">
        <f t="shared" si="90"/>
        <v>Femenino</v>
      </c>
      <c r="E364" t="str">
        <f t="shared" si="91"/>
        <v>De 22 a 24 años</v>
      </c>
      <c r="F364">
        <f t="shared" si="92"/>
        <v>22</v>
      </c>
      <c r="G364" s="9" t="s">
        <v>430</v>
      </c>
      <c r="H364" s="9" t="str">
        <f t="shared" si="93"/>
        <v>Profesional</v>
      </c>
      <c r="I364" s="9" t="str">
        <f t="shared" si="94"/>
        <v>Busco mi primer empleo</v>
      </c>
      <c r="J364" s="13" t="str">
        <f>IF(I364="Trabajo actualmente como empleado",IF(MOD((COUNTIF($I$2:I364,"Trabajo actualmente como empleado")-1)*37,150)&lt;100,"Empleado con contrato","Empleado sin contrato formal"),IF(I364="Trabajo de manera independiente","Trabajo independiente",""))</f>
        <v/>
      </c>
      <c r="K364" s="9" t="str">
        <f>IF(OR(I364="Trabajo actualmente como empleado",I364="Trabajo de manera independiente"),CHOOSE(MOD(COUNTIF($I$2:I364,I364)-1,4)+1,"Menos de 3 meses","De 3 a 6 meses","De 7 a 12 meses","Más de un año"),"")</f>
        <v/>
      </c>
      <c r="L364" t="str">
        <f>IF(OR(I364="Trabajo actualmente como empleado",I364="Trabajo de manera independiente"),CHOOSE(MOD(COUNTIF($I$2:I364,I364)-1,3)+1,"Sí, completamente","Parcialmente","No"),"")</f>
        <v/>
      </c>
      <c r="M364" t="str">
        <f>IF(OR(I364="Trabajo actualmente como empleado",I364="Trabajo de manera independiente"),CHOOSE(MOD(INT((COUNTIF($I$2:I364,I364)-1)/3),4)+1,"1- Muy satisfecho/a","2- Satisfecho/a","3- Insatisfecho/a","4- Muy insatisfecho/a"),"")</f>
        <v/>
      </c>
      <c r="N364" t="str">
        <f>IF(OR(I364="Trabajo actualmente como empleado",I364="Trabajo de manera independiente"),_xlfn.LET(_xlpm.opcion,MOD(INT((COUNTIF($I$2:I364,I364)-1)/5),6)+1,CHOOSE(IF(AND(_xlpm.opcion=6,L364="Sí, completamente"),5,_xlpm.opcion),"Salario","Estabilidad laboral","Horario","Acceso a prestaciones","Oportunidades de crecimiento","Trabajar en un área relacionada con mi formación")),"")</f>
        <v/>
      </c>
      <c r="O364" s="9" t="str">
        <f>IF(OR(I364="Trabajo actualmente como empleado",I364="Trabajo de manera independiente"),_xlfn.LET(_xlpm.turno,MOD(COUNTIF($I$2:I364,I364)-1,5),_xlpm.nivel,VALUE(LEFT(M364,1)),IF(_xlpm.turno=4,"No estoy seguro/a",IF(_xlpm.turno&lt;IF(_xlpm.nivel&lt;=2,1,3),"Sí","No"))),"")</f>
        <v/>
      </c>
      <c r="P364" s="9" t="str">
        <f>_xlfn.LET(_xlpm.perfil,I364,_xlpm.turno,COUNTIF($I$2:I364,_xlpm.perfil)-1,_xlpm.busca,OR(_xlpm.perfil="Actualmente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trabajar"),IF(AND(_xlpm.trabaja,O364="No"),"Todavía no he iniciado una búsqueda activa",CHOOSE(MOD(_xlpm.turno*3,5)+1,"Menos de 1 mes","Entre 1 y 3 meses","Entre 4 y 6 meses","Más de 6 meses","Todavía no he iniciado una búsqueda activa")),"")))</f>
        <v>Entre 1 y 3 meses</v>
      </c>
      <c r="Q364" t="str">
        <f>IF(I364="Tengo un emprendimiento o quiero iniciar uno","",CHOOSE(MOD(INT((COUNTIF($I$2:I364,I364)-1)/7),3)+1,"Sí","No","Tengo una pero necesito actualizarla"))</f>
        <v>Sí</v>
      </c>
      <c r="R364" s="9" t="str">
        <f>IF(I364="Tengo un emprendimiento o quiero iniciar uno","",IF(I364="Busco mi primer empleo","No",IF(MOD(COUNTIF($I$2:I364,I364)-1,2)=0,"Sí","No")))</f>
        <v>No</v>
      </c>
      <c r="S364" t="str">
        <f>IF(I364="Tengo un emprendimiento o quiero iniciar uno","",CHOOSE(MOD(INT((COUNTIF($I$2:I364,I364)-1)/3),10)+1,"Portales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64" t="str">
        <f>IF(I364="Tengo un emprendimiento o quiero iniciar uno","",_xlfn.LET(_xlpm.opcion,MOD(INT((COUNTIF($I$2:I364,I364)-1)/4),6)+1,CHOOSE(IF(AND(_xlpm.opcion=3,Q364="Sí"),1,_xlpm.opcion),"Falta de experiencia","Falta de formación","Dificultades con la hoja de vida","Horarios disponibles","Transporte","Internet")))</f>
        <v>Internet</v>
      </c>
      <c r="U364" s="9" t="str">
        <f>IF(I364="Tengo un emprendimiento o quiero iniciar uno","",IF(MOD(INT((COUNTIF($I$2:I364,I364)-1)/3),2)=0,"Sí","No"))</f>
        <v>No</v>
      </c>
      <c r="V364" s="9" t="str">
        <f>IF(I364="Tengo un emprendimiento o quiero iniciar uno",CHOOSE(MOD(COUNTIF($I$2:I364,I364)-1,3)+1,"Tengo un emprendimiento","Estoy iniciando un emprendimiento","Me interesa emprender"),"")</f>
        <v/>
      </c>
      <c r="W364" t="str">
        <f t="shared" si="95"/>
        <v/>
      </c>
      <c r="X364" s="9" t="str">
        <f>IF(I364="Tengo un emprendimiento o quiero iniciar uno",CHOOSE(MOD(COUNTIF($I$2:I364,I364)-1,5)+1,"Falta de financiación","Falta de conocimientos administrativos","Falta de conocimientos financieros","Falta de tiempo","Falta de herramientas"),"")</f>
        <v/>
      </c>
      <c r="Y364" s="9" t="str">
        <f t="shared" si="96"/>
        <v/>
      </c>
      <c r="Z364" t="str">
        <f>IF(I364="Tengo un emprendimiento o quiero iniciar uno",CHOOSE(INT(MOD((COUNTIF($I$2:I364,I364)-1)*7,39)/13)+1,"Sí","No","No conozco programas de ese tipo"),"")</f>
        <v/>
      </c>
      <c r="AA364" t="str">
        <f t="shared" si="97"/>
        <v>Puedo hacerlo con ayuda</v>
      </c>
      <c r="AB364" t="str">
        <f t="shared" si="97"/>
        <v>Puedo hacerlo con ayuda</v>
      </c>
      <c r="AC364" t="str">
        <f t="shared" si="98"/>
        <v>Puedo hacerlo sin ayuda</v>
      </c>
      <c r="AD364" s="9" t="str">
        <f t="shared" si="99"/>
        <v>Puedo hacerlo con dificultad</v>
      </c>
      <c r="AE364" t="str">
        <f t="shared" si="100"/>
        <v>Puedo hacerlo con dificultad</v>
      </c>
      <c r="AF364" s="9" t="str">
        <f t="shared" si="101"/>
        <v>Herramientas digitales</v>
      </c>
      <c r="AG364" s="9" t="str">
        <f t="shared" si="102"/>
        <v>Falta de experiencia</v>
      </c>
      <c r="AH364" t="str">
        <f t="shared" si="103"/>
        <v>Programas de emprendimiento</v>
      </c>
      <c r="AI364" s="9" t="str">
        <f t="shared" si="104"/>
        <v>Presencial</v>
      </c>
      <c r="AJ364" s="9" t="str">
        <f t="shared" si="105"/>
        <v>Nocturno</v>
      </c>
      <c r="AK364" s="9" t="str">
        <f t="shared" si="106"/>
        <v>WhatsApp</v>
      </c>
    </row>
    <row r="365" spans="1:37">
      <c r="A365" t="str">
        <f t="shared" si="107"/>
        <v>SG364</v>
      </c>
      <c r="B365" s="9" t="s">
        <v>419</v>
      </c>
      <c r="C365" s="9" t="s">
        <v>427</v>
      </c>
      <c r="D365" t="str">
        <f t="shared" si="90"/>
        <v>Femenino</v>
      </c>
      <c r="E365" t="str">
        <f t="shared" si="91"/>
        <v>De 24 a 26 años</v>
      </c>
      <c r="F365">
        <f t="shared" si="92"/>
        <v>24</v>
      </c>
      <c r="G365" s="9" t="s">
        <v>430</v>
      </c>
      <c r="H365" s="9" t="str">
        <f t="shared" si="93"/>
        <v>Profesional</v>
      </c>
      <c r="I365" s="9" t="str">
        <f t="shared" si="94"/>
        <v>Trabajo actualmente como empleado</v>
      </c>
      <c r="J365" s="13" t="str">
        <f>IF(I365="Trabajo actualmente como empleado",IF(MOD((COUNTIF($I$2:I365,"Trabajo actualmente como empleado")-1)*37,150)&lt;100,"Empleado con contrato","Empleado sin contrato formal"),IF(I365="Trabajo de manera independiente","Trabajo independiente",""))</f>
        <v>Empleado con contrato</v>
      </c>
      <c r="K365" s="9" t="str">
        <f>IF(OR(I365="Trabajo actualmente como empleado",I365="Trabajo de manera independiente"),CHOOSE(MOD(COUNTIF($I$2:I365,I365)-1,4)+1,"Menos de 3 meses","De 3 a 6 meses","De 7 a 12 meses","Más de un año"),"")</f>
        <v>De 7 a 12 meses</v>
      </c>
      <c r="L365" t="str">
        <f>IF(OR(I365="Trabajo actualmente como empleado",I365="Trabajo de manera independiente"),CHOOSE(MOD(COUNTIF($I$2:I365,I365)-1,3)+1,"Sí, completamente","Parcialmente","No"),"")</f>
        <v>Sí, completamente</v>
      </c>
      <c r="M365" t="str">
        <f>IF(OR(I365="Trabajo actualmente como empleado",I365="Trabajo de manera independiente"),CHOOSE(MOD(INT((COUNTIF($I$2:I365,I365)-1)/3),4)+1,"1- Muy satisfecho/a","2- Satisfecho/a","3- Insatisfecho/a","4- Muy insatisfecho/a"),"")</f>
        <v>3- Insatisfecho/a</v>
      </c>
      <c r="N365" t="str">
        <f>IF(OR(I365="Trabajo actualmente como empleado",I365="Trabajo de manera independiente"),_xlfn.LET(_xlpm.opcion,MOD(INT((COUNTIF($I$2:I365,I365)-1)/5),6)+1,CHOOSE(IF(AND(_xlpm.opcion=6,L365="Sí, completamente"),5,_xlpm.opcion),"Salario","Estabilidad laboral","Horario","Acceso a prestaciones","Oportunidades de crecimiento","Trabajar en un área relacionada con mi formación")),"")</f>
        <v>Oportunidades de crecimiento</v>
      </c>
      <c r="O365" s="9" t="str">
        <f>IF(OR(I365="Trabajo actualmente como empleado",I365="Trabajo de manera independiente"),_xlfn.LET(_xlpm.turno,MOD(COUNTIF($I$2:I365,I365)-1,5),_xlpm.nivel,VALUE(LEFT(M365,1)),IF(_xlpm.turno=4,"No estoy seguro/a",IF(_xlpm.turno&lt;IF(_xlpm.nivel&lt;=2,1,3),"Sí","No"))),"")</f>
        <v>No estoy seguro/a</v>
      </c>
      <c r="P365" s="9" t="str">
        <f>_xlfn.LET(_xlpm.perfil,I365,_xlpm.turno,COUNTIF($I$2:I365,_xlpm.perfil)-1,_xlpm.busca,OR(_xlpm.perfil="Actualmente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trabajar"),IF(AND(_xlpm.trabaja,O365="No"),"Todavía no he iniciado una búsqueda activa",CHOOSE(MOD(_xlpm.turno*3,5)+1,"Menos de 1 mes","Entre 1 y 3 meses","Entre 4 y 6 meses","Más de 6 meses","Todavía no he iniciado una búsqueda activa")),"")))</f>
        <v>Entre 4 y 6 meses</v>
      </c>
      <c r="Q365" t="str">
        <f>IF(I365="Tengo un emprendimiento o quiero iniciar uno","",CHOOSE(MOD(INT((COUNTIF($I$2:I365,I365)-1)/7),3)+1,"Sí","No","Tengo una pero necesito actualizarla"))</f>
        <v>No</v>
      </c>
      <c r="R365" s="9" t="str">
        <f>IF(I365="Tengo un emprendimiento o quiero iniciar uno","",IF(I365="Busco mi primer empleo","No",IF(MOD(COUNTIF($I$2:I365,I365)-1,2)=0,"Sí","No")))</f>
        <v>Sí</v>
      </c>
      <c r="S365" t="str">
        <f>IF(I365="Tengo un emprendimiento o quiero iniciar uno","",CHOOSE(MOD(INT((COUNTIF($I$2:I365,I365)-1)/3),10)+1,"Portales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65" t="str">
        <f>IF(I365="Tengo un emprendimiento o quiero iniciar uno","",_xlfn.LET(_xlpm.opcion,MOD(INT((COUNTIF($I$2:I365,I365)-1)/4),6)+1,CHOOSE(IF(AND(_xlpm.opcion=3,Q365="Sí"),1,_xlpm.opcion),"Falta de experiencia","Falta de formación","Dificultades con la hoja de vida","Horarios disponibles","Transporte","Internet")))</f>
        <v>Transporte</v>
      </c>
      <c r="U365" s="9" t="str">
        <f>IF(I365="Tengo un emprendimiento o quiero iniciar uno","",IF(MOD(INT((COUNTIF($I$2:I365,I365)-1)/3),2)=0,"Sí","No"))</f>
        <v>Sí</v>
      </c>
      <c r="V365" s="9" t="str">
        <f>IF(I365="Tengo un emprendimiento o quiero iniciar uno",CHOOSE(MOD(COUNTIF($I$2:I365,I365)-1,3)+1,"Tengo un emprendimiento","Estoy iniciando un emprendimiento","Me interesa emprender"),"")</f>
        <v/>
      </c>
      <c r="W365" t="str">
        <f t="shared" si="95"/>
        <v/>
      </c>
      <c r="X365" s="9" t="str">
        <f>IF(I365="Tengo un emprendimiento o quiero iniciar uno",CHOOSE(MOD(COUNTIF($I$2:I365,I365)-1,5)+1,"Falta de financiación","Falta de conocimientos administrativos","Falta de conocimientos financieros","Falta de tiempo","Falta de herramientas"),"")</f>
        <v/>
      </c>
      <c r="Y365" s="9" t="str">
        <f t="shared" si="96"/>
        <v/>
      </c>
      <c r="Z365" t="str">
        <f>IF(I365="Tengo un emprendimiento o quiero iniciar uno",CHOOSE(INT(MOD((COUNTIF($I$2:I365,I365)-1)*7,39)/13)+1,"Sí","No","No conozco programas de ese tipo"),"")</f>
        <v/>
      </c>
      <c r="AA365" t="str">
        <f t="shared" si="97"/>
        <v>Puedo hacerlo con dificultad</v>
      </c>
      <c r="AB365" t="str">
        <f t="shared" si="97"/>
        <v>Puedo hacerlo con dificultad</v>
      </c>
      <c r="AC365" t="str">
        <f t="shared" si="98"/>
        <v>No puedo hacerlo</v>
      </c>
      <c r="AD365" s="9" t="str">
        <f t="shared" si="99"/>
        <v>Puedo hacerlo con dificultad</v>
      </c>
      <c r="AE365" t="str">
        <f t="shared" si="100"/>
        <v>Puedo hacerlo con dificultad</v>
      </c>
      <c r="AF365" s="9" t="str">
        <f t="shared" si="101"/>
        <v>Educación financiera</v>
      </c>
      <c r="AG365" s="9" t="str">
        <f t="shared" si="102"/>
        <v>Distancia</v>
      </c>
      <c r="AH365" t="str">
        <f t="shared" si="103"/>
        <v>No conozco ninguno</v>
      </c>
      <c r="AI365" s="9" t="str">
        <f t="shared" si="104"/>
        <v>Virtual</v>
      </c>
      <c r="AJ365" s="9" t="str">
        <f t="shared" si="105"/>
        <v>Mañana entre semana</v>
      </c>
      <c r="AK365" s="9" t="str">
        <f t="shared" si="106"/>
        <v>Correo electrónico</v>
      </c>
    </row>
    <row r="366" spans="1:37">
      <c r="A366" t="str">
        <f t="shared" si="107"/>
        <v>SG365</v>
      </c>
      <c r="B366" s="9" t="s">
        <v>419</v>
      </c>
      <c r="C366" s="9" t="s">
        <v>427</v>
      </c>
      <c r="D366" t="str">
        <f t="shared" si="90"/>
        <v>Masculino</v>
      </c>
      <c r="E366" t="str">
        <f t="shared" si="91"/>
        <v>De 26 a 28 años</v>
      </c>
      <c r="F366">
        <f t="shared" si="92"/>
        <v>26</v>
      </c>
      <c r="G366" s="9" t="s">
        <v>430</v>
      </c>
      <c r="H366" s="9" t="str">
        <f t="shared" si="93"/>
        <v>Bachiller</v>
      </c>
      <c r="I366" s="9" t="str">
        <f t="shared" si="94"/>
        <v>Trabajo de manera independiente</v>
      </c>
      <c r="J366" s="13" t="str">
        <f>IF(I366="Trabajo actualmente como empleado",IF(MOD((COUNTIF($I$2:I366,"Trabajo actualmente como empleado")-1)*37,150)&lt;100,"Empleado con contrato","Empleado sin contrato formal"),IF(I366="Trabajo de manera independiente","Trabajo independiente",""))</f>
        <v>Trabajo independiente</v>
      </c>
      <c r="K366" s="9" t="str">
        <f>IF(OR(I366="Trabajo actualmente como empleado",I366="Trabajo de manera independiente"),CHOOSE(MOD(COUNTIF($I$2:I366,I366)-1,4)+1,"Menos de 3 meses","De 3 a 6 meses","De 7 a 12 meses","Más de un año"),"")</f>
        <v>De 3 a 6 meses</v>
      </c>
      <c r="L366" t="str">
        <f>IF(OR(I366="Trabajo actualmente como empleado",I366="Trabajo de manera independiente"),CHOOSE(MOD(COUNTIF($I$2:I366,I366)-1,3)+1,"Sí, completamente","Parcialmente","No"),"")</f>
        <v>Parcialmente</v>
      </c>
      <c r="M366" t="str">
        <f>IF(OR(I366="Trabajo actualmente como empleado",I366="Trabajo de manera independiente"),CHOOSE(MOD(INT((COUNTIF($I$2:I366,I366)-1)/3),4)+1,"1- Muy satisfecho/a","2- Satisfecho/a","3- Insatisfecho/a","4- Muy insatisfecho/a"),"")</f>
        <v>1- Muy satisfecho/a</v>
      </c>
      <c r="N366" t="str">
        <f>IF(OR(I366="Trabajo actualmente como empleado",I366="Trabajo de manera independiente"),_xlfn.LET(_xlpm.opcion,MOD(INT((COUNTIF($I$2:I366,I366)-1)/5),6)+1,CHOOSE(IF(AND(_xlpm.opcion=6,L366="Sí, completamente"),5,_xlpm.opcion),"Salario","Estabilidad laboral","Horario","Acceso a prestaciones","Oportunidades de crecimiento","Trabajar en un área relacionada con mi formación")),"")</f>
        <v>Salario</v>
      </c>
      <c r="O366" s="9" t="str">
        <f>IF(OR(I366="Trabajo actualmente como empleado",I366="Trabajo de manera independiente"),_xlfn.LET(_xlpm.turno,MOD(COUNTIF($I$2:I366,I366)-1,5),_xlpm.nivel,VALUE(LEFT(M366,1)),IF(_xlpm.turno=4,"No estoy seguro/a",IF(_xlpm.turno&lt;IF(_xlpm.nivel&lt;=2,1,3),"Sí","No"))),"")</f>
        <v>No</v>
      </c>
      <c r="P366" s="9" t="str">
        <f>_xlfn.LET(_xlpm.perfil,I366,_xlpm.turno,COUNTIF($I$2:I366,_xlpm.perfil)-1,_xlpm.busca,OR(_xlpm.perfil="Actualmente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66" t="str">
        <f>IF(I366="Tengo un emprendimiento o quiero iniciar uno","",CHOOSE(MOD(INT((COUNTIF($I$2:I366,I366)-1)/7),3)+1,"Sí","No","Tengo una pero necesito actualizarla"))</f>
        <v>Tengo una pero necesito actualizarla</v>
      </c>
      <c r="R366" s="9" t="str">
        <f>IF(I366="Tengo un emprendimiento o quiero iniciar uno","",IF(I366="Busco mi primer empleo","No",IF(MOD(COUNTIF($I$2:I366,I366)-1,2)=0,"Sí","No")))</f>
        <v>No</v>
      </c>
      <c r="S366" t="str">
        <f>IF(I366="Tengo un emprendimiento o quiero iniciar uno","",CHOOSE(MOD(INT((COUNTIF($I$2:I366,I366)-1)/3),10)+1,"Portales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66" t="str">
        <f>IF(I366="Tengo un emprendimiento o quiero iniciar uno","",_xlfn.LET(_xlpm.opcion,MOD(INT((COUNTIF($I$2:I366,I366)-1)/4),6)+1,CHOOSE(IF(AND(_xlpm.opcion=3,Q366="Sí"),1,_xlpm.opcion),"Falta de experiencia","Falta de formación","Dificultades con la hoja de vida","Horarios disponibles","Transporte","Internet")))</f>
        <v>Horarios disponibles</v>
      </c>
      <c r="U366" s="9" t="str">
        <f>IF(I366="Tengo un emprendimiento o quiero iniciar uno","",IF(MOD(INT((COUNTIF($I$2:I366,I366)-1)/3),2)=0,"Sí","No"))</f>
        <v>Sí</v>
      </c>
      <c r="V366" s="9" t="str">
        <f>IF(I366="Tengo un emprendimiento o quiero iniciar uno",CHOOSE(MOD(COUNTIF($I$2:I366,I366)-1,3)+1,"Tengo un emprendimiento","Estoy iniciando un emprendimiento","Me interesa emprender"),"")</f>
        <v/>
      </c>
      <c r="W366" t="str">
        <f t="shared" si="95"/>
        <v/>
      </c>
      <c r="X366" s="9" t="str">
        <f>IF(I366="Tengo un emprendimiento o quiero iniciar uno",CHOOSE(MOD(COUNTIF($I$2:I366,I366)-1,5)+1,"Falta de financiación","Falta de conocimientos administrativos","Falta de conocimientos financieros","Falta de tiempo","Falta de herramientas"),"")</f>
        <v/>
      </c>
      <c r="Y366" s="9" t="str">
        <f t="shared" si="96"/>
        <v/>
      </c>
      <c r="Z366" t="str">
        <f>IF(I366="Tengo un emprendimiento o quiero iniciar uno",CHOOSE(INT(MOD((COUNTIF($I$2:I366,I366)-1)*7,39)/13)+1,"Sí","No","No conozco programas de ese tipo"),"")</f>
        <v/>
      </c>
      <c r="AA366" t="str">
        <f t="shared" si="97"/>
        <v>No puedo hacerlo</v>
      </c>
      <c r="AB366" t="str">
        <f t="shared" si="97"/>
        <v>No puedo hacerlo</v>
      </c>
      <c r="AC366" t="str">
        <f t="shared" si="98"/>
        <v>Puedo hacerlo con ayuda</v>
      </c>
      <c r="AD366" s="9" t="str">
        <f t="shared" si="99"/>
        <v>Puedo hacerlo sin ayuda</v>
      </c>
      <c r="AE366" t="str">
        <f t="shared" si="100"/>
        <v>Puedo hacerlo sin ayuda</v>
      </c>
      <c r="AF366" s="9" t="str">
        <f t="shared" si="101"/>
        <v>Crear una hoja de vida;Preparación para entrevista</v>
      </c>
      <c r="AG366" s="9" t="str">
        <f t="shared" si="102"/>
        <v>Distancia</v>
      </c>
      <c r="AH366" t="str">
        <f t="shared" si="103"/>
        <v>Ferias de empleo</v>
      </c>
      <c r="AI366" s="9" t="str">
        <f t="shared" si="104"/>
        <v>Presencial y virtual</v>
      </c>
      <c r="AJ366" s="9" t="str">
        <f t="shared" si="105"/>
        <v>Diurno</v>
      </c>
      <c r="AK366" s="9" t="str">
        <f t="shared" si="106"/>
        <v>Celular</v>
      </c>
    </row>
    <row r="367" spans="1:37">
      <c r="A367" t="str">
        <f t="shared" si="107"/>
        <v>SG366</v>
      </c>
      <c r="B367" s="9" t="s">
        <v>419</v>
      </c>
      <c r="C367" s="9" t="s">
        <v>427</v>
      </c>
      <c r="D367" t="str">
        <f t="shared" si="90"/>
        <v>Masculino</v>
      </c>
      <c r="E367" t="str">
        <f t="shared" si="91"/>
        <v>De 18 a 20 años</v>
      </c>
      <c r="F367">
        <f t="shared" si="92"/>
        <v>19</v>
      </c>
      <c r="G367" s="9" t="s">
        <v>430</v>
      </c>
      <c r="H367" s="9" t="str">
        <f t="shared" si="93"/>
        <v>Bachiller</v>
      </c>
      <c r="I367" s="9" t="str">
        <f t="shared" si="94"/>
        <v>Estudio y quiero comenzar a trabajar</v>
      </c>
      <c r="J367" s="13" t="str">
        <f>IF(I367="Trabajo actualmente como empleado",IF(MOD((COUNTIF($I$2:I367,"Trabajo actualmente como empleado")-1)*37,150)&lt;100,"Empleado con contrato","Empleado sin contrato formal"),IF(I367="Trabajo de manera independiente","Trabajo independiente",""))</f>
        <v/>
      </c>
      <c r="K367" s="9" t="str">
        <f>IF(OR(I367="Trabajo actualmente como empleado",I367="Trabajo de manera independiente"),CHOOSE(MOD(COUNTIF($I$2:I367,I367)-1,4)+1,"Menos de 3 meses","De 3 a 6 meses","De 7 a 12 meses","Más de un año"),"")</f>
        <v/>
      </c>
      <c r="L367" t="str">
        <f>IF(OR(I367="Trabajo actualmente como empleado",I367="Trabajo de manera independiente"),CHOOSE(MOD(COUNTIF($I$2:I367,I367)-1,3)+1,"Sí, completamente","Parcialmente","No"),"")</f>
        <v/>
      </c>
      <c r="M367" t="str">
        <f>IF(OR(I367="Trabajo actualmente como empleado",I367="Trabajo de manera independiente"),CHOOSE(MOD(INT((COUNTIF($I$2:I367,I367)-1)/3),4)+1,"1- Muy satisfecho/a","2- Satisfecho/a","3- Insatisfecho/a","4- Muy insatisfecho/a"),"")</f>
        <v/>
      </c>
      <c r="N367" t="str">
        <f>IF(OR(I367="Trabajo actualmente como empleado",I367="Trabajo de manera independiente"),_xlfn.LET(_xlpm.opcion,MOD(INT((COUNTIF($I$2:I367,I367)-1)/5),6)+1,CHOOSE(IF(AND(_xlpm.opcion=6,L367="Sí, completamente"),5,_xlpm.opcion),"Salario","Estabilidad laboral","Horario","Acceso a prestaciones","Oportunidades de crecimiento","Trabajar en un área relacionada con mi formación")),"")</f>
        <v/>
      </c>
      <c r="O367" s="9" t="str">
        <f>IF(OR(I367="Trabajo actualmente como empleado",I367="Trabajo de manera independiente"),_xlfn.LET(_xlpm.turno,MOD(COUNTIF($I$2:I367,I367)-1,5),_xlpm.nivel,VALUE(LEFT(M367,1)),IF(_xlpm.turno=4,"No estoy seguro/a",IF(_xlpm.turno&lt;IF(_xlpm.nivel&lt;=2,1,3),"Sí","No"))),"")</f>
        <v/>
      </c>
      <c r="P367" s="9" t="str">
        <f>_xlfn.LET(_xlpm.perfil,I367,_xlpm.turno,COUNTIF($I$2:I367,_xlpm.perfil)-1,_xlpm.busca,OR(_xlpm.perfil="Actualmente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67" t="str">
        <f>IF(I367="Tengo un emprendimiento o quiero iniciar uno","",CHOOSE(MOD(INT((COUNTIF($I$2:I367,I367)-1)/7),3)+1,"Sí","No","Tengo una pero necesito actualizarla"))</f>
        <v>Sí</v>
      </c>
      <c r="R367" s="9" t="str">
        <f>IF(I367="Tengo un emprendimiento o quiero iniciar uno","",IF(I367="Busco mi primer empleo","No",IF(MOD(COUNTIF($I$2:I367,I367)-1,2)=0,"Sí","No")))</f>
        <v>No</v>
      </c>
      <c r="S367" t="str">
        <f>IF(I367="Tengo un emprendimiento o quiero iniciar uno","",CHOOSE(MOD(INT((COUNTIF($I$2:I367,I367)-1)/3),10)+1,"Portales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67" t="str">
        <f>IF(I367="Tengo un emprendimiento o quiero iniciar uno","",_xlfn.LET(_xlpm.opcion,MOD(INT((COUNTIF($I$2:I367,I367)-1)/4),6)+1,CHOOSE(IF(AND(_xlpm.opcion=3,Q367="Sí"),1,_xlpm.opcion),"Falta de experiencia","Falta de formación","Dificultades con la hoja de vida","Horarios disponibles","Transporte","Internet")))</f>
        <v>Transporte</v>
      </c>
      <c r="U367" s="9" t="str">
        <f>IF(I367="Tengo un emprendimiento o quiero iniciar uno","",IF(MOD(INT((COUNTIF($I$2:I367,I367)-1)/3),2)=0,"Sí","No"))</f>
        <v>Sí</v>
      </c>
      <c r="V367" s="9" t="str">
        <f>IF(I367="Tengo un emprendimiento o quiero iniciar uno",CHOOSE(MOD(COUNTIF($I$2:I367,I367)-1,3)+1,"Tengo un emprendimiento","Estoy iniciando un emprendimiento","Me interesa emprender"),"")</f>
        <v/>
      </c>
      <c r="W367" t="str">
        <f t="shared" si="95"/>
        <v/>
      </c>
      <c r="X367" s="9" t="str">
        <f>IF(I367="Tengo un emprendimiento o quiero iniciar uno",CHOOSE(MOD(COUNTIF($I$2:I367,I367)-1,5)+1,"Falta de financiación","Falta de conocimientos administrativos","Falta de conocimientos financieros","Falta de tiempo","Falta de herramientas"),"")</f>
        <v/>
      </c>
      <c r="Y367" s="9" t="str">
        <f t="shared" si="96"/>
        <v/>
      </c>
      <c r="Z367" t="str">
        <f>IF(I367="Tengo un emprendimiento o quiero iniciar uno",CHOOSE(INT(MOD((COUNTIF($I$2:I367,I367)-1)*7,39)/13)+1,"Sí","No","No conozco programas de ese tipo"),"")</f>
        <v/>
      </c>
      <c r="AA367" t="str">
        <f t="shared" si="97"/>
        <v>Puedo hacerlo con dificultad</v>
      </c>
      <c r="AB367" t="str">
        <f t="shared" si="97"/>
        <v>Puedo hacerlo con dificultad</v>
      </c>
      <c r="AC367" t="str">
        <f t="shared" si="98"/>
        <v>Puedo hacerlo sin ayuda</v>
      </c>
      <c r="AD367" s="9" t="str">
        <f t="shared" si="99"/>
        <v>No puedo hacerlo</v>
      </c>
      <c r="AE367" t="str">
        <f t="shared" si="100"/>
        <v>No puedo hacerlo</v>
      </c>
      <c r="AF367" s="9" t="str">
        <f t="shared" si="101"/>
        <v>Comunicación;Liderazgo</v>
      </c>
      <c r="AG367" s="9" t="str">
        <f t="shared" si="102"/>
        <v>Distancia</v>
      </c>
      <c r="AH367" t="str">
        <f t="shared" si="103"/>
        <v>No conozco ninguno</v>
      </c>
      <c r="AI367" s="9" t="str">
        <f t="shared" si="104"/>
        <v>Me es indiferente</v>
      </c>
      <c r="AJ367" s="9" t="str">
        <f t="shared" si="105"/>
        <v>Nocturno</v>
      </c>
      <c r="AK367" s="9" t="str">
        <f t="shared" si="106"/>
        <v>WhatsApp</v>
      </c>
    </row>
    <row r="368" spans="1:37">
      <c r="A368" t="str">
        <f t="shared" si="107"/>
        <v>SG367</v>
      </c>
      <c r="B368" s="9" t="s">
        <v>419</v>
      </c>
      <c r="C368" s="9" t="s">
        <v>427</v>
      </c>
      <c r="D368" t="str">
        <f t="shared" si="90"/>
        <v>Femenino</v>
      </c>
      <c r="E368" t="str">
        <f t="shared" si="91"/>
        <v>De 20 a 22 años</v>
      </c>
      <c r="F368">
        <f t="shared" si="92"/>
        <v>21</v>
      </c>
      <c r="G368" s="9" t="s">
        <v>430</v>
      </c>
      <c r="H368" s="9" t="str">
        <f t="shared" si="93"/>
        <v>Bachiller</v>
      </c>
      <c r="I368" s="9" t="str">
        <f t="shared" si="94"/>
        <v>Trabajo actualmente como empleado</v>
      </c>
      <c r="J368" s="13" t="str">
        <f>IF(I368="Trabajo actualmente como empleado",IF(MOD((COUNTIF($I$2:I368,"Trabajo actualmente como empleado")-1)*37,150)&lt;100,"Empleado con contrato","Empleado sin contrato formal"),IF(I368="Trabajo de manera independiente","Trabajo independiente",""))</f>
        <v>Empleado con contrato</v>
      </c>
      <c r="K368" s="9" t="str">
        <f>IF(OR(I368="Trabajo actualmente como empleado",I368="Trabajo de manera independiente"),CHOOSE(MOD(COUNTIF($I$2:I368,I368)-1,4)+1,"Menos de 3 meses","De 3 a 6 meses","De 7 a 12 meses","Más de un año"),"")</f>
        <v>Más de un año</v>
      </c>
      <c r="L368" t="str">
        <f>IF(OR(I368="Trabajo actualmente como empleado",I368="Trabajo de manera independiente"),CHOOSE(MOD(COUNTIF($I$2:I368,I368)-1,3)+1,"Sí, completamente","Parcialmente","No"),"")</f>
        <v>Parcialmente</v>
      </c>
      <c r="M368" t="str">
        <f>IF(OR(I368="Trabajo actualmente como empleado",I368="Trabajo de manera independiente"),CHOOSE(MOD(INT((COUNTIF($I$2:I368,I368)-1)/3),4)+1,"1- Muy satisfecho/a","2- Satisfecho/a","3- Insatisfecho/a","4- Muy insatisfecho/a"),"")</f>
        <v>3- Insatisfecho/a</v>
      </c>
      <c r="N368" t="str">
        <f>IF(OR(I368="Trabajo actualmente como empleado",I368="Trabajo de manera independiente"),_xlfn.LET(_xlpm.opcion,MOD(INT((COUNTIF($I$2:I368,I368)-1)/5),6)+1,CHOOSE(IF(AND(_xlpm.opcion=6,L368="Sí,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68" s="9" t="str">
        <f>IF(OR(I368="Trabajo actualmente como empleado",I368="Trabajo de manera independiente"),_xlfn.LET(_xlpm.turno,MOD(COUNTIF($I$2:I368,I368)-1,5),_xlpm.nivel,VALUE(LEFT(M368,1)),IF(_xlpm.turno=4,"No estoy seguro/a",IF(_xlpm.turno&lt;IF(_xlpm.nivel&lt;=2,1,3),"Sí","No"))),"")</f>
        <v>Sí</v>
      </c>
      <c r="P368" s="9" t="str">
        <f>_xlfn.LET(_xlpm.perfil,I368,_xlpm.turno,COUNTIF($I$2:I368,_xlpm.perfil)-1,_xlpm.busca,OR(_xlpm.perfil="Actualmente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trabajar"),IF(AND(_xlpm.trabaja,O368="No"),"Todavía no he iniciado una búsqueda activa",CHOOSE(MOD(_xlpm.turno*3,5)+1,"Menos de 1 mes","Entre 1 y 3 meses","Entre 4 y 6 meses","Más de 6 meses","Todavía no he iniciado una búsqueda activa")),"")))</f>
        <v>Menos de 1 mes</v>
      </c>
      <c r="Q368" t="str">
        <f>IF(I368="Tengo un emprendimiento o quiero iniciar uno","",CHOOSE(MOD(INT((COUNTIF($I$2:I368,I368)-1)/7),3)+1,"Sí","No","Tengo una pero necesito actualizarla"))</f>
        <v>No</v>
      </c>
      <c r="R368" s="9" t="str">
        <f>IF(I368="Tengo un emprendimiento o quiero iniciar uno","",IF(I368="Busco mi primer empleo","No",IF(MOD(COUNTIF($I$2:I368,I368)-1,2)=0,"Sí","No")))</f>
        <v>No</v>
      </c>
      <c r="S368" t="str">
        <f>IF(I368="Tengo un emprendimiento o quiero iniciar uno","",CHOOSE(MOD(INT((COUNTIF($I$2:I368,I368)-1)/3),10)+1,"Portales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68" t="str">
        <f>IF(I368="Tengo un emprendimiento o quiero iniciar uno","",_xlfn.LET(_xlpm.opcion,MOD(INT((COUNTIF($I$2:I368,I368)-1)/4),6)+1,CHOOSE(IF(AND(_xlpm.opcion=3,Q368="Sí"),1,_xlpm.opcion),"Falta de experiencia","Falta de formación","Dificultades con la hoja de vida","Horarios disponibles","Transporte","Internet")))</f>
        <v>Transporte</v>
      </c>
      <c r="U368" s="9" t="str">
        <f>IF(I368="Tengo un emprendimiento o quiero iniciar uno","",IF(MOD(INT((COUNTIF($I$2:I368,I368)-1)/3),2)=0,"Sí","No"))</f>
        <v>Sí</v>
      </c>
      <c r="V368" s="9" t="str">
        <f>IF(I368="Tengo un emprendimiento o quiero iniciar uno",CHOOSE(MOD(COUNTIF($I$2:I368,I368)-1,3)+1,"Tengo un emprendimiento","Estoy iniciando un emprendimiento","Me interesa emprender"),"")</f>
        <v/>
      </c>
      <c r="W368" t="str">
        <f t="shared" si="95"/>
        <v/>
      </c>
      <c r="X368" s="9" t="str">
        <f>IF(I368="Tengo un emprendimiento o quiero iniciar uno",CHOOSE(MOD(COUNTIF($I$2:I368,I368)-1,5)+1,"Falta de financiación","Falta de conocimientos administrativos","Falta de conocimientos financieros","Falta de tiempo","Falta de herramientas"),"")</f>
        <v/>
      </c>
      <c r="Y368" s="9" t="str">
        <f t="shared" si="96"/>
        <v/>
      </c>
      <c r="Z368" t="str">
        <f>IF(I368="Tengo un emprendimiento o quiero iniciar uno",CHOOSE(INT(MOD((COUNTIF($I$2:I368,I368)-1)*7,39)/13)+1,"Sí","No","No conozco programas de ese tipo"),"")</f>
        <v/>
      </c>
      <c r="AA368" t="str">
        <f t="shared" si="97"/>
        <v>Puedo hacerlo sin ayuda</v>
      </c>
      <c r="AB368" t="str">
        <f t="shared" si="97"/>
        <v>Puedo hacerlo sin ayuda</v>
      </c>
      <c r="AC368" t="str">
        <f t="shared" si="98"/>
        <v>No puedo hacerlo</v>
      </c>
      <c r="AD368" s="9" t="str">
        <f t="shared" si="99"/>
        <v>Puedo hacerlo con ayuda</v>
      </c>
      <c r="AE368" t="str">
        <f t="shared" si="100"/>
        <v>No puedo hacerlo</v>
      </c>
      <c r="AF368" s="9" t="str">
        <f t="shared" si="101"/>
        <v>Herramientas digitales;Educación financiera</v>
      </c>
      <c r="AG368" s="9" t="str">
        <f t="shared" si="102"/>
        <v>Falta de experiencia;Falta de información</v>
      </c>
      <c r="AH368" t="str">
        <f t="shared" si="103"/>
        <v>Oficina de orientación laboral</v>
      </c>
      <c r="AI368" s="9" t="str">
        <f t="shared" si="104"/>
        <v>Presencial</v>
      </c>
      <c r="AJ368" s="9" t="str">
        <f t="shared" si="105"/>
        <v>Mañana entre semana</v>
      </c>
      <c r="AK368" s="9" t="str">
        <f t="shared" si="106"/>
        <v>Redes sociales</v>
      </c>
    </row>
    <row r="369" spans="1:37">
      <c r="A369" t="str">
        <f t="shared" si="107"/>
        <v>SG368</v>
      </c>
      <c r="B369" s="9" t="s">
        <v>419</v>
      </c>
      <c r="C369" s="9" t="s">
        <v>427</v>
      </c>
      <c r="D369" t="str">
        <f t="shared" si="90"/>
        <v>Otro</v>
      </c>
      <c r="E369" t="str">
        <f t="shared" si="91"/>
        <v>De 22 a 24 años</v>
      </c>
      <c r="F369">
        <f t="shared" si="92"/>
        <v>23</v>
      </c>
      <c r="G369" s="9" t="s">
        <v>430</v>
      </c>
      <c r="H369" s="9" t="str">
        <f t="shared" si="93"/>
        <v>Bachiller</v>
      </c>
      <c r="I369" s="9" t="str">
        <f t="shared" si="94"/>
        <v>Actualmente no trabajo y estoy buscando empleo</v>
      </c>
      <c r="J369" s="13" t="str">
        <f>IF(I369="Trabajo actualmente como empleado",IF(MOD((COUNTIF($I$2:I369,"Trabajo actualmente como empleado")-1)*37,150)&lt;100,"Empleado con contrato","Empleado sin contrato formal"),IF(I369="Trabajo de manera independiente","Trabajo independiente",""))</f>
        <v/>
      </c>
      <c r="K369" s="9" t="str">
        <f>IF(OR(I369="Trabajo actualmente como empleado",I369="Trabajo de manera independiente"),CHOOSE(MOD(COUNTIF($I$2:I369,I369)-1,4)+1,"Menos de 3 meses","De 3 a 6 meses","De 7 a 12 meses","Más de un año"),"")</f>
        <v/>
      </c>
      <c r="L369" t="str">
        <f>IF(OR(I369="Trabajo actualmente como empleado",I369="Trabajo de manera independiente"),CHOOSE(MOD(COUNTIF($I$2:I369,I369)-1,3)+1,"Sí, completamente","Parcialmente","No"),"")</f>
        <v/>
      </c>
      <c r="M369" t="str">
        <f>IF(OR(I369="Trabajo actualmente como empleado",I369="Trabajo de manera independiente"),CHOOSE(MOD(INT((COUNTIF($I$2:I369,I369)-1)/3),4)+1,"1- Muy satisfecho/a","2- Satisfecho/a","3- Insatisfecho/a","4- Muy insatisfecho/a"),"")</f>
        <v/>
      </c>
      <c r="N369" t="str">
        <f>IF(OR(I369="Trabajo actualmente como empleado",I369="Trabajo de manera independiente"),_xlfn.LET(_xlpm.opcion,MOD(INT((COUNTIF($I$2:I369,I369)-1)/5),6)+1,CHOOSE(IF(AND(_xlpm.opcion=6,L369="Sí, completamente"),5,_xlpm.opcion),"Salario","Estabilidad laboral","Horario","Acceso a prestaciones","Oportunidades de crecimiento","Trabajar en un área relacionada con mi formación")),"")</f>
        <v/>
      </c>
      <c r="O369" s="9" t="str">
        <f>IF(OR(I369="Trabajo actualmente como empleado",I369="Trabajo de manera independiente"),_xlfn.LET(_xlpm.turno,MOD(COUNTIF($I$2:I369,I369)-1,5),_xlpm.nivel,VALUE(LEFT(M369,1)),IF(_xlpm.turno=4,"No estoy seguro/a",IF(_xlpm.turno&lt;IF(_xlpm.nivel&lt;=2,1,3),"Sí","No"))),"")</f>
        <v/>
      </c>
      <c r="P369" s="9" t="str">
        <f>_xlfn.LET(_xlpm.perfil,I369,_xlpm.turno,COUNTIF($I$2:I369,_xlpm.perfil)-1,_xlpm.busca,OR(_xlpm.perfil="Actualmente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trabajar"),IF(AND(_xlpm.trabaja,O369="No"),"Todavía no he iniciado una búsqueda activa",CHOOSE(MOD(_xlpm.turno*3,5)+1,"Menos de 1 mes","Entre 1 y 3 meses","Entre 4 y 6 meses","Más de 6 meses","Todavía no he iniciado una búsqueda activa")),"")))</f>
        <v>Entre 1 y 3 meses</v>
      </c>
      <c r="Q369" t="str">
        <f>IF(I369="Tengo un emprendimiento o quiero iniciar uno","",CHOOSE(MOD(INT((COUNTIF($I$2:I369,I369)-1)/7),3)+1,"Sí","No","Tengo una pero necesito actualizarla"))</f>
        <v>Sí</v>
      </c>
      <c r="R369" s="9" t="str">
        <f>IF(I369="Tengo un emprendimiento o quiero iniciar uno","",IF(I369="Busco mi primer empleo","No",IF(MOD(COUNTIF($I$2:I369,I369)-1,2)=0,"Sí","No")))</f>
        <v>No</v>
      </c>
      <c r="S369" t="str">
        <f>IF(I369="Tengo un emprendimiento o quiero iniciar uno","",CHOOSE(MOD(INT((COUNTIF($I$2:I369,I369)-1)/3),10)+1,"Portales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69" t="str">
        <f>IF(I369="Tengo un emprendimiento o quiero iniciar uno","",_xlfn.LET(_xlpm.opcion,MOD(INT((COUNTIF($I$2:I369,I369)-1)/4),6)+1,CHOOSE(IF(AND(_xlpm.opcion=3,Q369="Sí"),1,_xlpm.opcion),"Falta de experiencia","Falta de formación","Dificultades con la hoja de vida","Horarios disponibles","Transporte","Internet")))</f>
        <v>Transporte</v>
      </c>
      <c r="U369" s="9" t="str">
        <f>IF(I369="Tengo un emprendimiento o quiero iniciar uno","",IF(MOD(INT((COUNTIF($I$2:I369,I369)-1)/3),2)=0,"Sí","No"))</f>
        <v>Sí</v>
      </c>
      <c r="V369" s="9" t="str">
        <f>IF(I369="Tengo un emprendimiento o quiero iniciar uno",CHOOSE(MOD(COUNTIF($I$2:I369,I369)-1,3)+1,"Tengo un emprendimiento","Estoy iniciando un emprendimiento","Me interesa emprender"),"")</f>
        <v/>
      </c>
      <c r="W369" t="str">
        <f t="shared" si="95"/>
        <v/>
      </c>
      <c r="X369" s="9" t="str">
        <f>IF(I369="Tengo un emprendimiento o quiero iniciar uno",CHOOSE(MOD(COUNTIF($I$2:I369,I369)-1,5)+1,"Falta de financiación","Falta de conocimientos administrativos","Falta de conocimientos financieros","Falta de tiempo","Falta de herramientas"),"")</f>
        <v/>
      </c>
      <c r="Y369" s="9" t="str">
        <f t="shared" si="96"/>
        <v/>
      </c>
      <c r="Z369" t="str">
        <f>IF(I369="Tengo un emprendimiento o quiero iniciar uno",CHOOSE(INT(MOD((COUNTIF($I$2:I369,I369)-1)*7,39)/13)+1,"Sí","No","No conozco programas de ese tipo"),"")</f>
        <v/>
      </c>
      <c r="AA369" t="str">
        <f t="shared" si="97"/>
        <v>Puedo hacerlo con ayuda</v>
      </c>
      <c r="AB369" t="str">
        <f t="shared" si="97"/>
        <v>Puedo hacerlo con ayuda</v>
      </c>
      <c r="AC369" t="str">
        <f t="shared" si="98"/>
        <v>Puedo hacerlo con ayuda</v>
      </c>
      <c r="AD369" s="9" t="str">
        <f t="shared" si="99"/>
        <v>Puedo hacerlo con ayuda</v>
      </c>
      <c r="AE369" t="str">
        <f t="shared" si="100"/>
        <v>Puedo hacerlo con ayuda</v>
      </c>
      <c r="AF369" s="9" t="str">
        <f t="shared" si="101"/>
        <v>Crear una hoja de vida</v>
      </c>
      <c r="AG369" s="9" t="str">
        <f t="shared" si="102"/>
        <v>Falta de experiencia;Falta de información</v>
      </c>
      <c r="AH369" t="str">
        <f t="shared" si="103"/>
        <v>Programas de emprendimiento</v>
      </c>
      <c r="AI369" s="9" t="str">
        <f t="shared" si="104"/>
        <v>Virtual</v>
      </c>
      <c r="AJ369" s="9" t="str">
        <f t="shared" si="105"/>
        <v>Diurno</v>
      </c>
      <c r="AK369" s="9" t="str">
        <f t="shared" si="106"/>
        <v>Celular</v>
      </c>
    </row>
    <row r="370" spans="1:37">
      <c r="A370" t="str">
        <f t="shared" si="107"/>
        <v>SG369</v>
      </c>
      <c r="B370" s="9" t="s">
        <v>419</v>
      </c>
      <c r="C370" s="9" t="s">
        <v>427</v>
      </c>
      <c r="D370" t="str">
        <f t="shared" si="90"/>
        <v>Masculino</v>
      </c>
      <c r="E370" t="str">
        <f t="shared" si="91"/>
        <v>De 24 a 26 años</v>
      </c>
      <c r="F370">
        <f t="shared" si="92"/>
        <v>25</v>
      </c>
      <c r="G370" s="9" t="s">
        <v>430</v>
      </c>
      <c r="H370" s="9" t="str">
        <f t="shared" si="93"/>
        <v>Técnico</v>
      </c>
      <c r="I370" s="9" t="str">
        <f t="shared" si="94"/>
        <v>Estudio y quiero comenzar a trabajar</v>
      </c>
      <c r="J370" s="13" t="str">
        <f>IF(I370="Trabajo actualmente como empleado",IF(MOD((COUNTIF($I$2:I370,"Trabajo actualmente como empleado")-1)*37,150)&lt;100,"Empleado con contrato","Empleado sin contrato formal"),IF(I370="Trabajo de manera independiente","Trabajo independiente",""))</f>
        <v/>
      </c>
      <c r="K370" s="9" t="str">
        <f>IF(OR(I370="Trabajo actualmente como empleado",I370="Trabajo de manera independiente"),CHOOSE(MOD(COUNTIF($I$2:I370,I370)-1,4)+1,"Menos de 3 meses","De 3 a 6 meses","De 7 a 12 meses","Más de un año"),"")</f>
        <v/>
      </c>
      <c r="L370" t="str">
        <f>IF(OR(I370="Trabajo actualmente como empleado",I370="Trabajo de manera independiente"),CHOOSE(MOD(COUNTIF($I$2:I370,I370)-1,3)+1,"Sí, completamente","Parcialmente","No"),"")</f>
        <v/>
      </c>
      <c r="M370" t="str">
        <f>IF(OR(I370="Trabajo actualmente como empleado",I370="Trabajo de manera independiente"),CHOOSE(MOD(INT((COUNTIF($I$2:I370,I370)-1)/3),4)+1,"1- Muy satisfecho/a","2- Satisfecho/a","3- Insatisfecho/a","4- Muy insatisfecho/a"),"")</f>
        <v/>
      </c>
      <c r="N370" t="str">
        <f>IF(OR(I370="Trabajo actualmente como empleado",I370="Trabajo de manera independiente"),_xlfn.LET(_xlpm.opcion,MOD(INT((COUNTIF($I$2:I370,I370)-1)/5),6)+1,CHOOSE(IF(AND(_xlpm.opcion=6,L370="Sí, completamente"),5,_xlpm.opcion),"Salario","Estabilidad laboral","Horario","Acceso a prestaciones","Oportunidades de crecimiento","Trabajar en un área relacionada con mi formación")),"")</f>
        <v/>
      </c>
      <c r="O370" s="9" t="str">
        <f>IF(OR(I370="Trabajo actualmente como empleado",I370="Trabajo de manera independiente"),_xlfn.LET(_xlpm.turno,MOD(COUNTIF($I$2:I370,I370)-1,5),_xlpm.nivel,VALUE(LEFT(M370,1)),IF(_xlpm.turno=4,"No estoy seguro/a",IF(_xlpm.turno&lt;IF(_xlpm.nivel&lt;=2,1,3),"Sí","No"))),"")</f>
        <v/>
      </c>
      <c r="P370" s="9" t="str">
        <f>_xlfn.LET(_xlpm.perfil,I370,_xlpm.turno,COUNTIF($I$2:I370,_xlpm.perfil)-1,_xlpm.busca,OR(_xlpm.perfil="Actualmente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trabajar"),IF(AND(_xlpm.trabaja,O370="No"),"Todavía no he iniciado una búsqueda activa",CHOOSE(MOD(_xlpm.turno*3,5)+1,"Menos de 1 mes","Entre 1 y 3 meses","Entre 4 y 6 meses","Más de 6 meses","Todavía no he iniciado una búsqueda activa")),"")))</f>
        <v>Entre 4 y 6 meses</v>
      </c>
      <c r="Q370" t="str">
        <f>IF(I370="Tengo un emprendimiento o quiero iniciar uno","",CHOOSE(MOD(INT((COUNTIF($I$2:I370,I370)-1)/7),3)+1,"Sí","No","Tengo una pero necesito actualizarla"))</f>
        <v>Sí</v>
      </c>
      <c r="R370" s="9" t="str">
        <f>IF(I370="Tengo un emprendimiento o quiero iniciar uno","",IF(I370="Busco mi primer empleo","No",IF(MOD(COUNTIF($I$2:I370,I370)-1,2)=0,"Sí","No")))</f>
        <v>Sí</v>
      </c>
      <c r="S370" t="str">
        <f>IF(I370="Tengo un emprendimiento o quiero iniciar uno","",CHOOSE(MOD(INT((COUNTIF($I$2:I370,I370)-1)/3),10)+1,"Portales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70" t="str">
        <f>IF(I370="Tengo un emprendimiento o quiero iniciar uno","",_xlfn.LET(_xlpm.opcion,MOD(INT((COUNTIF($I$2:I370,I370)-1)/4),6)+1,CHOOSE(IF(AND(_xlpm.opcion=3,Q370="Sí"),1,_xlpm.opcion),"Falta de experiencia","Falta de formación","Dificultades con la hoja de vida","Horarios disponibles","Transporte","Internet")))</f>
        <v>Internet</v>
      </c>
      <c r="U370" s="9" t="str">
        <f>IF(I370="Tengo un emprendimiento o quiero iniciar uno","",IF(MOD(INT((COUNTIF($I$2:I370,I370)-1)/3),2)=0,"Sí","No"))</f>
        <v>Sí</v>
      </c>
      <c r="V370" s="9" t="str">
        <f>IF(I370="Tengo un emprendimiento o quiero iniciar uno",CHOOSE(MOD(COUNTIF($I$2:I370,I370)-1,3)+1,"Tengo un emprendimiento","Estoy iniciando un emprendimiento","Me interesa emprender"),"")</f>
        <v/>
      </c>
      <c r="W370" t="str">
        <f t="shared" si="95"/>
        <v/>
      </c>
      <c r="X370" s="9" t="str">
        <f>IF(I370="Tengo un emprendimiento o quiero iniciar uno",CHOOSE(MOD(COUNTIF($I$2:I370,I370)-1,5)+1,"Falta de financiación","Falta de conocimientos administrativos","Falta de conocimientos financieros","Falta de tiempo","Falta de herramientas"),"")</f>
        <v/>
      </c>
      <c r="Y370" s="9" t="str">
        <f t="shared" si="96"/>
        <v/>
      </c>
      <c r="Z370" t="str">
        <f>IF(I370="Tengo un emprendimiento o quiero iniciar uno",CHOOSE(INT(MOD((COUNTIF($I$2:I370,I370)-1)*7,39)/13)+1,"Sí","No","No conozco programas de ese tipo"),"")</f>
        <v/>
      </c>
      <c r="AA370" t="str">
        <f t="shared" si="97"/>
        <v>Puedo hacerlo con dificultad</v>
      </c>
      <c r="AB370" t="str">
        <f t="shared" si="97"/>
        <v>Puedo hacerlo con dificultad</v>
      </c>
      <c r="AC370" t="str">
        <f t="shared" si="98"/>
        <v>Puedo hacerlo sin ayuda</v>
      </c>
      <c r="AD370" s="9" t="str">
        <f t="shared" si="99"/>
        <v>Puedo hacerlo con dificultad</v>
      </c>
      <c r="AE370" t="str">
        <f t="shared" si="100"/>
        <v>Puedo hacerlo con ayuda</v>
      </c>
      <c r="AF370" s="9" t="str">
        <f t="shared" si="101"/>
        <v>Preparación para entrevista</v>
      </c>
      <c r="AG370" s="9" t="str">
        <f t="shared" si="102"/>
        <v>Falta de experiencia;Falta de información</v>
      </c>
      <c r="AH370" t="str">
        <f t="shared" si="103"/>
        <v>Oficina de orientación laboral</v>
      </c>
      <c r="AI370" s="9" t="str">
        <f t="shared" si="104"/>
        <v>Presencial y virtual</v>
      </c>
      <c r="AJ370" s="9" t="str">
        <f t="shared" si="105"/>
        <v>Nocturno</v>
      </c>
      <c r="AK370" s="9" t="str">
        <f t="shared" si="106"/>
        <v>Correo electrónico</v>
      </c>
    </row>
    <row r="371" spans="1:37">
      <c r="A371" t="str">
        <f t="shared" si="107"/>
        <v>SG370</v>
      </c>
      <c r="B371" t="s">
        <v>57</v>
      </c>
      <c r="C371" s="9" t="s">
        <v>427</v>
      </c>
      <c r="D371" t="str">
        <f t="shared" si="90"/>
        <v>Femenino</v>
      </c>
      <c r="E371" t="str">
        <f t="shared" si="91"/>
        <v>De 26 a 28 años</v>
      </c>
      <c r="F371">
        <f t="shared" si="92"/>
        <v>27</v>
      </c>
      <c r="G371" t="str">
        <f>IF(MOD(ROW()-371,2)=0,"Centro poblado","Rural")</f>
        <v>Centro poblado</v>
      </c>
      <c r="H371" s="9" t="str">
        <f t="shared" si="93"/>
        <v>Tecnólogo</v>
      </c>
      <c r="I371" s="9" t="str">
        <f t="shared" si="94"/>
        <v>Trabajo actualmente como empleado</v>
      </c>
      <c r="J371" s="13" t="str">
        <f>IF(I371="Trabajo actualmente como empleado",IF(MOD((COUNTIF($I$2:I371,"Trabajo actualmente como empleado")-1)*37,150)&lt;100,"Empleado con contrato","Empleado sin contrato formal"),IF(I371="Trabajo de manera independiente","Trabajo independiente",""))</f>
        <v>Empleado con contrato</v>
      </c>
      <c r="K371" s="9" t="str">
        <f>IF(OR(I371="Trabajo actualmente como empleado",I371="Trabajo de manera independiente"),CHOOSE(MOD(COUNTIF($I$2:I371,I371)-1,4)+1,"Menos de 3 meses","De 3 a 6 meses","De 7 a 12 meses","Más de un año"),"")</f>
        <v>Menos de 3 meses</v>
      </c>
      <c r="L371" t="str">
        <f>IF(OR(I371="Trabajo actualmente como empleado",I371="Trabajo de manera independiente"),CHOOSE(MOD(COUNTIF($I$2:I371,I371)-1,3)+1,"Sí, completamente","Parcialmente","No"),"")</f>
        <v>No</v>
      </c>
      <c r="M371" t="str">
        <f>IF(OR(I371="Trabajo actualmente como empleado",I371="Trabajo de manera independiente"),CHOOSE(MOD(INT((COUNTIF($I$2:I371,I371)-1)/3),4)+1,"1- Muy satisfecho/a","2- Satisfecho/a","3- Insatisfecho/a","4- Muy insatisfecho/a"),"")</f>
        <v>3- Insatisfecho/a</v>
      </c>
      <c r="N371" t="str">
        <f>IF(OR(I371="Trabajo actualmente como empleado",I371="Trabajo de manera independiente"),_xlfn.LET(_xlpm.opcion,MOD(INT((COUNTIF($I$2:I371,I371)-1)/5),6)+1,CHOOSE(IF(AND(_xlpm.opcion=6,L371="Sí,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71" s="9" t="str">
        <f>IF(OR(I371="Trabajo actualmente como empleado",I371="Trabajo de manera independiente"),_xlfn.LET(_xlpm.turno,MOD(COUNTIF($I$2:I371,I371)-1,5),_xlpm.nivel,VALUE(LEFT(M371,1)),IF(_xlpm.turno=4,"No estoy seguro/a",IF(_xlpm.turno&lt;IF(_xlpm.nivel&lt;=2,1,3),"Sí","No"))),"")</f>
        <v>Sí</v>
      </c>
      <c r="P371" s="9" t="str">
        <f>_xlfn.LET(_xlpm.perfil,I371,_xlpm.turno,COUNTIF($I$2:I371,_xlpm.perfil)-1,_xlpm.busca,OR(_xlpm.perfil="Actualmente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trabajar"),IF(AND(_xlpm.trabaja,O371="No"),"Todavía no he iniciado una búsqueda activa",CHOOSE(MOD(_xlpm.turno*3,5)+1,"Menos de 1 mes","Entre 1 y 3 meses","Entre 4 y 6 meses","Más de 6 meses","Todavía no he iniciado una búsqueda activa")),"")))</f>
        <v>Más de 6 meses</v>
      </c>
      <c r="Q371" t="str">
        <f>IF(I371="Tengo un emprendimiento o quiero iniciar uno","",CHOOSE(MOD(INT((COUNTIF($I$2:I371,I371)-1)/7),3)+1,"Sí","No","Tengo una pero necesito actualizarla"))</f>
        <v>No</v>
      </c>
      <c r="R371" s="9" t="str">
        <f>IF(I371="Tengo un emprendimiento o quiero iniciar uno","",IF(I371="Busco mi primer empleo","No",IF(MOD(COUNTIF($I$2:I371,I371)-1,2)=0,"Sí","No")))</f>
        <v>Sí</v>
      </c>
      <c r="S371" t="str">
        <f>IF(I371="Tengo un emprendimiento o quiero iniciar uno","",CHOOSE(MOD(INT((COUNTIF($I$2:I371,I371)-1)/3),10)+1,"Portales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371" t="str">
        <f>IF(I371="Tengo un emprendimiento o quiero iniciar uno","",_xlfn.LET(_xlpm.opcion,MOD(INT((COUNTIF($I$2:I371,I371)-1)/4),6)+1,CHOOSE(IF(AND(_xlpm.opcion=3,Q371="Sí"),1,_xlpm.opcion),"Falta de experiencia","Falta de formación","Dificultades con la hoja de vida","Horarios disponibles","Transporte","Internet")))</f>
        <v>Internet</v>
      </c>
      <c r="U371" s="9" t="str">
        <f>IF(I371="Tengo un emprendimiento o quiero iniciar uno","",IF(MOD(INT((COUNTIF($I$2:I371,I371)-1)/3),2)=0,"Sí","No"))</f>
        <v>Sí</v>
      </c>
      <c r="V371" s="9" t="str">
        <f>IF(I371="Tengo un emprendimiento o quiero iniciar uno",CHOOSE(MOD(COUNTIF($I$2:I371,I371)-1,3)+1,"Tengo un emprendimiento","Estoy iniciando un emprendimiento","Me interesa emprender"),"")</f>
        <v/>
      </c>
      <c r="W371" t="str">
        <f t="shared" si="95"/>
        <v/>
      </c>
      <c r="X371" s="9" t="str">
        <f>IF(I371="Tengo un emprendimiento o quiero iniciar uno",CHOOSE(MOD(COUNTIF($I$2:I371,I371)-1,5)+1,"Falta de financiación","Falta de conocimientos administrativos","Falta de conocimientos financieros","Falta de tiempo","Falta de herramientas"),"")</f>
        <v/>
      </c>
      <c r="Y371" s="9" t="str">
        <f t="shared" si="96"/>
        <v/>
      </c>
      <c r="Z371" t="str">
        <f>IF(I371="Tengo un emprendimiento o quiero iniciar uno",CHOOSE(INT(MOD((COUNTIF($I$2:I371,I371)-1)*7,39)/13)+1,"Sí","No","No conozco programas de ese tipo"),"")</f>
        <v/>
      </c>
      <c r="AA371" t="str">
        <f t="shared" si="97"/>
        <v>No puedo hacerlo</v>
      </c>
      <c r="AB371" t="str">
        <f t="shared" si="97"/>
        <v>No puedo hacerlo</v>
      </c>
      <c r="AC371" t="str">
        <f t="shared" si="98"/>
        <v>No puedo hacerlo</v>
      </c>
      <c r="AD371" s="9" t="str">
        <f t="shared" si="99"/>
        <v>Puedo hacerlo sin ayuda</v>
      </c>
      <c r="AE371" t="str">
        <f t="shared" si="100"/>
        <v>Puedo hacerlo con dificultad</v>
      </c>
      <c r="AF371" s="9" t="str">
        <f t="shared" si="101"/>
        <v>Comunicación</v>
      </c>
      <c r="AG371" s="9" t="str">
        <f t="shared" si="102"/>
        <v>Costos de transporte;Distancia</v>
      </c>
      <c r="AH371" t="str">
        <f t="shared" si="103"/>
        <v>Ferias de empleo</v>
      </c>
      <c r="AI371" s="9" t="str">
        <f t="shared" si="104"/>
        <v>Me es indiferente</v>
      </c>
      <c r="AJ371" s="9" t="str">
        <f t="shared" si="105"/>
        <v>Fines de semana</v>
      </c>
      <c r="AK371" s="9" t="str">
        <f t="shared" si="106"/>
        <v>Redes sociales</v>
      </c>
    </row>
    <row r="372" spans="1:37">
      <c r="A372" t="str">
        <f t="shared" si="107"/>
        <v>SG371</v>
      </c>
      <c r="B372" t="s">
        <v>57</v>
      </c>
      <c r="C372" s="9" t="s">
        <v>427</v>
      </c>
      <c r="D372" t="str">
        <f t="shared" si="90"/>
        <v>Femenino</v>
      </c>
      <c r="E372" t="str">
        <f t="shared" si="91"/>
        <v>De 18 a 20 años</v>
      </c>
      <c r="F372">
        <f t="shared" si="92"/>
        <v>18</v>
      </c>
      <c r="G372" t="str">
        <f t="shared" ref="G372:G402" si="108">IF(MOD(ROW()-371,2)=0,"Centro poblado","Rural")</f>
        <v>Rural</v>
      </c>
      <c r="H372" s="9" t="str">
        <f t="shared" si="93"/>
        <v>Bachiller</v>
      </c>
      <c r="I372" s="9" t="str">
        <f t="shared" si="94"/>
        <v>Actualmente no trabajo y estoy buscando empleo</v>
      </c>
      <c r="J372" s="13" t="str">
        <f>IF(I372="Trabajo actualmente como empleado",IF(MOD((COUNTIF($I$2:I372,"Trabajo actualmente como empleado")-1)*37,150)&lt;100,"Empleado con contrato","Empleado sin contrato formal"),IF(I372="Trabajo de manera independiente","Trabajo independiente",""))</f>
        <v/>
      </c>
      <c r="K372" s="9" t="str">
        <f>IF(OR(I372="Trabajo actualmente como empleado",I372="Trabajo de manera independiente"),CHOOSE(MOD(COUNTIF($I$2:I372,I372)-1,4)+1,"Menos de 3 meses","De 3 a 6 meses","De 7 a 12 meses","Más de un año"),"")</f>
        <v/>
      </c>
      <c r="L372" t="str">
        <f>IF(OR(I372="Trabajo actualmente como empleado",I372="Trabajo de manera independiente"),CHOOSE(MOD(COUNTIF($I$2:I372,I372)-1,3)+1,"Sí, completamente","Parcialmente","No"),"")</f>
        <v/>
      </c>
      <c r="M372" t="str">
        <f>IF(OR(I372="Trabajo actualmente como empleado",I372="Trabajo de manera independiente"),CHOOSE(MOD(INT((COUNTIF($I$2:I372,I372)-1)/3),4)+1,"1- Muy satisfecho/a","2- Satisfecho/a","3- Insatisfecho/a","4- Muy insatisfecho/a"),"")</f>
        <v/>
      </c>
      <c r="N372" t="str">
        <f>IF(OR(I372="Trabajo actualmente como empleado",I372="Trabajo de manera independiente"),_xlfn.LET(_xlpm.opcion,MOD(INT((COUNTIF($I$2:I372,I372)-1)/5),6)+1,CHOOSE(IF(AND(_xlpm.opcion=6,L372="Sí, completamente"),5,_xlpm.opcion),"Salario","Estabilidad laboral","Horario","Acceso a prestaciones","Oportunidades de crecimiento","Trabajar en un área relacionada con mi formación")),"")</f>
        <v/>
      </c>
      <c r="O372" s="9" t="str">
        <f>IF(OR(I372="Trabajo actualmente como empleado",I372="Trabajo de manera independiente"),_xlfn.LET(_xlpm.turno,MOD(COUNTIF($I$2:I372,I372)-1,5),_xlpm.nivel,VALUE(LEFT(M372,1)),IF(_xlpm.turno=4,"No estoy seguro/a",IF(_xlpm.turno&lt;IF(_xlpm.nivel&lt;=2,1,3),"Sí","No"))),"")</f>
        <v/>
      </c>
      <c r="P372" s="9" t="str">
        <f>_xlfn.LET(_xlpm.perfil,I372,_xlpm.turno,COUNTIF($I$2:I372,_xlpm.perfil)-1,_xlpm.busca,OR(_xlpm.perfil="Actualmente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trabajar"),IF(AND(_xlpm.trabaja,O372="No"),"Todavía no he iniciado una búsqueda activa",CHOOSE(MOD(_xlpm.turno*3,5)+1,"Menos de 1 mes","Entre 1 y 3 meses","Entre 4 y 6 meses","Más de 6 meses","Todavía no he iniciado una búsqueda activa")),"")))</f>
        <v>Menos de 1 mes</v>
      </c>
      <c r="Q372" t="str">
        <f>IF(I372="Tengo un emprendimiento o quiero iniciar uno","",CHOOSE(MOD(INT((COUNTIF($I$2:I372,I372)-1)/7),3)+1,"Sí","No","Tengo una pero necesito actualizarla"))</f>
        <v>Sí</v>
      </c>
      <c r="R372" s="9" t="str">
        <f>IF(I372="Tengo un emprendimiento o quiero iniciar uno","",IF(I372="Busco mi primer empleo","No",IF(MOD(COUNTIF($I$2:I372,I372)-1,2)=0,"Sí","No")))</f>
        <v>Sí</v>
      </c>
      <c r="S372" t="str">
        <f>IF(I372="Tengo un emprendimiento o quiero iniciar uno","",CHOOSE(MOD(INT((COUNTIF($I$2:I372,I372)-1)/3),10)+1,"Portales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72" t="str">
        <f>IF(I372="Tengo un emprendimiento o quiero iniciar uno","",_xlfn.LET(_xlpm.opcion,MOD(INT((COUNTIF($I$2:I372,I372)-1)/4),6)+1,CHOOSE(IF(AND(_xlpm.opcion=3,Q372="Sí"),1,_xlpm.opcion),"Falta de experiencia","Falta de formación","Dificultades con la hoja de vida","Horarios disponibles","Transporte","Internet")))</f>
        <v>Internet</v>
      </c>
      <c r="U372" s="9" t="str">
        <f>IF(I372="Tengo un emprendimiento o quiero iniciar uno","",IF(MOD(INT((COUNTIF($I$2:I372,I372)-1)/3),2)=0,"Sí","No"))</f>
        <v>Sí</v>
      </c>
      <c r="V372" s="9" t="str">
        <f>IF(I372="Tengo un emprendimiento o quiero iniciar uno",CHOOSE(MOD(COUNTIF($I$2:I372,I372)-1,3)+1,"Tengo un emprendimiento","Estoy iniciando un emprendimiento","Me interesa emprender"),"")</f>
        <v/>
      </c>
      <c r="W372" t="str">
        <f t="shared" si="95"/>
        <v/>
      </c>
      <c r="X372" s="9" t="str">
        <f>IF(I372="Tengo un emprendimiento o quiero iniciar uno",CHOOSE(MOD(COUNTIF($I$2:I372,I372)-1,5)+1,"Falta de financiación","Falta de conocimientos administrativos","Falta de conocimientos financieros","Falta de tiempo","Falta de herramientas"),"")</f>
        <v/>
      </c>
      <c r="Y372" s="9" t="str">
        <f t="shared" si="96"/>
        <v/>
      </c>
      <c r="Z372" t="str">
        <f>IF(I372="Tengo un emprendimiento o quiero iniciar uno",CHOOSE(INT(MOD((COUNTIF($I$2:I372,I372)-1)*7,39)/13)+1,"Sí","No","No conozco programas de ese tipo"),"")</f>
        <v/>
      </c>
      <c r="AA372" t="str">
        <f t="shared" si="97"/>
        <v>Puedo hacerlo con dificultad</v>
      </c>
      <c r="AB372" t="str">
        <f t="shared" si="97"/>
        <v>Puedo hacerlo con dificultad</v>
      </c>
      <c r="AC372" t="str">
        <f t="shared" si="98"/>
        <v>Puedo hacerlo con ayuda</v>
      </c>
      <c r="AD372" s="9" t="str">
        <f t="shared" si="99"/>
        <v>No puedo hacerlo</v>
      </c>
      <c r="AE372" t="str">
        <f t="shared" si="100"/>
        <v>Puedo hacerlo sin ayuda</v>
      </c>
      <c r="AF372" s="9" t="str">
        <f t="shared" si="101"/>
        <v>Liderazgo</v>
      </c>
      <c r="AG372" s="9" t="str">
        <f t="shared" si="102"/>
        <v>Costos de transporte;Distancia</v>
      </c>
      <c r="AH372" t="str">
        <f t="shared" si="103"/>
        <v>No conozco ninguno</v>
      </c>
      <c r="AI372" s="9" t="str">
        <f t="shared" si="104"/>
        <v>Presencial</v>
      </c>
      <c r="AJ372" s="9" t="str">
        <f t="shared" si="105"/>
        <v>Diurno</v>
      </c>
      <c r="AK372" s="9" t="str">
        <f t="shared" si="106"/>
        <v>WhatsApp</v>
      </c>
    </row>
    <row r="373" spans="1:37">
      <c r="A373" t="str">
        <f t="shared" si="107"/>
        <v>SG372</v>
      </c>
      <c r="B373" t="s">
        <v>57</v>
      </c>
      <c r="C373" s="9" t="s">
        <v>427</v>
      </c>
      <c r="D373" t="str">
        <f t="shared" si="90"/>
        <v>Masculino</v>
      </c>
      <c r="E373" t="str">
        <f t="shared" si="91"/>
        <v>De 20 a 22 años</v>
      </c>
      <c r="F373">
        <f t="shared" si="92"/>
        <v>20</v>
      </c>
      <c r="G373" t="str">
        <f t="shared" si="108"/>
        <v>Centro poblado</v>
      </c>
      <c r="H373" s="9" t="str">
        <f t="shared" si="93"/>
        <v>Técnico</v>
      </c>
      <c r="I373" s="9" t="str">
        <f t="shared" si="94"/>
        <v>Tengo un emprendimiento o quiero iniciar uno</v>
      </c>
      <c r="J373" s="13" t="str">
        <f>IF(I373="Trabajo actualmente como empleado",IF(MOD((COUNTIF($I$2:I373,"Trabajo actualmente como empleado")-1)*37,150)&lt;100,"Empleado con contrato","Empleado sin contrato formal"),IF(I373="Trabajo de manera independiente","Trabajo independiente",""))</f>
        <v/>
      </c>
      <c r="K373" s="9" t="str">
        <f>IF(OR(I373="Trabajo actualmente como empleado",I373="Trabajo de manera independiente"),CHOOSE(MOD(COUNTIF($I$2:I373,I373)-1,4)+1,"Menos de 3 meses","De 3 a 6 meses","De 7 a 12 meses","Más de un año"),"")</f>
        <v/>
      </c>
      <c r="L373" t="str">
        <f>IF(OR(I373="Trabajo actualmente como empleado",I373="Trabajo de manera independiente"),CHOOSE(MOD(COUNTIF($I$2:I373,I373)-1,3)+1,"Sí, completamente","Parcialmente","No"),"")</f>
        <v/>
      </c>
      <c r="M373" t="str">
        <f>IF(OR(I373="Trabajo actualmente como empleado",I373="Trabajo de manera independiente"),CHOOSE(MOD(INT((COUNTIF($I$2:I373,I373)-1)/3),4)+1,"1- Muy satisfecho/a","2- Satisfecho/a","3- Insatisfecho/a","4- Muy insatisfecho/a"),"")</f>
        <v/>
      </c>
      <c r="N373" t="str">
        <f>IF(OR(I373="Trabajo actualmente como empleado",I373="Trabajo de manera independiente"),_xlfn.LET(_xlpm.opcion,MOD(INT((COUNTIF($I$2:I373,I373)-1)/5),6)+1,CHOOSE(IF(AND(_xlpm.opcion=6,L373="Sí, completamente"),5,_xlpm.opcion),"Salario","Estabilidad laboral","Horario","Acceso a prestaciones","Oportunidades de crecimiento","Trabajar en un área relacionada con mi formación")),"")</f>
        <v/>
      </c>
      <c r="O373" s="9" t="str">
        <f>IF(OR(I373="Trabajo actualmente como empleado",I373="Trabajo de manera independiente"),_xlfn.LET(_xlpm.turno,MOD(COUNTIF($I$2:I373,I373)-1,5),_xlpm.nivel,VALUE(LEFT(M373,1)),IF(_xlpm.turno=4,"No estoy seguro/a",IF(_xlpm.turno&lt;IF(_xlpm.nivel&lt;=2,1,3),"Sí","No"))),"")</f>
        <v/>
      </c>
      <c r="P373" s="9" t="str">
        <f>_xlfn.LET(_xlpm.perfil,I373,_xlpm.turno,COUNTIF($I$2:I373,_xlpm.perfil)-1,_xlpm.busca,OR(_xlpm.perfil="Actualmente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trabajar"),IF(AND(_xlpm.trabaja,O373="No"),"Todavía no he iniciado una búsqueda activa",CHOOSE(MOD(_xlpm.turno*3,5)+1,"Menos de 1 mes","Entre 1 y 3 meses","Entre 4 y 6 meses","Más de 6 meses","Todavía no he iniciado una búsqueda activa")),"")))</f>
        <v/>
      </c>
      <c r="Q373" t="str">
        <f>IF(I373="Tengo un emprendimiento o quiero iniciar uno","",CHOOSE(MOD(INT((COUNTIF($I$2:I373,I373)-1)/7),3)+1,"Sí","No","Tengo una pero necesito actualizarla"))</f>
        <v/>
      </c>
      <c r="R373" s="9" t="str">
        <f>IF(I373="Tengo un emprendimiento o quiero iniciar uno","",IF(I373="Busco mi primer empleo","No",IF(MOD(COUNTIF($I$2:I373,I373)-1,2)=0,"Sí","No")))</f>
        <v/>
      </c>
      <c r="S373" t="str">
        <f>IF(I373="Tengo un emprendimiento o quiero iniciar uno","",CHOOSE(MOD(INT((COUNTIF($I$2:I373,I373)-1)/3),10)+1,"Portales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73" t="str">
        <f>IF(I373="Tengo un emprendimiento o quiero iniciar uno","",_xlfn.LET(_xlpm.opcion,MOD(INT((COUNTIF($I$2:I373,I373)-1)/4),6)+1,CHOOSE(IF(AND(_xlpm.opcion=3,Q373="Sí"),1,_xlpm.opcion),"Falta de experiencia","Falta de formación","Dificultades con la hoja de vida","Horarios disponibles","Transporte","Internet")))</f>
        <v/>
      </c>
      <c r="U373" s="9" t="str">
        <f>IF(I373="Tengo un emprendimiento o quiero iniciar uno","",IF(MOD(INT((COUNTIF($I$2:I373,I373)-1)/3),2)=0,"Sí","No"))</f>
        <v/>
      </c>
      <c r="V373" s="9" t="str">
        <f>IF(I373="Tengo un emprendimiento o quiero iniciar uno",CHOOSE(MOD(COUNTIF($I$2:I373,I373)-1,3)+1,"Tengo un emprendimiento","Estoy iniciando un emprendimiento","Me interesa emprender"),"")</f>
        <v>Tengo un emprendimiento</v>
      </c>
      <c r="W373" t="str">
        <f t="shared" si="95"/>
        <v>Funcionamiento estable</v>
      </c>
      <c r="X373" s="9" t="str">
        <f>IF(I373="Tengo un emprendimiento o quiero iniciar uno",CHOOSE(MOD(COUNTIF($I$2:I373,I373)-1,5)+1,"Falta de financiación","Falta de conocimientos administrativos","Falta de conocimientos financieros","Falta de tiempo","Falta de herramientas"),"")</f>
        <v>Falta de financiación</v>
      </c>
      <c r="Y373" s="9" t="str">
        <f t="shared" si="96"/>
        <v>Falta de financiación</v>
      </c>
      <c r="Z373" t="str">
        <f>IF(I373="Tengo un emprendimiento o quiero iniciar uno",CHOOSE(INT(MOD((COUNTIF($I$2:I373,I373)-1)*7,39)/13)+1,"Sí","No","No conozco programas de ese tipo"),"")</f>
        <v>No</v>
      </c>
      <c r="AA373" t="str">
        <f t="shared" si="97"/>
        <v>Puedo hacerlo sin ayuda</v>
      </c>
      <c r="AB373" t="str">
        <f t="shared" si="97"/>
        <v>Puedo hacerlo sin ayuda</v>
      </c>
      <c r="AC373" t="str">
        <f t="shared" si="98"/>
        <v>Puedo hacerlo sin ayuda</v>
      </c>
      <c r="AD373" s="9" t="str">
        <f t="shared" si="99"/>
        <v>No puedo hacerlo</v>
      </c>
      <c r="AE373" t="str">
        <f t="shared" si="100"/>
        <v>Puedo hacerlo sin ayuda</v>
      </c>
      <c r="AF373" s="9" t="str">
        <f t="shared" si="101"/>
        <v>Emprendimiento</v>
      </c>
      <c r="AG373" s="9" t="str">
        <f t="shared" si="102"/>
        <v>Costos de transporte;Distancia</v>
      </c>
      <c r="AH373" t="str">
        <f t="shared" si="103"/>
        <v>Ferias de empleo</v>
      </c>
      <c r="AI373" s="9" t="str">
        <f t="shared" si="104"/>
        <v>Presencial y virtual</v>
      </c>
      <c r="AJ373" s="9" t="str">
        <f t="shared" si="105"/>
        <v>Nocturno</v>
      </c>
      <c r="AK373" s="9" t="str">
        <f t="shared" si="106"/>
        <v>Correo electrónico</v>
      </c>
    </row>
    <row r="374" spans="1:37">
      <c r="A374" t="str">
        <f t="shared" si="107"/>
        <v>SG373</v>
      </c>
      <c r="B374" t="s">
        <v>57</v>
      </c>
      <c r="C374" s="9" t="s">
        <v>427</v>
      </c>
      <c r="D374" t="str">
        <f t="shared" si="90"/>
        <v>Masculino</v>
      </c>
      <c r="E374" t="str">
        <f t="shared" si="91"/>
        <v>De 22 a 24 años</v>
      </c>
      <c r="F374">
        <f t="shared" si="92"/>
        <v>22</v>
      </c>
      <c r="G374" t="str">
        <f t="shared" si="108"/>
        <v>Rural</v>
      </c>
      <c r="H374" s="9" t="str">
        <f t="shared" si="93"/>
        <v>Tecnólogo</v>
      </c>
      <c r="I374" s="9" t="str">
        <f t="shared" si="94"/>
        <v>Trabajo de manera independiente</v>
      </c>
      <c r="J374" s="13" t="str">
        <f>IF(I374="Trabajo actualmente como empleado",IF(MOD((COUNTIF($I$2:I374,"Trabajo actualmente como empleado")-1)*37,150)&lt;100,"Empleado con contrato","Empleado sin contrato formal"),IF(I374="Trabajo de manera independiente","Trabajo independiente",""))</f>
        <v>Trabajo independiente</v>
      </c>
      <c r="K374" s="9" t="str">
        <f>IF(OR(I374="Trabajo actualmente como empleado",I374="Trabajo de manera independiente"),CHOOSE(MOD(COUNTIF($I$2:I374,I374)-1,4)+1,"Menos de 3 meses","De 3 a 6 meses","De 7 a 12 meses","Más de un año"),"")</f>
        <v>De 7 a 12 meses</v>
      </c>
      <c r="L374" t="str">
        <f>IF(OR(I374="Trabajo actualmente como empleado",I374="Trabajo de manera independiente"),CHOOSE(MOD(COUNTIF($I$2:I374,I374)-1,3)+1,"Sí, completamente","Parcialmente","No"),"")</f>
        <v>No</v>
      </c>
      <c r="M374" t="str">
        <f>IF(OR(I374="Trabajo actualmente como empleado",I374="Trabajo de manera independiente"),CHOOSE(MOD(INT((COUNTIF($I$2:I374,I374)-1)/3),4)+1,"1- Muy satisfecho/a","2- Satisfecho/a","3- Insatisfecho/a","4- Muy insatisfecho/a"),"")</f>
        <v>1- Muy satisfecho/a</v>
      </c>
      <c r="N374" t="str">
        <f>IF(OR(I374="Trabajo actualmente como empleado",I374="Trabajo de manera independiente"),_xlfn.LET(_xlpm.opcion,MOD(INT((COUNTIF($I$2:I374,I374)-1)/5),6)+1,CHOOSE(IF(AND(_xlpm.opcion=6,L374="Sí, completamente"),5,_xlpm.opcion),"Salario","Estabilidad laboral","Horario","Acceso a prestaciones","Oportunidades de crecimiento","Trabajar en un área relacionada con mi formación")),"")</f>
        <v>Salario</v>
      </c>
      <c r="O374" s="9" t="str">
        <f>IF(OR(I374="Trabajo actualmente como empleado",I374="Trabajo de manera independiente"),_xlfn.LET(_xlpm.turno,MOD(COUNTIF($I$2:I374,I374)-1,5),_xlpm.nivel,VALUE(LEFT(M374,1)),IF(_xlpm.turno=4,"No estoy seguro/a",IF(_xlpm.turno&lt;IF(_xlpm.nivel&lt;=2,1,3),"Sí","No"))),"")</f>
        <v>No</v>
      </c>
      <c r="P374" s="9" t="str">
        <f>_xlfn.LET(_xlpm.perfil,I374,_xlpm.turno,COUNTIF($I$2:I374,_xlpm.perfil)-1,_xlpm.busca,OR(_xlpm.perfil="Actualmente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trabajar"),IF(AND(_xlpm.trabaja,O374="No"),"Todavía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74" t="str">
        <f>IF(I374="Tengo un emprendimiento o quiero iniciar uno","",CHOOSE(MOD(INT((COUNTIF($I$2:I374,I374)-1)/7),3)+1,"Sí","No","Tengo una pero necesito actualizarla"))</f>
        <v>Tengo una pero necesito actualizarla</v>
      </c>
      <c r="R374" s="9" t="str">
        <f>IF(I374="Tengo un emprendimiento o quiero iniciar uno","",IF(I374="Busco mi primer empleo","No",IF(MOD(COUNTIF($I$2:I374,I374)-1,2)=0,"Sí","No")))</f>
        <v>Sí</v>
      </c>
      <c r="S374" t="str">
        <f>IF(I374="Tengo un emprendimiento o quiero iniciar uno","",CHOOSE(MOD(INT((COUNTIF($I$2:I374,I374)-1)/3),10)+1,"Portales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74" t="str">
        <f>IF(I374="Tengo un emprendimiento o quiero iniciar uno","",_xlfn.LET(_xlpm.opcion,MOD(INT((COUNTIF($I$2:I374,I374)-1)/4),6)+1,CHOOSE(IF(AND(_xlpm.opcion=3,Q374="Sí"),1,_xlpm.opcion),"Falta de experiencia","Falta de formación","Dificultades con la hoja de vida","Horarios disponibles","Transporte","Internet")))</f>
        <v>Horarios disponibles</v>
      </c>
      <c r="U374" s="9" t="str">
        <f>IF(I374="Tengo un emprendimiento o quiero iniciar uno","",IF(MOD(INT((COUNTIF($I$2:I374,I374)-1)/3),2)=0,"Sí","No"))</f>
        <v>Sí</v>
      </c>
      <c r="V374" s="9" t="str">
        <f>IF(I374="Tengo un emprendimiento o quiero iniciar uno",CHOOSE(MOD(COUNTIF($I$2:I374,I374)-1,3)+1,"Tengo un emprendimiento","Estoy iniciando un emprendimiento","Me interesa emprender"),"")</f>
        <v/>
      </c>
      <c r="W374" t="str">
        <f t="shared" si="95"/>
        <v/>
      </c>
      <c r="X374" s="9" t="str">
        <f>IF(I374="Tengo un emprendimiento o quiero iniciar uno",CHOOSE(MOD(COUNTIF($I$2:I374,I374)-1,5)+1,"Falta de financiación","Falta de conocimientos administrativos","Falta de conocimientos financieros","Falta de tiempo","Falta de herramientas"),"")</f>
        <v/>
      </c>
      <c r="Y374" s="9" t="str">
        <f t="shared" si="96"/>
        <v/>
      </c>
      <c r="Z374" t="str">
        <f>IF(I374="Tengo un emprendimiento o quiero iniciar uno",CHOOSE(INT(MOD((COUNTIF($I$2:I374,I374)-1)*7,39)/13)+1,"Sí","No","No conozco programas de ese tipo"),"")</f>
        <v/>
      </c>
      <c r="AA374" t="str">
        <f t="shared" si="97"/>
        <v>Puedo hacerlo con ayuda</v>
      </c>
      <c r="AB374" t="str">
        <f t="shared" si="97"/>
        <v>Puedo hacerlo con ayuda</v>
      </c>
      <c r="AC374" t="str">
        <f t="shared" si="98"/>
        <v>No puedo hacerlo</v>
      </c>
      <c r="AD374" s="9" t="str">
        <f t="shared" si="99"/>
        <v>Puedo hacerlo con ayuda</v>
      </c>
      <c r="AE374" t="str">
        <f t="shared" si="100"/>
        <v>No puedo hacerlo</v>
      </c>
      <c r="AF374" s="9" t="str">
        <f t="shared" si="101"/>
        <v>Herramientas digitales</v>
      </c>
      <c r="AG374" s="9" t="str">
        <f t="shared" si="102"/>
        <v>Falta de información</v>
      </c>
      <c r="AH374" t="str">
        <f t="shared" si="103"/>
        <v>Programas de emprendimiento</v>
      </c>
      <c r="AI374" s="9" t="str">
        <f t="shared" si="104"/>
        <v>Me es indiferente</v>
      </c>
      <c r="AJ374" s="9" t="str">
        <f t="shared" si="105"/>
        <v>Fines de semana</v>
      </c>
      <c r="AK374" s="9" t="str">
        <f t="shared" si="106"/>
        <v>Celular</v>
      </c>
    </row>
    <row r="375" spans="1:37">
      <c r="A375" t="str">
        <f t="shared" si="107"/>
        <v>SG374</v>
      </c>
      <c r="B375" t="s">
        <v>57</v>
      </c>
      <c r="C375" s="9" t="s">
        <v>427</v>
      </c>
      <c r="D375" t="str">
        <f t="shared" si="90"/>
        <v>Femenino</v>
      </c>
      <c r="E375" t="s">
        <v>431</v>
      </c>
      <c r="F375">
        <f t="shared" si="92"/>
        <v>24</v>
      </c>
      <c r="G375" t="str">
        <f t="shared" si="108"/>
        <v>Centro poblado</v>
      </c>
      <c r="H375" s="9" t="str">
        <f t="shared" si="93"/>
        <v>Tecnólogo</v>
      </c>
      <c r="I375" s="9" t="str">
        <f t="shared" si="94"/>
        <v>Busco mi primer empleo</v>
      </c>
      <c r="J375" s="13" t="str">
        <f>IF(I375="Trabajo actualmente como empleado",IF(MOD((COUNTIF($I$2:I375,"Trabajo actualmente como empleado")-1)*37,150)&lt;100,"Empleado con contrato","Empleado sin contrato formal"),IF(I375="Trabajo de manera independiente","Trabajo independiente",""))</f>
        <v/>
      </c>
      <c r="K375" s="9" t="str">
        <f>IF(OR(I375="Trabajo actualmente como empleado",I375="Trabajo de manera independiente"),CHOOSE(MOD(COUNTIF($I$2:I375,I375)-1,4)+1,"Menos de 3 meses","De 3 a 6 meses","De 7 a 12 meses","Más de un año"),"")</f>
        <v/>
      </c>
      <c r="L375" t="str">
        <f>IF(OR(I375="Trabajo actualmente como empleado",I375="Trabajo de manera independiente"),CHOOSE(MOD(COUNTIF($I$2:I375,I375)-1,3)+1,"Sí, completamente","Parcialmente","No"),"")</f>
        <v/>
      </c>
      <c r="M375" t="str">
        <f>IF(OR(I375="Trabajo actualmente como empleado",I375="Trabajo de manera independiente"),CHOOSE(MOD(INT((COUNTIF($I$2:I375,I375)-1)/3),4)+1,"1- Muy satisfecho/a","2- Satisfecho/a","3- Insatisfecho/a","4- Muy insatisfecho/a"),"")</f>
        <v/>
      </c>
      <c r="N375" t="str">
        <f>IF(OR(I375="Trabajo actualmente como empleado",I375="Trabajo de manera independiente"),_xlfn.LET(_xlpm.opcion,MOD(INT((COUNTIF($I$2:I375,I375)-1)/5),6)+1,CHOOSE(IF(AND(_xlpm.opcion=6,L375="Sí, completamente"),5,_xlpm.opcion),"Salario","Estabilidad laboral","Horario","Acceso a prestaciones","Oportunidades de crecimiento","Trabajar en un área relacionada con mi formación")),"")</f>
        <v/>
      </c>
      <c r="O375" s="9" t="str">
        <f>IF(OR(I375="Trabajo actualmente como empleado",I375="Trabajo de manera independiente"),_xlfn.LET(_xlpm.turno,MOD(COUNTIF($I$2:I375,I375)-1,5),_xlpm.nivel,VALUE(LEFT(M375,1)),IF(_xlpm.turno=4,"No estoy seguro/a",IF(_xlpm.turno&lt;IF(_xlpm.nivel&lt;=2,1,3),"Sí","No"))),"")</f>
        <v/>
      </c>
      <c r="P375" s="9" t="str">
        <f>_xlfn.LET(_xlpm.perfil,I375,_xlpm.turno,COUNTIF($I$2:I375,_xlpm.perfil)-1,_xlpm.busca,OR(_xlpm.perfil="Actualmente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trabajar"),IF(AND(_xlpm.trabaja,O375="No"),"Todavía no he iniciado una búsqueda activa",CHOOSE(MOD(_xlpm.turno*3,5)+1,"Menos de 1 mes","Entre 1 y 3 meses","Entre 4 y 6 meses","Más de 6 meses","Todavía no he iniciado una búsqueda activa")),"")))</f>
        <v>Menos de 1 mes</v>
      </c>
      <c r="Q375" t="str">
        <f>IF(I375="Tengo un emprendimiento o quiero iniciar uno","",CHOOSE(MOD(INT((COUNTIF($I$2:I375,I375)-1)/7),3)+1,"Sí","No","Tengo una pero necesito actualizarla"))</f>
        <v>Sí</v>
      </c>
      <c r="R375" s="9" t="str">
        <f>IF(I375="Tengo un emprendimiento o quiero iniciar uno","",IF(I375="Busco mi primer empleo","No",IF(MOD(COUNTIF($I$2:I375,I375)-1,2)=0,"Sí","No")))</f>
        <v>No</v>
      </c>
      <c r="S375" t="str">
        <f>IF(I375="Tengo un emprendimiento o quiero iniciar uno","",CHOOSE(MOD(INT((COUNTIF($I$2:I375,I375)-1)/3),10)+1,"Portales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375" t="str">
        <f>IF(I375="Tengo un emprendimiento o quiero iniciar uno","",_xlfn.LET(_xlpm.opcion,MOD(INT((COUNTIF($I$2:I375,I375)-1)/4),6)+1,CHOOSE(IF(AND(_xlpm.opcion=3,Q375="Sí"),1,_xlpm.opcion),"Falta de experiencia","Falta de formación","Dificultades con la hoja de vida","Horarios disponibles","Transporte","Internet")))</f>
        <v>Falta de experiencia</v>
      </c>
      <c r="U375" s="9" t="str">
        <f>IF(I375="Tengo un emprendimiento o quiero iniciar uno","",IF(MOD(INT((COUNTIF($I$2:I375,I375)-1)/3),2)=0,"Sí","No"))</f>
        <v>Sí</v>
      </c>
      <c r="V375" s="9" t="str">
        <f>IF(I375="Tengo un emprendimiento o quiero iniciar uno",CHOOSE(MOD(COUNTIF($I$2:I375,I375)-1,3)+1,"Tengo un emprendimiento","Estoy iniciando un emprendimiento","Me interesa emprender"),"")</f>
        <v/>
      </c>
      <c r="W375" t="str">
        <f t="shared" si="95"/>
        <v/>
      </c>
      <c r="X375" s="9" t="str">
        <f>IF(I375="Tengo un emprendimiento o quiero iniciar uno",CHOOSE(MOD(COUNTIF($I$2:I375,I375)-1,5)+1,"Falta de financiación","Falta de conocimientos administrativos","Falta de conocimientos financieros","Falta de tiempo","Falta de herramientas"),"")</f>
        <v/>
      </c>
      <c r="Y375" s="9" t="str">
        <f t="shared" si="96"/>
        <v/>
      </c>
      <c r="Z375" t="str">
        <f>IF(I375="Tengo un emprendimiento o quiero iniciar uno",CHOOSE(INT(MOD((COUNTIF($I$2:I375,I375)-1)*7,39)/13)+1,"Sí","No","No conozco programas de ese tipo"),"")</f>
        <v/>
      </c>
      <c r="AA375" t="str">
        <f t="shared" si="97"/>
        <v>Puedo hacerlo con dificultad</v>
      </c>
      <c r="AB375" t="str">
        <f t="shared" si="97"/>
        <v>Puedo hacerlo con dificultad</v>
      </c>
      <c r="AC375" t="str">
        <f t="shared" si="98"/>
        <v>Puedo hacerlo con ayuda</v>
      </c>
      <c r="AD375" s="9" t="str">
        <f t="shared" si="99"/>
        <v>Puedo hacerlo con dificultad</v>
      </c>
      <c r="AE375" t="str">
        <f t="shared" si="100"/>
        <v>No puedo hacerlo</v>
      </c>
      <c r="AF375" s="9" t="str">
        <f t="shared" si="101"/>
        <v>Educación financiera</v>
      </c>
      <c r="AG375" s="9" t="str">
        <f t="shared" si="102"/>
        <v>Falta de información</v>
      </c>
      <c r="AH375" t="str">
        <f t="shared" si="103"/>
        <v>Oficina de orientación laboral</v>
      </c>
      <c r="AI375" s="9" t="str">
        <f t="shared" si="104"/>
        <v>Presencial</v>
      </c>
      <c r="AJ375" s="9" t="str">
        <f t="shared" si="105"/>
        <v>Diurno</v>
      </c>
      <c r="AK375" s="9" t="str">
        <f t="shared" si="106"/>
        <v>WhatsApp</v>
      </c>
    </row>
    <row r="376" spans="1:37">
      <c r="A376" t="str">
        <f t="shared" si="107"/>
        <v>SG375</v>
      </c>
      <c r="B376" t="s">
        <v>57</v>
      </c>
      <c r="C376" s="9" t="s">
        <v>427</v>
      </c>
      <c r="D376" t="str">
        <f t="shared" si="90"/>
        <v>Otro</v>
      </c>
      <c r="E376" t="str">
        <f t="shared" si="91"/>
        <v>De 26 a 28 años</v>
      </c>
      <c r="F376">
        <f t="shared" si="92"/>
        <v>28</v>
      </c>
      <c r="G376" t="str">
        <f t="shared" si="108"/>
        <v>Rural</v>
      </c>
      <c r="H376" s="9" t="str">
        <f t="shared" si="93"/>
        <v>Profesional</v>
      </c>
      <c r="I376" s="9" t="str">
        <f t="shared" si="94"/>
        <v>Trabajo actualmente como empleado</v>
      </c>
      <c r="J376" s="13" t="str">
        <f>IF(I376="Trabajo actualmente como empleado",IF(MOD((COUNTIF($I$2:I376,"Trabajo actualmente como empleado")-1)*37,150)&lt;100,"Empleado con contrato","Empleado sin contrato formal"),IF(I376="Trabajo de manera independiente","Trabajo independiente",""))</f>
        <v>Empleado sin contrato formal</v>
      </c>
      <c r="K376" s="9" t="str">
        <f>IF(OR(I376="Trabajo actualmente como empleado",I376="Trabajo de manera independiente"),CHOOSE(MOD(COUNTIF($I$2:I376,I376)-1,4)+1,"Menos de 3 meses","De 3 a 6 meses","De 7 a 12 meses","Más de un año"),"")</f>
        <v>De 3 a 6 meses</v>
      </c>
      <c r="L376" t="str">
        <f>IF(OR(I376="Trabajo actualmente como empleado",I376="Trabajo de manera independiente"),CHOOSE(MOD(COUNTIF($I$2:I376,I376)-1,3)+1,"Sí, completamente","Parcialmente","No"),"")</f>
        <v>Sí, completamente</v>
      </c>
      <c r="M376" t="str">
        <f>IF(OR(I376="Trabajo actualmente como empleado",I376="Trabajo de manera independiente"),CHOOSE(MOD(INT((COUNTIF($I$2:I376,I376)-1)/3),4)+1,"1- Muy satisfecho/a","2- Satisfecho/a","3- Insatisfecho/a","4- Muy insatisfecho/a"),"")</f>
        <v>4- Muy insatisfecho/a</v>
      </c>
      <c r="N376" t="str">
        <f>IF(OR(I376="Trabajo actualmente como empleado",I376="Trabajo de manera independiente"),_xlfn.LET(_xlpm.opcion,MOD(INT((COUNTIF($I$2:I376,I376)-1)/5),6)+1,CHOOSE(IF(AND(_xlpm.opcion=6,L376="Sí, completamente"),5,_xlpm.opcion),"Salario","Estabilidad laboral","Horario","Acceso a prestaciones","Oportunidades de crecimiento","Trabajar en un área relacionada con mi formación")),"")</f>
        <v>Oportunidades de crecimiento</v>
      </c>
      <c r="O376" s="9" t="str">
        <f>IF(OR(I376="Trabajo actualmente como empleado",I376="Trabajo de manera independiente"),_xlfn.LET(_xlpm.turno,MOD(COUNTIF($I$2:I376,I376)-1,5),_xlpm.nivel,VALUE(LEFT(M376,1)),IF(_xlpm.turno=4,"No estoy seguro/a",IF(_xlpm.turno&lt;IF(_xlpm.nivel&lt;=2,1,3),"Sí","No"))),"")</f>
        <v>Sí</v>
      </c>
      <c r="P376" s="9" t="str">
        <f>_xlfn.LET(_xlpm.perfil,I376,_xlpm.turno,COUNTIF($I$2:I376,_xlpm.perfil)-1,_xlpm.busca,OR(_xlpm.perfil="Actualmente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trabajar"),IF(AND(_xlpm.trabaja,O376="No"),"Todavía no he iniciado una búsqueda activa",CHOOSE(MOD(_xlpm.turno*3,5)+1,"Menos de 1 mes","Entre 1 y 3 meses","Entre 4 y 6 meses","Más de 6 meses","Todavía no he iniciado una búsqueda activa")),"")))</f>
        <v>Entre 1 y 3 meses</v>
      </c>
      <c r="Q376" t="str">
        <f>IF(I376="Tengo un emprendimiento o quiero iniciar uno","",CHOOSE(MOD(INT((COUNTIF($I$2:I376,I376)-1)/7),3)+1,"Sí","No","Tengo una pero necesito actualizarla"))</f>
        <v>No</v>
      </c>
      <c r="R376" s="9" t="str">
        <f>IF(I376="Tengo un emprendimiento o quiero iniciar uno","",IF(I376="Busco mi primer empleo","No",IF(MOD(COUNTIF($I$2:I376,I376)-1,2)=0,"Sí","No")))</f>
        <v>No</v>
      </c>
      <c r="S376" t="str">
        <f>IF(I376="Tengo un emprendimiento o quiero iniciar uno","",CHOOSE(MOD(INT((COUNTIF($I$2:I376,I376)-1)/3),10)+1,"Portales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76" t="str">
        <f>IF(I376="Tengo un emprendimiento o quiero iniciar uno","",_xlfn.LET(_xlpm.opcion,MOD(INT((COUNTIF($I$2:I376,I376)-1)/4),6)+1,CHOOSE(IF(AND(_xlpm.opcion=3,Q376="Sí"),1,_xlpm.opcion),"Falta de experiencia","Falta de formación","Dificultades con la hoja de vida","Horarios disponibles","Transporte","Internet")))</f>
        <v>Internet</v>
      </c>
      <c r="U376" s="9" t="str">
        <f>IF(I376="Tengo un emprendimiento o quiero iniciar uno","",IF(MOD(INT((COUNTIF($I$2:I376,I376)-1)/3),2)=0,"Sí","No"))</f>
        <v>No</v>
      </c>
      <c r="V376" s="9" t="str">
        <f>IF(I376="Tengo un emprendimiento o quiero iniciar uno",CHOOSE(MOD(COUNTIF($I$2:I376,I376)-1,3)+1,"Tengo un emprendimiento","Estoy iniciando un emprendimiento","Me interesa emprender"),"")</f>
        <v/>
      </c>
      <c r="W376" t="str">
        <f t="shared" si="95"/>
        <v/>
      </c>
      <c r="X376" s="9" t="str">
        <f>IF(I376="Tengo un emprendimiento o quiero iniciar uno",CHOOSE(MOD(COUNTIF($I$2:I376,I376)-1,5)+1,"Falta de financiación","Falta de conocimientos administrativos","Falta de conocimientos financieros","Falta de tiempo","Falta de herramientas"),"")</f>
        <v/>
      </c>
      <c r="Y376" s="9" t="str">
        <f t="shared" si="96"/>
        <v/>
      </c>
      <c r="Z376" t="str">
        <f>IF(I376="Tengo un emprendimiento o quiero iniciar uno",CHOOSE(INT(MOD((COUNTIF($I$2:I376,I376)-1)*7,39)/13)+1,"Sí","No","No conozco programas de ese tipo"),"")</f>
        <v/>
      </c>
      <c r="AA376" t="str">
        <f t="shared" si="97"/>
        <v>No puedo hacerlo</v>
      </c>
      <c r="AB376" t="str">
        <f t="shared" si="97"/>
        <v>No puedo hacerlo</v>
      </c>
      <c r="AC376" t="str">
        <f t="shared" si="98"/>
        <v>Puedo hacerlo sin ayuda</v>
      </c>
      <c r="AD376" s="9" t="str">
        <f t="shared" si="99"/>
        <v>Puedo hacerlo sin ayuda</v>
      </c>
      <c r="AE376" t="str">
        <f t="shared" si="100"/>
        <v>Puedo hacerlo con ayuda</v>
      </c>
      <c r="AF376" s="9" t="str">
        <f t="shared" si="101"/>
        <v>Crear una hoja de vida;Preparación para entrevista</v>
      </c>
      <c r="AG376" s="9" t="str">
        <f t="shared" si="102"/>
        <v>Falta de información</v>
      </c>
      <c r="AH376" t="str">
        <f t="shared" si="103"/>
        <v>Programas de emprendimiento</v>
      </c>
      <c r="AI376" s="9" t="str">
        <f t="shared" si="104"/>
        <v>Virtual</v>
      </c>
      <c r="AJ376" s="9" t="str">
        <f t="shared" si="105"/>
        <v>Nocturno</v>
      </c>
      <c r="AK376" s="9" t="str">
        <f t="shared" si="106"/>
        <v>Redes sociales</v>
      </c>
    </row>
    <row r="377" spans="1:37">
      <c r="A377" t="str">
        <f t="shared" si="107"/>
        <v>SG376</v>
      </c>
      <c r="B377" t="s">
        <v>57</v>
      </c>
      <c r="C377" s="9" t="s">
        <v>427</v>
      </c>
      <c r="D377" t="str">
        <f t="shared" si="90"/>
        <v>Masculino</v>
      </c>
      <c r="E377" t="str">
        <f t="shared" si="91"/>
        <v>De 18 a 20 años</v>
      </c>
      <c r="F377">
        <f t="shared" si="92"/>
        <v>19</v>
      </c>
      <c r="G377" t="str">
        <f t="shared" si="108"/>
        <v>Centro poblado</v>
      </c>
      <c r="H377" s="9" t="str">
        <f t="shared" si="93"/>
        <v>Tecnólogo</v>
      </c>
      <c r="I377" s="9" t="str">
        <f t="shared" si="94"/>
        <v>Trabajo de manera independiente</v>
      </c>
      <c r="J377" s="13" t="str">
        <f>IF(I377="Trabajo actualmente como empleado",IF(MOD((COUNTIF($I$2:I377,"Trabajo actualmente como empleado")-1)*37,150)&lt;100,"Empleado con contrato","Empleado sin contrato formal"),IF(I377="Trabajo de manera independiente","Trabajo independiente",""))</f>
        <v>Trabajo independiente</v>
      </c>
      <c r="K377" s="9" t="str">
        <f>IF(OR(I377="Trabajo actualmente como empleado",I377="Trabajo de manera independiente"),CHOOSE(MOD(COUNTIF($I$2:I377,I377)-1,4)+1,"Menos de 3 meses","De 3 a 6 meses","De 7 a 12 meses","Más de un año"),"")</f>
        <v>Más de un año</v>
      </c>
      <c r="L377" t="str">
        <f>IF(OR(I377="Trabajo actualmente como empleado",I377="Trabajo de manera independiente"),CHOOSE(MOD(COUNTIF($I$2:I377,I377)-1,3)+1,"Sí, completamente","Parcialmente","No"),"")</f>
        <v>Sí, completamente</v>
      </c>
      <c r="M377" t="str">
        <f>IF(OR(I377="Trabajo actualmente como empleado",I377="Trabajo de manera independiente"),CHOOSE(MOD(INT((COUNTIF($I$2:I377,I377)-1)/3),4)+1,"1- Muy satisfecho/a","2- Satisfecho/a","3- Insatisfecho/a","4- Muy insatisfecho/a"),"")</f>
        <v>2- Satisfecho/a</v>
      </c>
      <c r="N377" t="str">
        <f>IF(OR(I377="Trabajo actualmente como empleado",I377="Trabajo de manera independiente"),_xlfn.LET(_xlpm.opcion,MOD(INT((COUNTIF($I$2:I377,I377)-1)/5),6)+1,CHOOSE(IF(AND(_xlpm.opcion=6,L377="Sí, completamente"),5,_xlpm.opcion),"Salario","Estabilidad laboral","Horario","Acceso a prestaciones","Oportunidades de crecimiento","Trabajar en un área relacionada con mi formación")),"")</f>
        <v>Salario</v>
      </c>
      <c r="O377" s="9" t="str">
        <f>IF(OR(I377="Trabajo actualmente como empleado",I377="Trabajo de manera independiente"),_xlfn.LET(_xlpm.turno,MOD(COUNTIF($I$2:I377,I377)-1,5),_xlpm.nivel,VALUE(LEFT(M377,1)),IF(_xlpm.turno=4,"No estoy seguro/a",IF(_xlpm.turno&lt;IF(_xlpm.nivel&lt;=2,1,3),"Sí","No"))),"")</f>
        <v>No</v>
      </c>
      <c r="P377" s="9" t="str">
        <f>_xlfn.LET(_xlpm.perfil,I377,_xlpm.turno,COUNTIF($I$2:I377,_xlpm.perfil)-1,_xlpm.busca,OR(_xlpm.perfil="Actualmente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77" t="str">
        <f>IF(I377="Tengo un emprendimiento o quiero iniciar uno","",CHOOSE(MOD(INT((COUNTIF($I$2:I377,I377)-1)/7),3)+1,"Sí","No","Tengo una pero necesito actualizarla"))</f>
        <v>Sí</v>
      </c>
      <c r="R377" s="9" t="str">
        <f>IF(I377="Tengo un emprendimiento o quiero iniciar uno","",IF(I377="Busco mi primer empleo","No",IF(MOD(COUNTIF($I$2:I377,I377)-1,2)=0,"Sí","No")))</f>
        <v>No</v>
      </c>
      <c r="S377" t="str">
        <f>IF(I377="Tengo un emprendimiento o quiero iniciar uno","",CHOOSE(MOD(INT((COUNTIF($I$2:I377,I377)-1)/3),10)+1,"Portales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77" t="str">
        <f>IF(I377="Tengo un emprendimiento o quiero iniciar uno","",_xlfn.LET(_xlpm.opcion,MOD(INT((COUNTIF($I$2:I377,I377)-1)/4),6)+1,CHOOSE(IF(AND(_xlpm.opcion=3,Q377="Sí"),1,_xlpm.opcion),"Falta de experiencia","Falta de formación","Dificultades con la hoja de vida","Horarios disponibles","Transporte","Internet")))</f>
        <v>Horarios disponibles</v>
      </c>
      <c r="U377" s="9" t="str">
        <f>IF(I377="Tengo un emprendimiento o quiero iniciar uno","",IF(MOD(INT((COUNTIF($I$2:I377,I377)-1)/3),2)=0,"Sí","No"))</f>
        <v>No</v>
      </c>
      <c r="V377" s="9" t="str">
        <f>IF(I377="Tengo un emprendimiento o quiero iniciar uno",CHOOSE(MOD(COUNTIF($I$2:I377,I377)-1,3)+1,"Tengo un emprendimiento","Estoy iniciando un emprendimiento","Me interesa emprender"),"")</f>
        <v/>
      </c>
      <c r="W377" t="str">
        <f t="shared" si="95"/>
        <v/>
      </c>
      <c r="X377" s="9" t="str">
        <f>IF(I377="Tengo un emprendimiento o quiero iniciar uno",CHOOSE(MOD(COUNTIF($I$2:I377,I377)-1,5)+1,"Falta de financiación","Falta de conocimientos administrativos","Falta de conocimientos financieros","Falta de tiempo","Falta de herramientas"),"")</f>
        <v/>
      </c>
      <c r="Y377" s="9" t="str">
        <f t="shared" si="96"/>
        <v/>
      </c>
      <c r="Z377" t="str">
        <f>IF(I377="Tengo un emprendimiento o quiero iniciar uno",CHOOSE(INT(MOD((COUNTIF($I$2:I377,I377)-1)*7,39)/13)+1,"Sí","No","No conozco programas de ese tipo"),"")</f>
        <v/>
      </c>
      <c r="AA377" t="str">
        <f t="shared" si="97"/>
        <v>Puedo hacerlo con dificultad</v>
      </c>
      <c r="AB377" t="str">
        <f t="shared" si="97"/>
        <v>Puedo hacerlo con dificultad</v>
      </c>
      <c r="AC377" t="str">
        <f t="shared" si="98"/>
        <v>No puedo hacerlo</v>
      </c>
      <c r="AD377" s="9" t="str">
        <f t="shared" si="99"/>
        <v>Puedo hacerlo sin ayuda</v>
      </c>
      <c r="AE377" t="str">
        <f t="shared" si="100"/>
        <v>Puedo hacerlo con dificultad</v>
      </c>
      <c r="AF377" s="9" t="str">
        <f t="shared" si="101"/>
        <v>Comunicación;Liderazgo</v>
      </c>
      <c r="AG377" s="9" t="str">
        <f t="shared" si="102"/>
        <v>Horarios</v>
      </c>
      <c r="AH377" t="str">
        <f t="shared" si="103"/>
        <v>No conozco ninguno</v>
      </c>
      <c r="AI377" s="9" t="str">
        <f t="shared" si="104"/>
        <v>Presencial y virtual</v>
      </c>
      <c r="AJ377" s="9" t="str">
        <f t="shared" si="105"/>
        <v>Fines de semana</v>
      </c>
      <c r="AK377" s="9" t="str">
        <f t="shared" si="106"/>
        <v>Celular</v>
      </c>
    </row>
    <row r="378" spans="1:37">
      <c r="A378" t="str">
        <f t="shared" si="107"/>
        <v>SG377</v>
      </c>
      <c r="B378" t="s">
        <v>57</v>
      </c>
      <c r="C378" s="9" t="s">
        <v>427</v>
      </c>
      <c r="D378" t="str">
        <f t="shared" si="90"/>
        <v>Femenino</v>
      </c>
      <c r="E378" t="str">
        <f t="shared" si="91"/>
        <v>De 20 a 22 años</v>
      </c>
      <c r="F378">
        <f t="shared" si="92"/>
        <v>21</v>
      </c>
      <c r="G378" t="str">
        <f t="shared" si="108"/>
        <v>Rural</v>
      </c>
      <c r="H378" s="9" t="str">
        <f t="shared" si="93"/>
        <v>Tecnólogo</v>
      </c>
      <c r="I378" s="9" t="str">
        <f t="shared" si="94"/>
        <v>Estudio y quiero comenzar a trabajar</v>
      </c>
      <c r="J378" s="13" t="str">
        <f>IF(I378="Trabajo actualmente como empleado",IF(MOD((COUNTIF($I$2:I378,"Trabajo actualmente como empleado")-1)*37,150)&lt;100,"Empleado con contrato","Empleado sin contrato formal"),IF(I378="Trabajo de manera independiente","Trabajo independiente",""))</f>
        <v/>
      </c>
      <c r="K378" s="9" t="str">
        <f>IF(OR(I378="Trabajo actualmente como empleado",I378="Trabajo de manera independiente"),CHOOSE(MOD(COUNTIF($I$2:I378,I378)-1,4)+1,"Menos de 3 meses","De 3 a 6 meses","De 7 a 12 meses","Más de un año"),"")</f>
        <v/>
      </c>
      <c r="L378" t="str">
        <f>IF(OR(I378="Trabajo actualmente como empleado",I378="Trabajo de manera independiente"),CHOOSE(MOD(COUNTIF($I$2:I378,I378)-1,3)+1,"Sí, completamente","Parcialmente","No"),"")</f>
        <v/>
      </c>
      <c r="M378" t="str">
        <f>IF(OR(I378="Trabajo actualmente como empleado",I378="Trabajo de manera independiente"),CHOOSE(MOD(INT((COUNTIF($I$2:I378,I378)-1)/3),4)+1,"1- Muy satisfecho/a","2- Satisfecho/a","3- Insatisfecho/a","4- Muy insatisfecho/a"),"")</f>
        <v/>
      </c>
      <c r="N378" t="str">
        <f>IF(OR(I378="Trabajo actualmente como empleado",I378="Trabajo de manera independiente"),_xlfn.LET(_xlpm.opcion,MOD(INT((COUNTIF($I$2:I378,I378)-1)/5),6)+1,CHOOSE(IF(AND(_xlpm.opcion=6,L378="Sí, completamente"),5,_xlpm.opcion),"Salario","Estabilidad laboral","Horario","Acceso a prestaciones","Oportunidades de crecimiento","Trabajar en un área relacionada con mi formación")),"")</f>
        <v/>
      </c>
      <c r="O378" s="9" t="str">
        <f>IF(OR(I378="Trabajo actualmente como empleado",I378="Trabajo de manera independiente"),_xlfn.LET(_xlpm.turno,MOD(COUNTIF($I$2:I378,I378)-1,5),_xlpm.nivel,VALUE(LEFT(M378,1)),IF(_xlpm.turno=4,"No estoy seguro/a",IF(_xlpm.turno&lt;IF(_xlpm.nivel&lt;=2,1,3),"Sí","No"))),"")</f>
        <v/>
      </c>
      <c r="P378" s="9" t="str">
        <f>_xlfn.LET(_xlpm.perfil,I378,_xlpm.turno,COUNTIF($I$2:I378,_xlpm.perfil)-1,_xlpm.busca,OR(_xlpm.perfil="Actualmente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trabajar"),IF(AND(_xlpm.trabaja,O378="No"),"Todavía no he iniciado una búsqueda activa",CHOOSE(MOD(_xlpm.turno*3,5)+1,"Menos de 1 mes","Entre 1 y 3 meses","Entre 4 y 6 meses","Más de 6 meses","Todavía no he iniciado una búsqueda activa")),"")))</f>
        <v>Menos de 1 mes</v>
      </c>
      <c r="Q378" t="str">
        <f>IF(I378="Tengo un emprendimiento o quiero iniciar uno","",CHOOSE(MOD(INT((COUNTIF($I$2:I378,I378)-1)/7),3)+1,"Sí","No","Tengo una pero necesito actualizarla"))</f>
        <v>Sí</v>
      </c>
      <c r="R378" s="9" t="str">
        <f>IF(I378="Tengo un emprendimiento o quiero iniciar uno","",IF(I378="Busco mi primer empleo","No",IF(MOD(COUNTIF($I$2:I378,I378)-1,2)=0,"Sí","No")))</f>
        <v>No</v>
      </c>
      <c r="S378" t="str">
        <f>IF(I378="Tengo un emprendimiento o quiero iniciar uno","",CHOOSE(MOD(INT((COUNTIF($I$2:I378,I378)-1)/3),10)+1,"Portales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78" t="str">
        <f>IF(I378="Tengo un emprendimiento o quiero iniciar uno","",_xlfn.LET(_xlpm.opcion,MOD(INT((COUNTIF($I$2:I378,I378)-1)/4),6)+1,CHOOSE(IF(AND(_xlpm.opcion=3,Q378="Sí"),1,_xlpm.opcion),"Falta de experiencia","Falta de formación","Dificultades con la hoja de vida","Horarios disponibles","Transporte","Internet")))</f>
        <v>Internet</v>
      </c>
      <c r="U378" s="9" t="str">
        <f>IF(I378="Tengo un emprendimiento o quiero iniciar uno","",IF(MOD(INT((COUNTIF($I$2:I378,I378)-1)/3),2)=0,"Sí","No"))</f>
        <v>No</v>
      </c>
      <c r="V378" s="9" t="str">
        <f>IF(I378="Tengo un emprendimiento o quiero iniciar uno",CHOOSE(MOD(COUNTIF($I$2:I378,I378)-1,3)+1,"Tengo un emprendimiento","Estoy iniciando un emprendimiento","Me interesa emprender"),"")</f>
        <v/>
      </c>
      <c r="W378" t="str">
        <f t="shared" si="95"/>
        <v/>
      </c>
      <c r="X378" s="9" t="str">
        <f>IF(I378="Tengo un emprendimiento o quiero iniciar uno",CHOOSE(MOD(COUNTIF($I$2:I378,I378)-1,5)+1,"Falta de financiación","Falta de conocimientos administrativos","Falta de conocimientos financieros","Falta de tiempo","Falta de herramientas"),"")</f>
        <v/>
      </c>
      <c r="Y378" s="9" t="str">
        <f t="shared" si="96"/>
        <v/>
      </c>
      <c r="Z378" t="str">
        <f>IF(I378="Tengo un emprendimiento o quiero iniciar uno",CHOOSE(INT(MOD((COUNTIF($I$2:I378,I378)-1)*7,39)/13)+1,"Sí","No","No conozco programas de ese tipo"),"")</f>
        <v/>
      </c>
      <c r="AA378" t="str">
        <f t="shared" si="97"/>
        <v>Puedo hacerlo sin ayuda</v>
      </c>
      <c r="AB378" t="str">
        <f t="shared" si="97"/>
        <v>Puedo hacerlo sin ayuda</v>
      </c>
      <c r="AC378" t="str">
        <f t="shared" si="98"/>
        <v>Puedo hacerlo con ayuda</v>
      </c>
      <c r="AD378" s="9" t="str">
        <f t="shared" si="99"/>
        <v>No puedo hacerlo</v>
      </c>
      <c r="AE378" t="str">
        <f t="shared" si="100"/>
        <v>Puedo hacerlo con dificultad</v>
      </c>
      <c r="AF378" s="9" t="str">
        <f t="shared" si="101"/>
        <v>Herramientas digitales;Educación financiera</v>
      </c>
      <c r="AG378" s="9" t="str">
        <f t="shared" si="102"/>
        <v>Horarios</v>
      </c>
      <c r="AH378" t="str">
        <f t="shared" si="103"/>
        <v>Ferias de empleo</v>
      </c>
      <c r="AI378" s="9" t="str">
        <f t="shared" si="104"/>
        <v>Me es indiferente</v>
      </c>
      <c r="AJ378" s="9" t="str">
        <f t="shared" si="105"/>
        <v>Diurno</v>
      </c>
      <c r="AK378" s="9" t="str">
        <f t="shared" si="106"/>
        <v>Correo electrónico</v>
      </c>
    </row>
    <row r="379" spans="1:37">
      <c r="A379" t="str">
        <f t="shared" si="107"/>
        <v>SG378</v>
      </c>
      <c r="B379" t="s">
        <v>57</v>
      </c>
      <c r="C379" s="9" t="s">
        <v>427</v>
      </c>
      <c r="D379" t="str">
        <f t="shared" si="90"/>
        <v>Femenino</v>
      </c>
      <c r="E379" t="str">
        <f t="shared" si="91"/>
        <v>De 22 a 24 años</v>
      </c>
      <c r="F379">
        <f t="shared" si="92"/>
        <v>23</v>
      </c>
      <c r="G379" t="str">
        <f t="shared" si="108"/>
        <v>Centro poblado</v>
      </c>
      <c r="H379" s="9" t="str">
        <f t="shared" si="93"/>
        <v>Profesional</v>
      </c>
      <c r="I379" s="9" t="str">
        <f t="shared" si="94"/>
        <v>Trabajo actualmente como empleado</v>
      </c>
      <c r="J379" s="13" t="str">
        <f>IF(I379="Trabajo actualmente como empleado",IF(MOD((COUNTIF($I$2:I379,"Trabajo actualmente como empleado")-1)*37,150)&lt;100,"Empleado con contrato","Empleado sin contrato formal"),IF(I379="Trabajo de manera independiente","Trabajo independiente",""))</f>
        <v>Empleado con contrato</v>
      </c>
      <c r="K379" s="9" t="str">
        <f>IF(OR(I379="Trabajo actualmente como empleado",I379="Trabajo de manera independiente"),CHOOSE(MOD(COUNTIF($I$2:I379,I379)-1,4)+1,"Menos de 3 meses","De 3 a 6 meses","De 7 a 12 meses","Más de un año"),"")</f>
        <v>De 7 a 12 meses</v>
      </c>
      <c r="L379" t="str">
        <f>IF(OR(I379="Trabajo actualmente como empleado",I379="Trabajo de manera independiente"),CHOOSE(MOD(COUNTIF($I$2:I379,I379)-1,3)+1,"Sí, completamente","Parcialmente","No"),"")</f>
        <v>Parcialmente</v>
      </c>
      <c r="M379" t="str">
        <f>IF(OR(I379="Trabajo actualmente como empleado",I379="Trabajo de manera independiente"),CHOOSE(MOD(INT((COUNTIF($I$2:I379,I379)-1)/3),4)+1,"1- Muy satisfecho/a","2- Satisfecho/a","3- Insatisfecho/a","4- Muy insatisfecho/a"),"")</f>
        <v>4- Muy insatisfecho/a</v>
      </c>
      <c r="N379" t="str">
        <f>IF(OR(I379="Trabajo actualmente como empleado",I379="Trabajo de manera independiente"),_xlfn.LET(_xlpm.opcion,MOD(INT((COUNTIF($I$2:I379,I379)-1)/5),6)+1,CHOOSE(IF(AND(_xlpm.opcion=6,L379="Sí,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79" s="9" t="str">
        <f>IF(OR(I379="Trabajo actualmente como empleado",I379="Trabajo de manera independiente"),_xlfn.LET(_xlpm.turno,MOD(COUNTIF($I$2:I379,I379)-1,5),_xlpm.nivel,VALUE(LEFT(M379,1)),IF(_xlpm.turno=4,"No estoy seguro/a",IF(_xlpm.turno&lt;IF(_xlpm.nivel&lt;=2,1,3),"Sí","No"))),"")</f>
        <v>No</v>
      </c>
      <c r="P379" s="9" t="str">
        <f>_xlfn.LET(_xlpm.perfil,I379,_xlpm.turno,COUNTIF($I$2:I379,_xlpm.perfil)-1,_xlpm.busca,OR(_xlpm.perfil="Actualmente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trabajar"),IF(AND(_xlpm.trabaja,O379="No"),"Todavía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79" t="str">
        <f>IF(I379="Tengo un emprendimiento o quiero iniciar uno","",CHOOSE(MOD(INT((COUNTIF($I$2:I379,I379)-1)/7),3)+1,"Sí","No","Tengo una pero necesito actualizarla"))</f>
        <v>No</v>
      </c>
      <c r="R379" s="9" t="str">
        <f>IF(I379="Tengo un emprendimiento o quiero iniciar uno","",IF(I379="Busco mi primer empleo","No",IF(MOD(COUNTIF($I$2:I379,I379)-1,2)=0,"Sí","No")))</f>
        <v>Sí</v>
      </c>
      <c r="S379" t="str">
        <f>IF(I379="Tengo un emprendimiento o quiero iniciar uno","",CHOOSE(MOD(INT((COUNTIF($I$2:I379,I379)-1)/3),10)+1,"Portales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79" t="str">
        <f>IF(I379="Tengo un emprendimiento o quiero iniciar uno","",_xlfn.LET(_xlpm.opcion,MOD(INT((COUNTIF($I$2:I379,I379)-1)/4),6)+1,CHOOSE(IF(AND(_xlpm.opcion=3,Q379="Sí"),1,_xlpm.opcion),"Falta de experiencia","Falta de formación","Dificultades con la hoja de vida","Horarios disponibles","Transporte","Internet")))</f>
        <v>Internet</v>
      </c>
      <c r="U379" s="9" t="str">
        <f>IF(I379="Tengo un emprendimiento o quiero iniciar uno","",IF(MOD(INT((COUNTIF($I$2:I379,I379)-1)/3),2)=0,"Sí","No"))</f>
        <v>No</v>
      </c>
      <c r="V379" s="9" t="str">
        <f>IF(I379="Tengo un emprendimiento o quiero iniciar uno",CHOOSE(MOD(COUNTIF($I$2:I379,I379)-1,3)+1,"Tengo un emprendimiento","Estoy iniciando un emprendimiento","Me interesa emprender"),"")</f>
        <v/>
      </c>
      <c r="W379" t="str">
        <f t="shared" si="95"/>
        <v/>
      </c>
      <c r="X379" s="9" t="str">
        <f>IF(I379="Tengo un emprendimiento o quiero iniciar uno",CHOOSE(MOD(COUNTIF($I$2:I379,I379)-1,5)+1,"Falta de financiación","Falta de conocimientos administrativos","Falta de conocimientos financieros","Falta de tiempo","Falta de herramientas"),"")</f>
        <v/>
      </c>
      <c r="Y379" s="9" t="str">
        <f t="shared" si="96"/>
        <v/>
      </c>
      <c r="Z379" t="str">
        <f>IF(I379="Tengo un emprendimiento o quiero iniciar uno",CHOOSE(INT(MOD((COUNTIF($I$2:I379,I379)-1)*7,39)/13)+1,"Sí","No","No conozco programas de ese tipo"),"")</f>
        <v/>
      </c>
      <c r="AA379" t="str">
        <f t="shared" si="97"/>
        <v>Puedo hacerlo con ayuda</v>
      </c>
      <c r="AB379" t="str">
        <f t="shared" si="97"/>
        <v>Puedo hacerlo con ayuda</v>
      </c>
      <c r="AC379" t="str">
        <f t="shared" si="98"/>
        <v>Puedo hacerlo con dificultad</v>
      </c>
      <c r="AD379" s="9" t="str">
        <f t="shared" si="99"/>
        <v>Puedo hacerlo con ayuda</v>
      </c>
      <c r="AE379" t="str">
        <f t="shared" si="100"/>
        <v>Puedo hacerlo sin ayuda</v>
      </c>
      <c r="AF379" s="9" t="str">
        <f t="shared" si="101"/>
        <v>Crear una hoja de vida</v>
      </c>
      <c r="AG379" s="9" t="str">
        <f t="shared" si="102"/>
        <v>Horarios</v>
      </c>
      <c r="AH379" t="str">
        <f t="shared" si="103"/>
        <v>Programas de emprendimiento</v>
      </c>
      <c r="AI379" s="9" t="str">
        <f t="shared" si="104"/>
        <v>Presencial</v>
      </c>
      <c r="AJ379" s="9" t="str">
        <f t="shared" si="105"/>
        <v>Nocturno</v>
      </c>
      <c r="AK379" s="9" t="str">
        <f t="shared" si="106"/>
        <v>Redes sociales</v>
      </c>
    </row>
    <row r="380" spans="1:37">
      <c r="A380" t="str">
        <f t="shared" si="107"/>
        <v>SG379</v>
      </c>
      <c r="B380" t="s">
        <v>57</v>
      </c>
      <c r="C380" s="9" t="s">
        <v>427</v>
      </c>
      <c r="D380" t="str">
        <f t="shared" si="90"/>
        <v>Masculino</v>
      </c>
      <c r="E380" t="str">
        <f t="shared" si="91"/>
        <v>De 24 a 26 años</v>
      </c>
      <c r="F380">
        <f t="shared" si="92"/>
        <v>25</v>
      </c>
      <c r="G380" t="str">
        <f t="shared" si="108"/>
        <v>Rural</v>
      </c>
      <c r="H380" s="9" t="str">
        <f t="shared" si="93"/>
        <v>Profesional</v>
      </c>
      <c r="I380" s="9" t="str">
        <f t="shared" si="94"/>
        <v>Actualmente no trabajo y estoy buscando empleo</v>
      </c>
      <c r="J380" s="13" t="str">
        <f>IF(I380="Trabajo actualmente como empleado",IF(MOD((COUNTIF($I$2:I380,"Trabajo actualmente como empleado")-1)*37,150)&lt;100,"Empleado con contrato","Empleado sin contrato formal"),IF(I380="Trabajo de manera independiente","Trabajo independiente",""))</f>
        <v/>
      </c>
      <c r="K380" s="9" t="str">
        <f>IF(OR(I380="Trabajo actualmente como empleado",I380="Trabajo de manera independiente"),CHOOSE(MOD(COUNTIF($I$2:I380,I380)-1,4)+1,"Menos de 3 meses","De 3 a 6 meses","De 7 a 12 meses","Más de un año"),"")</f>
        <v/>
      </c>
      <c r="L380" t="str">
        <f>IF(OR(I380="Trabajo actualmente como empleado",I380="Trabajo de manera independiente"),CHOOSE(MOD(COUNTIF($I$2:I380,I380)-1,3)+1,"Sí, completamente","Parcialmente","No"),"")</f>
        <v/>
      </c>
      <c r="M380" t="str">
        <f>IF(OR(I380="Trabajo actualmente como empleado",I380="Trabajo de manera independiente"),CHOOSE(MOD(INT((COUNTIF($I$2:I380,I380)-1)/3),4)+1,"1- Muy satisfecho/a","2- Satisfecho/a","3- Insatisfecho/a","4- Muy insatisfecho/a"),"")</f>
        <v/>
      </c>
      <c r="N380" t="str">
        <f>IF(OR(I380="Trabajo actualmente como empleado",I380="Trabajo de manera independiente"),_xlfn.LET(_xlpm.opcion,MOD(INT((COUNTIF($I$2:I380,I380)-1)/5),6)+1,CHOOSE(IF(AND(_xlpm.opcion=6,L380="Sí, completamente"),5,_xlpm.opcion),"Salario","Estabilidad laboral","Horario","Acceso a prestaciones","Oportunidades de crecimiento","Trabajar en un área relacionada con mi formación")),"")</f>
        <v/>
      </c>
      <c r="O380" s="9" t="str">
        <f>IF(OR(I380="Trabajo actualmente como empleado",I380="Trabajo de manera independiente"),_xlfn.LET(_xlpm.turno,MOD(COUNTIF($I$2:I380,I380)-1,5),_xlpm.nivel,VALUE(LEFT(M380,1)),IF(_xlpm.turno=4,"No estoy seguro/a",IF(_xlpm.turno&lt;IF(_xlpm.nivel&lt;=2,1,3),"Sí","No"))),"")</f>
        <v/>
      </c>
      <c r="P380" s="9" t="str">
        <f>_xlfn.LET(_xlpm.perfil,I380,_xlpm.turno,COUNTIF($I$2:I380,_xlpm.perfil)-1,_xlpm.busca,OR(_xlpm.perfil="Actualmente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trabajar"),IF(AND(_xlpm.trabaja,O380="No"),"Todavía no he iniciado una búsqueda activa",CHOOSE(MOD(_xlpm.turno*3,5)+1,"Menos de 1 mes","Entre 1 y 3 meses","Entre 4 y 6 meses","Más de 6 meses","Todavía no he iniciado una búsqueda activa")),"")))</f>
        <v>Más de 6 meses</v>
      </c>
      <c r="Q380" t="str">
        <f>IF(I380="Tengo un emprendimiento o quiero iniciar uno","",CHOOSE(MOD(INT((COUNTIF($I$2:I380,I380)-1)/7),3)+1,"Sí","No","Tengo una pero necesito actualizarla"))</f>
        <v>Sí</v>
      </c>
      <c r="R380" s="9" t="str">
        <f>IF(I380="Tengo un emprendimiento o quiero iniciar uno","",IF(I380="Busco mi primer empleo","No",IF(MOD(COUNTIF($I$2:I380,I380)-1,2)=0,"Sí","No")))</f>
        <v>No</v>
      </c>
      <c r="S380" t="str">
        <f>IF(I380="Tengo un emprendimiento o quiero iniciar uno","",CHOOSE(MOD(INT((COUNTIF($I$2:I380,I380)-1)/3),10)+1,"Portales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80" t="str">
        <f>IF(I380="Tengo un emprendimiento o quiero iniciar uno","",_xlfn.LET(_xlpm.opcion,MOD(INT((COUNTIF($I$2:I380,I380)-1)/4),6)+1,CHOOSE(IF(AND(_xlpm.opcion=3,Q380="Sí"),1,_xlpm.opcion),"Falta de experiencia","Falta de formación","Dificultades con la hoja de vida","Horarios disponibles","Transporte","Internet")))</f>
        <v>Internet</v>
      </c>
      <c r="U380" s="9" t="str">
        <f>IF(I380="Tengo un emprendimiento o quiero iniciar uno","",IF(MOD(INT((COUNTIF($I$2:I380,I380)-1)/3),2)=0,"Sí","No"))</f>
        <v>No</v>
      </c>
      <c r="V380" s="9" t="str">
        <f>IF(I380="Tengo un emprendimiento o quiero iniciar uno",CHOOSE(MOD(COUNTIF($I$2:I380,I380)-1,3)+1,"Tengo un emprendimiento","Estoy iniciando un emprendimiento","Me interesa emprender"),"")</f>
        <v/>
      </c>
      <c r="W380" t="str">
        <f t="shared" si="95"/>
        <v/>
      </c>
      <c r="X380" s="9" t="str">
        <f>IF(I380="Tengo un emprendimiento o quiero iniciar uno",CHOOSE(MOD(COUNTIF($I$2:I380,I380)-1,5)+1,"Falta de financiación","Falta de conocimientos administrativos","Falta de conocimientos financieros","Falta de tiempo","Falta de herramientas"),"")</f>
        <v/>
      </c>
      <c r="Y380" s="9" t="str">
        <f t="shared" si="96"/>
        <v/>
      </c>
      <c r="Z380" t="str">
        <f>IF(I380="Tengo un emprendimiento o quiero iniciar uno",CHOOSE(INT(MOD((COUNTIF($I$2:I380,I380)-1)*7,39)/13)+1,"Sí","No","No conozco programas de ese tipo"),"")</f>
        <v/>
      </c>
      <c r="AA380" t="str">
        <f t="shared" si="97"/>
        <v>Puedo hacerlo con dificultad</v>
      </c>
      <c r="AB380" t="str">
        <f t="shared" si="97"/>
        <v>Puedo hacerlo con dificultad</v>
      </c>
      <c r="AC380" t="str">
        <f t="shared" si="98"/>
        <v>No puedo hacerlo</v>
      </c>
      <c r="AD380" s="9" t="str">
        <f t="shared" si="99"/>
        <v>Puedo hacerlo con dificultad</v>
      </c>
      <c r="AE380" t="str">
        <f t="shared" si="100"/>
        <v>Puedo hacerlo sin ayuda</v>
      </c>
      <c r="AF380" s="9" t="str">
        <f t="shared" si="101"/>
        <v>Preparación para entrevista</v>
      </c>
      <c r="AG380" s="9" t="str">
        <f t="shared" si="102"/>
        <v>Costos de transporte</v>
      </c>
      <c r="AH380" t="str">
        <f t="shared" si="103"/>
        <v>Oficina de orientación laboral</v>
      </c>
      <c r="AI380" s="9" t="str">
        <f t="shared" si="104"/>
        <v>Virtual</v>
      </c>
      <c r="AJ380" s="9" t="str">
        <f t="shared" si="105"/>
        <v>Fines de semana</v>
      </c>
      <c r="AK380" s="9" t="str">
        <f t="shared" si="106"/>
        <v>WhatsApp</v>
      </c>
    </row>
    <row r="381" spans="1:37">
      <c r="A381" t="str">
        <f t="shared" si="107"/>
        <v>SG380</v>
      </c>
      <c r="B381" t="s">
        <v>57</v>
      </c>
      <c r="C381" s="9" t="s">
        <v>427</v>
      </c>
      <c r="D381" t="str">
        <f t="shared" si="90"/>
        <v>Masculino</v>
      </c>
      <c r="E381" t="str">
        <f t="shared" si="91"/>
        <v>De 26 a 28 años</v>
      </c>
      <c r="F381">
        <f t="shared" si="92"/>
        <v>26</v>
      </c>
      <c r="G381" t="str">
        <f t="shared" si="108"/>
        <v>Centro poblado</v>
      </c>
      <c r="H381" s="9" t="str">
        <f t="shared" si="93"/>
        <v>Técnico</v>
      </c>
      <c r="I381" s="9" t="str">
        <f t="shared" si="94"/>
        <v>Estudio y quiero comenzar a trabajar</v>
      </c>
      <c r="J381" s="13" t="str">
        <f>IF(I381="Trabajo actualmente como empleado",IF(MOD((COUNTIF($I$2:I381,"Trabajo actualmente como empleado")-1)*37,150)&lt;100,"Empleado con contrato","Empleado sin contrato formal"),IF(I381="Trabajo de manera independiente","Trabajo independiente",""))</f>
        <v/>
      </c>
      <c r="K381" s="9" t="str">
        <f>IF(OR(I381="Trabajo actualmente como empleado",I381="Trabajo de manera independiente"),CHOOSE(MOD(COUNTIF($I$2:I381,I381)-1,4)+1,"Menos de 3 meses","De 3 a 6 meses","De 7 a 12 meses","Más de un año"),"")</f>
        <v/>
      </c>
      <c r="L381" t="str">
        <f>IF(OR(I381="Trabajo actualmente como empleado",I381="Trabajo de manera independiente"),CHOOSE(MOD(COUNTIF($I$2:I381,I381)-1,3)+1,"Sí, completamente","Parcialmente","No"),"")</f>
        <v/>
      </c>
      <c r="M381" t="str">
        <f>IF(OR(I381="Trabajo actualmente como empleado",I381="Trabajo de manera independiente"),CHOOSE(MOD(INT((COUNTIF($I$2:I381,I381)-1)/3),4)+1,"1- Muy satisfecho/a","2- Satisfecho/a","3- Insatisfecho/a","4- Muy insatisfecho/a"),"")</f>
        <v/>
      </c>
      <c r="N381" t="str">
        <f>IF(OR(I381="Trabajo actualmente como empleado",I381="Trabajo de manera independiente"),_xlfn.LET(_xlpm.opcion,MOD(INT((COUNTIF($I$2:I381,I381)-1)/5),6)+1,CHOOSE(IF(AND(_xlpm.opcion=6,L381="Sí, completamente"),5,_xlpm.opcion),"Salario","Estabilidad laboral","Horario","Acceso a prestaciones","Oportunidades de crecimiento","Trabajar en un área relacionada con mi formación")),"")</f>
        <v/>
      </c>
      <c r="O381" s="9" t="str">
        <f>IF(OR(I381="Trabajo actualmente como empleado",I381="Trabajo de manera independiente"),_xlfn.LET(_xlpm.turno,MOD(COUNTIF($I$2:I381,I381)-1,5),_xlpm.nivel,VALUE(LEFT(M381,1)),IF(_xlpm.turno=4,"No estoy seguro/a",IF(_xlpm.turno&lt;IF(_xlpm.nivel&lt;=2,1,3),"Sí","No"))),"")</f>
        <v/>
      </c>
      <c r="P381" s="9" t="str">
        <f>_xlfn.LET(_xlpm.perfil,I381,_xlpm.turno,COUNTIF($I$2:I381,_xlpm.perfil)-1,_xlpm.busca,OR(_xlpm.perfil="Actualmente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trabajar"),IF(AND(_xlpm.trabaja,O381="No"),"Todavía no he iniciado una búsqueda activa",CHOOSE(MOD(_xlpm.turno*3,5)+1,"Menos de 1 mes","Entre 1 y 3 meses","Entre 4 y 6 meses","Más de 6 meses","Todavía no he iniciado una búsqueda activa")),"")))</f>
        <v>Más de 6 meses</v>
      </c>
      <c r="Q381" t="str">
        <f>IF(I381="Tengo un emprendimiento o quiero iniciar uno","",CHOOSE(MOD(INT((COUNTIF($I$2:I381,I381)-1)/7),3)+1,"Sí","No","Tengo una pero necesito actualizarla"))</f>
        <v>Sí</v>
      </c>
      <c r="R381" s="9" t="str">
        <f>IF(I381="Tengo un emprendimiento o quiero iniciar uno","",IF(I381="Busco mi primer empleo","No",IF(MOD(COUNTIF($I$2:I381,I381)-1,2)=0,"Sí","No")))</f>
        <v>Sí</v>
      </c>
      <c r="S381" t="str">
        <f>IF(I381="Tengo un emprendimiento o quiero iniciar uno","",CHOOSE(MOD(INT((COUNTIF($I$2:I381,I381)-1)/3),10)+1,"Portales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81" t="str">
        <f>IF(I381="Tengo un emprendimiento o quiero iniciar uno","",_xlfn.LET(_xlpm.opcion,MOD(INT((COUNTIF($I$2:I381,I381)-1)/4),6)+1,CHOOSE(IF(AND(_xlpm.opcion=3,Q381="Sí"),1,_xlpm.opcion),"Falta de experiencia","Falta de formación","Dificultades con la hoja de vida","Horarios disponibles","Transporte","Internet")))</f>
        <v>Internet</v>
      </c>
      <c r="U381" s="9" t="str">
        <f>IF(I381="Tengo un emprendimiento o quiero iniciar uno","",IF(MOD(INT((COUNTIF($I$2:I381,I381)-1)/3),2)=0,"Sí","No"))</f>
        <v>No</v>
      </c>
      <c r="V381" s="9" t="str">
        <f>IF(I381="Tengo un emprendimiento o quiero iniciar uno",CHOOSE(MOD(COUNTIF($I$2:I381,I381)-1,3)+1,"Tengo un emprendimiento","Estoy iniciando un emprendimiento","Me interesa emprender"),"")</f>
        <v/>
      </c>
      <c r="W381" t="str">
        <f t="shared" si="95"/>
        <v/>
      </c>
      <c r="X381" s="9" t="str">
        <f>IF(I381="Tengo un emprendimiento o quiero iniciar uno",CHOOSE(MOD(COUNTIF($I$2:I381,I381)-1,5)+1,"Falta de financiación","Falta de conocimientos administrativos","Falta de conocimientos financieros","Falta de tiempo","Falta de herramientas"),"")</f>
        <v/>
      </c>
      <c r="Y381" s="9" t="str">
        <f t="shared" si="96"/>
        <v/>
      </c>
      <c r="Z381" t="str">
        <f>IF(I381="Tengo un emprendimiento o quiero iniciar uno",CHOOSE(INT(MOD((COUNTIF($I$2:I381,I381)-1)*7,39)/13)+1,"Sí","No","No conozco programas de ese tipo"),"")</f>
        <v/>
      </c>
      <c r="AA381" t="str">
        <f t="shared" si="97"/>
        <v>No puedo hacerlo</v>
      </c>
      <c r="AB381" t="str">
        <f t="shared" si="97"/>
        <v>No puedo hacerlo</v>
      </c>
      <c r="AC381" t="str">
        <f t="shared" si="98"/>
        <v>Puedo hacerlo con ayuda</v>
      </c>
      <c r="AD381" s="9" t="str">
        <f t="shared" si="99"/>
        <v>Puedo hacerlo con dificultad</v>
      </c>
      <c r="AE381" t="str">
        <f t="shared" si="100"/>
        <v>No puedo hacerlo</v>
      </c>
      <c r="AF381" s="9" t="str">
        <f t="shared" si="101"/>
        <v>Comunicación</v>
      </c>
      <c r="AG381" s="9" t="str">
        <f t="shared" si="102"/>
        <v>Costos de transporte</v>
      </c>
      <c r="AH381" t="str">
        <f t="shared" si="103"/>
        <v>Programas de emprendimiento</v>
      </c>
      <c r="AI381" s="9" t="str">
        <f t="shared" si="104"/>
        <v>Presencial y virtual</v>
      </c>
      <c r="AJ381" s="9" t="str">
        <f t="shared" si="105"/>
        <v>Diurno</v>
      </c>
      <c r="AK381" s="9" t="str">
        <f t="shared" si="106"/>
        <v>Correo electrónico</v>
      </c>
    </row>
    <row r="382" spans="1:37">
      <c r="A382" t="str">
        <f t="shared" si="107"/>
        <v>SG381</v>
      </c>
      <c r="B382" t="s">
        <v>57</v>
      </c>
      <c r="C382" s="9" t="s">
        <v>427</v>
      </c>
      <c r="D382" t="str">
        <f t="shared" si="90"/>
        <v>Femenino</v>
      </c>
      <c r="E382" t="str">
        <f t="shared" si="91"/>
        <v>De 18 a 20 años</v>
      </c>
      <c r="F382">
        <f t="shared" si="92"/>
        <v>18</v>
      </c>
      <c r="G382" t="str">
        <f t="shared" si="108"/>
        <v>Rural</v>
      </c>
      <c r="H382" s="9" t="str">
        <f t="shared" si="93"/>
        <v>Bachiller</v>
      </c>
      <c r="I382" s="9" t="str">
        <f t="shared" si="94"/>
        <v>Trabajo actualmente como empleado</v>
      </c>
      <c r="J382" s="13" t="str">
        <f>IF(I382="Trabajo actualmente como empleado",IF(MOD((COUNTIF($I$2:I382,"Trabajo actualmente como empleado")-1)*37,150)&lt;100,"Empleado con contrato","Empleado sin contrato formal"),IF(I382="Trabajo de manera independiente","Trabajo independiente",""))</f>
        <v>Empleado con contrato</v>
      </c>
      <c r="K382" s="9" t="str">
        <f>IF(OR(I382="Trabajo actualmente como empleado",I382="Trabajo de manera independiente"),CHOOSE(MOD(COUNTIF($I$2:I382,I382)-1,4)+1,"Menos de 3 meses","De 3 a 6 meses","De 7 a 12 meses","Más de un año"),"")</f>
        <v>Más de un año</v>
      </c>
      <c r="L382" t="str">
        <f>IF(OR(I382="Trabajo actualmente como empleado",I382="Trabajo de manera independiente"),CHOOSE(MOD(COUNTIF($I$2:I382,I382)-1,3)+1,"Sí, completamente","Parcialmente","No"),"")</f>
        <v>No</v>
      </c>
      <c r="M382" t="str">
        <f>IF(OR(I382="Trabajo actualmente como empleado",I382="Trabajo de manera independiente"),CHOOSE(MOD(INT((COUNTIF($I$2:I382,I382)-1)/3),4)+1,"1- Muy satisfecho/a","2- Satisfecho/a","3- Insatisfecho/a","4- Muy insatisfecho/a"),"")</f>
        <v>4- Muy insatisfecho/a</v>
      </c>
      <c r="N382" t="str">
        <f>IF(OR(I382="Trabajo actualmente como empleado",I382="Trabajo de manera independiente"),_xlfn.LET(_xlpm.opcion,MOD(INT((COUNTIF($I$2:I382,I382)-1)/5),6)+1,CHOOSE(IF(AND(_xlpm.opcion=6,L382="Sí,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382" s="9" t="str">
        <f>IF(OR(I382="Trabajo actualmente como empleado",I382="Trabajo de manera independiente"),_xlfn.LET(_xlpm.turno,MOD(COUNTIF($I$2:I382,I382)-1,5),_xlpm.nivel,VALUE(LEFT(M382,1)),IF(_xlpm.turno=4,"No estoy seguro/a",IF(_xlpm.turno&lt;IF(_xlpm.nivel&lt;=2,1,3),"Sí","No"))),"")</f>
        <v>No estoy seguro/a</v>
      </c>
      <c r="P382" s="9" t="str">
        <f>_xlfn.LET(_xlpm.perfil,I382,_xlpm.turno,COUNTIF($I$2:I382,_xlpm.perfil)-1,_xlpm.busca,OR(_xlpm.perfil="Actualmente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trabajar"),IF(AND(_xlpm.trabaja,O382="No"),"Todavía no he iniciado una búsqueda activa",CHOOSE(MOD(_xlpm.turno*3,5)+1,"Menos de 1 mes","Entre 1 y 3 meses","Entre 4 y 6 meses","Más de 6 meses","Todavía no he iniciado una búsqueda activa")),"")))</f>
        <v>Entre 4 y 6 meses</v>
      </c>
      <c r="Q382" t="str">
        <f>IF(I382="Tengo un emprendimiento o quiero iniciar uno","",CHOOSE(MOD(INT((COUNTIF($I$2:I382,I382)-1)/7),3)+1,"Sí","No","Tengo una pero necesito actualizarla"))</f>
        <v>Tengo una pero necesito actualizarla</v>
      </c>
      <c r="R382" s="9" t="str">
        <f>IF(I382="Tengo un emprendimiento o quiero iniciar uno","",IF(I382="Busco mi primer empleo","No",IF(MOD(COUNTIF($I$2:I382,I382)-1,2)=0,"Sí","No")))</f>
        <v>No</v>
      </c>
      <c r="S382" t="str">
        <f>IF(I382="Tengo un emprendimiento o quiero iniciar uno","",CHOOSE(MOD(INT((COUNTIF($I$2:I382,I382)-1)/3),10)+1,"Portales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382" t="str">
        <f>IF(I382="Tengo un emprendimiento o quiero iniciar uno","",_xlfn.LET(_xlpm.opcion,MOD(INT((COUNTIF($I$2:I382,I382)-1)/4),6)+1,CHOOSE(IF(AND(_xlpm.opcion=3,Q382="Sí"),1,_xlpm.opcion),"Falta de experiencia","Falta de formación","Dificultades con la hoja de vida","Horarios disponibles","Transporte","Internet")))</f>
        <v>Internet</v>
      </c>
      <c r="U382" s="9" t="str">
        <f>IF(I382="Tengo un emprendimiento o quiero iniciar uno","",IF(MOD(INT((COUNTIF($I$2:I382,I382)-1)/3),2)=0,"Sí","No"))</f>
        <v>No</v>
      </c>
      <c r="V382" s="9" t="str">
        <f>IF(I382="Tengo un emprendimiento o quiero iniciar uno",CHOOSE(MOD(COUNTIF($I$2:I382,I382)-1,3)+1,"Tengo un emprendimiento","Estoy iniciando un emprendimiento","Me interesa emprender"),"")</f>
        <v/>
      </c>
      <c r="W382" t="str">
        <f t="shared" si="95"/>
        <v/>
      </c>
      <c r="X382" s="9" t="str">
        <f>IF(I382="Tengo un emprendimiento o quiero iniciar uno",CHOOSE(MOD(COUNTIF($I$2:I382,I382)-1,5)+1,"Falta de financiación","Falta de conocimientos administrativos","Falta de conocimientos financieros","Falta de tiempo","Falta de herramientas"),"")</f>
        <v/>
      </c>
      <c r="Y382" s="9" t="str">
        <f t="shared" si="96"/>
        <v/>
      </c>
      <c r="Z382" t="str">
        <f>IF(I382="Tengo un emprendimiento o quiero iniciar uno",CHOOSE(INT(MOD((COUNTIF($I$2:I382,I382)-1)*7,39)/13)+1,"Sí","No","No conozco programas de ese tipo"),"")</f>
        <v/>
      </c>
      <c r="AA382" t="str">
        <f t="shared" si="97"/>
        <v>Puedo hacerlo con dificultad</v>
      </c>
      <c r="AB382" t="str">
        <f t="shared" si="97"/>
        <v>Puedo hacerlo con dificultad</v>
      </c>
      <c r="AC382" t="str">
        <f t="shared" si="98"/>
        <v>Puedo hacerlo con dificultad</v>
      </c>
      <c r="AD382" s="9" t="str">
        <f t="shared" si="99"/>
        <v>Puedo hacerlo sin ayuda</v>
      </c>
      <c r="AE382" t="str">
        <f t="shared" si="100"/>
        <v>Puedo hacerlo con ayuda</v>
      </c>
      <c r="AF382" s="9" t="str">
        <f t="shared" si="101"/>
        <v>Liderazgo</v>
      </c>
      <c r="AG382" s="9" t="str">
        <f t="shared" si="102"/>
        <v>Costos de transporte</v>
      </c>
      <c r="AH382" t="str">
        <f t="shared" si="103"/>
        <v>No conozco ninguno</v>
      </c>
      <c r="AI382" s="9" t="str">
        <f t="shared" si="104"/>
        <v>Me es indiferente</v>
      </c>
      <c r="AJ382" s="9" t="str">
        <f t="shared" si="105"/>
        <v>Mañana entre semana</v>
      </c>
      <c r="AK382" s="9" t="str">
        <f t="shared" si="106"/>
        <v>Celular</v>
      </c>
    </row>
    <row r="383" spans="1:37">
      <c r="A383" t="str">
        <f t="shared" si="107"/>
        <v>SG382</v>
      </c>
      <c r="B383" t="s">
        <v>57</v>
      </c>
      <c r="C383" s="9" t="s">
        <v>427</v>
      </c>
      <c r="D383" t="str">
        <f t="shared" si="90"/>
        <v>Otro</v>
      </c>
      <c r="E383" t="str">
        <f t="shared" si="91"/>
        <v>De 20 a 22 años</v>
      </c>
      <c r="F383">
        <f t="shared" si="92"/>
        <v>20</v>
      </c>
      <c r="G383" t="str">
        <f t="shared" si="108"/>
        <v>Centro poblado</v>
      </c>
      <c r="H383" s="9" t="str">
        <f t="shared" si="93"/>
        <v>Bachiller</v>
      </c>
      <c r="I383" s="9" t="str">
        <f t="shared" si="94"/>
        <v>Actualmente no trabajo y estoy buscando empleo</v>
      </c>
      <c r="J383" s="13" t="str">
        <f>IF(I383="Trabajo actualmente como empleado",IF(MOD((COUNTIF($I$2:I383,"Trabajo actualmente como empleado")-1)*37,150)&lt;100,"Empleado con contrato","Empleado sin contrato formal"),IF(I383="Trabajo de manera independiente","Trabajo independiente",""))</f>
        <v/>
      </c>
      <c r="K383" s="9" t="str">
        <f>IF(OR(I383="Trabajo actualmente como empleado",I383="Trabajo de manera independiente"),CHOOSE(MOD(COUNTIF($I$2:I383,I383)-1,4)+1,"Menos de 3 meses","De 3 a 6 meses","De 7 a 12 meses","Más de un año"),"")</f>
        <v/>
      </c>
      <c r="L383" t="str">
        <f>IF(OR(I383="Trabajo actualmente como empleado",I383="Trabajo de manera independiente"),CHOOSE(MOD(COUNTIF($I$2:I383,I383)-1,3)+1,"Sí, completamente","Parcialmente","No"),"")</f>
        <v/>
      </c>
      <c r="M383" t="str">
        <f>IF(OR(I383="Trabajo actualmente como empleado",I383="Trabajo de manera independiente"),CHOOSE(MOD(INT((COUNTIF($I$2:I383,I383)-1)/3),4)+1,"1- Muy satisfecho/a","2- Satisfecho/a","3- Insatisfecho/a","4- Muy insatisfecho/a"),"")</f>
        <v/>
      </c>
      <c r="N383" t="str">
        <f>IF(OR(I383="Trabajo actualmente como empleado",I383="Trabajo de manera independiente"),_xlfn.LET(_xlpm.opcion,MOD(INT((COUNTIF($I$2:I383,I383)-1)/5),6)+1,CHOOSE(IF(AND(_xlpm.opcion=6,L383="Sí, completamente"),5,_xlpm.opcion),"Salario","Estabilidad laboral","Horario","Acceso a prestaciones","Oportunidades de crecimiento","Trabajar en un área relacionada con mi formación")),"")</f>
        <v/>
      </c>
      <c r="O383" s="9" t="str">
        <f>IF(OR(I383="Trabajo actualmente como empleado",I383="Trabajo de manera independiente"),_xlfn.LET(_xlpm.turno,MOD(COUNTIF($I$2:I383,I383)-1,5),_xlpm.nivel,VALUE(LEFT(M383,1)),IF(_xlpm.turno=4,"No estoy seguro/a",IF(_xlpm.turno&lt;IF(_xlpm.nivel&lt;=2,1,3),"Sí","No"))),"")</f>
        <v/>
      </c>
      <c r="P383" s="9" t="str">
        <f>_xlfn.LET(_xlpm.perfil,I383,_xlpm.turno,COUNTIF($I$2:I383,_xlpm.perfil)-1,_xlpm.busca,OR(_xlpm.perfil="Actualmente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trabajar"),IF(AND(_xlpm.trabaja,O383="No"),"Todavía no he iniciado una búsqueda activa",CHOOSE(MOD(_xlpm.turno*3,5)+1,"Menos de 1 mes","Entre 1 y 3 meses","Entre 4 y 6 meses","Más de 6 meses","Todavía no he iniciado una búsqueda activa")),"")))</f>
        <v>Entre 4 y 6 meses</v>
      </c>
      <c r="Q383" t="str">
        <f>IF(I383="Tengo un emprendimiento o quiero iniciar uno","",CHOOSE(MOD(INT((COUNTIF($I$2:I383,I383)-1)/7),3)+1,"Sí","No","Tengo una pero necesito actualizarla"))</f>
        <v>No</v>
      </c>
      <c r="R383" s="9" t="str">
        <f>IF(I383="Tengo un emprendimiento o quiero iniciar uno","",IF(I383="Busco mi primer empleo","No",IF(MOD(COUNTIF($I$2:I383,I383)-1,2)=0,"Sí","No")))</f>
        <v>Sí</v>
      </c>
      <c r="S383" t="str">
        <f>IF(I383="Tengo un emprendimiento o quiero iniciar uno","",CHOOSE(MOD(INT((COUNTIF($I$2:I383,I383)-1)/3),10)+1,"Portales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83" t="str">
        <f>IF(I383="Tengo un emprendimiento o quiero iniciar uno","",_xlfn.LET(_xlpm.opcion,MOD(INT((COUNTIF($I$2:I383,I383)-1)/4),6)+1,CHOOSE(IF(AND(_xlpm.opcion=3,Q383="Sí"),1,_xlpm.opcion),"Falta de experiencia","Falta de formación","Dificultades con la hoja de vida","Horarios disponibles","Transporte","Internet")))</f>
        <v>Internet</v>
      </c>
      <c r="U383" s="9" t="str">
        <f>IF(I383="Tengo un emprendimiento o quiero iniciar uno","",IF(MOD(INT((COUNTIF($I$2:I383,I383)-1)/3),2)=0,"Sí","No"))</f>
        <v>No</v>
      </c>
      <c r="V383" s="9" t="str">
        <f>IF(I383="Tengo un emprendimiento o quiero iniciar uno",CHOOSE(MOD(COUNTIF($I$2:I383,I383)-1,3)+1,"Tengo un emprendimiento","Estoy iniciando un emprendimiento","Me interesa emprender"),"")</f>
        <v/>
      </c>
      <c r="W383" t="str">
        <f t="shared" si="95"/>
        <v/>
      </c>
      <c r="X383" s="9" t="str">
        <f>IF(I383="Tengo un emprendimiento o quiero iniciar uno",CHOOSE(MOD(COUNTIF($I$2:I383,I383)-1,5)+1,"Falta de financiación","Falta de conocimientos administrativos","Falta de conocimientos financieros","Falta de tiempo","Falta de herramientas"),"")</f>
        <v/>
      </c>
      <c r="Y383" s="9" t="str">
        <f t="shared" si="96"/>
        <v/>
      </c>
      <c r="Z383" t="str">
        <f>IF(I383="Tengo un emprendimiento o quiero iniciar uno",CHOOSE(INT(MOD((COUNTIF($I$2:I383,I383)-1)*7,39)/13)+1,"Sí","No","No conozco programas de ese tipo"),"")</f>
        <v/>
      </c>
      <c r="AA383" t="str">
        <f t="shared" si="97"/>
        <v>Puedo hacerlo sin ayuda</v>
      </c>
      <c r="AB383" t="str">
        <f t="shared" si="97"/>
        <v>Puedo hacerlo sin ayuda</v>
      </c>
      <c r="AC383" t="str">
        <f t="shared" si="98"/>
        <v>No puedo hacerlo</v>
      </c>
      <c r="AD383" s="9" t="str">
        <f t="shared" si="99"/>
        <v>No puedo hacerlo</v>
      </c>
      <c r="AE383" t="str">
        <f t="shared" si="100"/>
        <v>Puedo hacerlo con ayuda</v>
      </c>
      <c r="AF383" s="9" t="str">
        <f t="shared" si="101"/>
        <v>Emprendimiento</v>
      </c>
      <c r="AG383" s="9" t="str">
        <f t="shared" si="102"/>
        <v>Horarios;Falta de información</v>
      </c>
      <c r="AH383" t="str">
        <f t="shared" si="103"/>
        <v>Ferias de empleo</v>
      </c>
      <c r="AI383" s="9" t="str">
        <f t="shared" si="104"/>
        <v>Presencial</v>
      </c>
      <c r="AJ383" s="9" t="str">
        <f t="shared" si="105"/>
        <v>Fines de semana</v>
      </c>
      <c r="AK383" s="9" t="str">
        <f t="shared" si="106"/>
        <v>WhatsApp</v>
      </c>
    </row>
    <row r="384" spans="1:37">
      <c r="A384" t="str">
        <f t="shared" si="107"/>
        <v>SG383</v>
      </c>
      <c r="B384" t="s">
        <v>57</v>
      </c>
      <c r="C384" s="9" t="s">
        <v>427</v>
      </c>
      <c r="D384" t="str">
        <f t="shared" si="90"/>
        <v>Masculino</v>
      </c>
      <c r="E384" t="str">
        <f t="shared" si="91"/>
        <v>De 22 a 24 años</v>
      </c>
      <c r="F384">
        <f t="shared" si="92"/>
        <v>22</v>
      </c>
      <c r="G384" t="str">
        <f t="shared" si="108"/>
        <v>Rural</v>
      </c>
      <c r="H384" s="9" t="str">
        <f t="shared" si="93"/>
        <v>Técnico</v>
      </c>
      <c r="I384" s="9" t="str">
        <f t="shared" si="94"/>
        <v>Tengo un emprendimiento o quiero iniciar uno</v>
      </c>
      <c r="J384" s="13" t="str">
        <f>IF(I384="Trabajo actualmente como empleado",IF(MOD((COUNTIF($I$2:I384,"Trabajo actualmente como empleado")-1)*37,150)&lt;100,"Empleado con contrato","Empleado sin contrato formal"),IF(I384="Trabajo de manera independiente","Trabajo independiente",""))</f>
        <v/>
      </c>
      <c r="K384" s="9" t="str">
        <f>IF(OR(I384="Trabajo actualmente como empleado",I384="Trabajo de manera independiente"),CHOOSE(MOD(COUNTIF($I$2:I384,I384)-1,4)+1,"Menos de 3 meses","De 3 a 6 meses","De 7 a 12 meses","Más de un año"),"")</f>
        <v/>
      </c>
      <c r="L384" t="str">
        <f>IF(OR(I384="Trabajo actualmente como empleado",I384="Trabajo de manera independiente"),CHOOSE(MOD(COUNTIF($I$2:I384,I384)-1,3)+1,"Sí, completamente","Parcialmente","No"),"")</f>
        <v/>
      </c>
      <c r="M384" t="str">
        <f>IF(OR(I384="Trabajo actualmente como empleado",I384="Trabajo de manera independiente"),CHOOSE(MOD(INT((COUNTIF($I$2:I384,I384)-1)/3),4)+1,"1- Muy satisfecho/a","2- Satisfecho/a","3- Insatisfecho/a","4- Muy insatisfecho/a"),"")</f>
        <v/>
      </c>
      <c r="N384" t="str">
        <f>IF(OR(I384="Trabajo actualmente como empleado",I384="Trabajo de manera independiente"),_xlfn.LET(_xlpm.opcion,MOD(INT((COUNTIF($I$2:I384,I384)-1)/5),6)+1,CHOOSE(IF(AND(_xlpm.opcion=6,L384="Sí, completamente"),5,_xlpm.opcion),"Salario","Estabilidad laboral","Horario","Acceso a prestaciones","Oportunidades de crecimiento","Trabajar en un área relacionada con mi formación")),"")</f>
        <v/>
      </c>
      <c r="O384" s="9" t="str">
        <f>IF(OR(I384="Trabajo actualmente como empleado",I384="Trabajo de manera independiente"),_xlfn.LET(_xlpm.turno,MOD(COUNTIF($I$2:I384,I384)-1,5),_xlpm.nivel,VALUE(LEFT(M384,1)),IF(_xlpm.turno=4,"No estoy seguro/a",IF(_xlpm.turno&lt;IF(_xlpm.nivel&lt;=2,1,3),"Sí","No"))),"")</f>
        <v/>
      </c>
      <c r="P384" s="9" t="str">
        <f>_xlfn.LET(_xlpm.perfil,I384,_xlpm.turno,COUNTIF($I$2:I384,_xlpm.perfil)-1,_xlpm.busca,OR(_xlpm.perfil="Actualmente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trabajar"),IF(AND(_xlpm.trabaja,O384="No"),"Todavía no he iniciado una búsqueda activa",CHOOSE(MOD(_xlpm.turno*3,5)+1,"Menos de 1 mes","Entre 1 y 3 meses","Entre 4 y 6 meses","Más de 6 meses","Todavía no he iniciado una búsqueda activa")),"")))</f>
        <v/>
      </c>
      <c r="Q384" t="str">
        <f>IF(I384="Tengo un emprendimiento o quiero iniciar uno","",CHOOSE(MOD(INT((COUNTIF($I$2:I384,I384)-1)/7),3)+1,"Sí","No","Tengo una pero necesito actualizarla"))</f>
        <v/>
      </c>
      <c r="R384" s="9" t="str">
        <f>IF(I384="Tengo un emprendimiento o quiero iniciar uno","",IF(I384="Busco mi primer empleo","No",IF(MOD(COUNTIF($I$2:I384,I384)-1,2)=0,"Sí","No")))</f>
        <v/>
      </c>
      <c r="S384" t="str">
        <f>IF(I384="Tengo un emprendimiento o quiero iniciar uno","",CHOOSE(MOD(INT((COUNTIF($I$2:I384,I384)-1)/3),10)+1,"Portales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84" t="str">
        <f>IF(I384="Tengo un emprendimiento o quiero iniciar uno","",_xlfn.LET(_xlpm.opcion,MOD(INT((COUNTIF($I$2:I384,I384)-1)/4),6)+1,CHOOSE(IF(AND(_xlpm.opcion=3,Q384="Sí"),1,_xlpm.opcion),"Falta de experiencia","Falta de formación","Dificultades con la hoja de vida","Horarios disponibles","Transporte","Internet")))</f>
        <v/>
      </c>
      <c r="U384" s="9" t="str">
        <f>IF(I384="Tengo un emprendimiento o quiero iniciar uno","",IF(MOD(INT((COUNTIF($I$2:I384,I384)-1)/3),2)=0,"Sí","No"))</f>
        <v/>
      </c>
      <c r="V384" s="9" t="str">
        <f>IF(I384="Tengo un emprendimiento o quiero iniciar uno",CHOOSE(MOD(COUNTIF($I$2:I384,I384)-1,3)+1,"Tengo un emprendimiento","Estoy iniciando un emprendimiento","Me interesa emprender"),"")</f>
        <v>Estoy iniciando un emprendimiento</v>
      </c>
      <c r="W384" t="str">
        <f t="shared" si="95"/>
        <v>Inicio</v>
      </c>
      <c r="X384" s="9" t="str">
        <f>IF(I384="Tengo un emprendimiento o quiero iniciar uno",CHOOSE(MOD(COUNTIF($I$2:I384,I384)-1,5)+1,"Falta de financiación","Falta de conocimientos administrativos","Falta de conocimientos financieros","Falta de tiempo","Falta de herramientas"),"")</f>
        <v>Falta de conocimientos administrativos</v>
      </c>
      <c r="Y384" s="9" t="str">
        <f t="shared" si="96"/>
        <v>Falta de conocimientos administrativos</v>
      </c>
      <c r="Z384" t="str">
        <f>IF(I384="Tengo un emprendimiento o quiero iniciar uno",CHOOSE(INT(MOD((COUNTIF($I$2:I384,I384)-1)*7,39)/13)+1,"Sí","No","No conozco programas de ese tipo"),"")</f>
        <v>No</v>
      </c>
      <c r="AA384" t="str">
        <f t="shared" si="97"/>
        <v>Puedo hacerlo con ayuda</v>
      </c>
      <c r="AB384" t="str">
        <f t="shared" si="97"/>
        <v>Puedo hacerlo con ayuda</v>
      </c>
      <c r="AC384" t="str">
        <f t="shared" si="98"/>
        <v>Puedo hacerlo con ayuda</v>
      </c>
      <c r="AD384" s="9" t="str">
        <f t="shared" si="99"/>
        <v>Puedo hacerlo con ayuda</v>
      </c>
      <c r="AE384" t="str">
        <f t="shared" si="100"/>
        <v>Puedo hacerlo con dificultad</v>
      </c>
      <c r="AF384" s="9" t="str">
        <f t="shared" si="101"/>
        <v>Herramientas digitales</v>
      </c>
      <c r="AG384" s="9" t="str">
        <f t="shared" si="102"/>
        <v>Horarios;Falta de información</v>
      </c>
      <c r="AH384" t="str">
        <f t="shared" si="103"/>
        <v>No conozco ninguno</v>
      </c>
      <c r="AI384" s="9" t="str">
        <f t="shared" si="104"/>
        <v>Virtual</v>
      </c>
      <c r="AJ384" s="9" t="str">
        <f t="shared" si="105"/>
        <v>Diurno</v>
      </c>
      <c r="AK384" s="9" t="str">
        <f t="shared" si="106"/>
        <v>Redes sociales</v>
      </c>
    </row>
    <row r="385" spans="1:37">
      <c r="A385" t="str">
        <f t="shared" si="107"/>
        <v>SG384</v>
      </c>
      <c r="B385" t="s">
        <v>57</v>
      </c>
      <c r="C385" s="9" t="s">
        <v>427</v>
      </c>
      <c r="D385" t="str">
        <f t="shared" si="90"/>
        <v>Femenino</v>
      </c>
      <c r="E385" t="str">
        <f t="shared" si="91"/>
        <v>De 24 a 26 años</v>
      </c>
      <c r="F385">
        <f t="shared" si="92"/>
        <v>24</v>
      </c>
      <c r="G385" t="str">
        <f t="shared" si="108"/>
        <v>Centro poblado</v>
      </c>
      <c r="H385" s="9" t="str">
        <f t="shared" si="93"/>
        <v>Técnico</v>
      </c>
      <c r="I385" s="9" t="str">
        <f t="shared" si="94"/>
        <v>Trabajo de manera independiente</v>
      </c>
      <c r="J385" s="13" t="str">
        <f>IF(I385="Trabajo actualmente como empleado",IF(MOD((COUNTIF($I$2:I385,"Trabajo actualmente como empleado")-1)*37,150)&lt;100,"Empleado con contrato","Empleado sin contrato formal"),IF(I385="Trabajo de manera independiente","Trabajo independiente",""))</f>
        <v>Trabajo independiente</v>
      </c>
      <c r="K385" s="9" t="str">
        <f>IF(OR(I385="Trabajo actualmente como empleado",I385="Trabajo de manera independiente"),CHOOSE(MOD(COUNTIF($I$2:I385,I385)-1,4)+1,"Menos de 3 meses","De 3 a 6 meses","De 7 a 12 meses","Más de un año"),"")</f>
        <v>Menos de 3 meses</v>
      </c>
      <c r="L385" t="str">
        <f>IF(OR(I385="Trabajo actualmente como empleado",I385="Trabajo de manera independiente"),CHOOSE(MOD(COUNTIF($I$2:I385,I385)-1,3)+1,"Sí, completamente","Parcialmente","No"),"")</f>
        <v>Parcialmente</v>
      </c>
      <c r="M385" t="str">
        <f>IF(OR(I385="Trabajo actualmente como empleado",I385="Trabajo de manera independiente"),CHOOSE(MOD(INT((COUNTIF($I$2:I385,I385)-1)/3),4)+1,"1- Muy satisfecho/a","2- Satisfecho/a","3- Insatisfecho/a","4- Muy insatisfecho/a"),"")</f>
        <v>2- Satisfecho/a</v>
      </c>
      <c r="N385" t="str">
        <f>IF(OR(I385="Trabajo actualmente como empleado",I385="Trabajo de manera independiente"),_xlfn.LET(_xlpm.opcion,MOD(INT((COUNTIF($I$2:I385,I385)-1)/5),6)+1,CHOOSE(IF(AND(_xlpm.opcion=6,L385="Sí, completamente"),5,_xlpm.opcion),"Salario","Estabilidad laboral","Horario","Acceso a prestaciones","Oportunidades de crecimiento","Trabajar en un área relacionada con mi formación")),"")</f>
        <v>Salario</v>
      </c>
      <c r="O385" s="9" t="str">
        <f>IF(OR(I385="Trabajo actualmente como empleado",I385="Trabajo de manera independiente"),_xlfn.LET(_xlpm.turno,MOD(COUNTIF($I$2:I385,I385)-1,5),_xlpm.nivel,VALUE(LEFT(M385,1)),IF(_xlpm.turno=4,"No estoy seguro/a",IF(_xlpm.turno&lt;IF(_xlpm.nivel&lt;=2,1,3),"Sí","No"))),"")</f>
        <v>No estoy seguro/a</v>
      </c>
      <c r="P385" s="9" t="str">
        <f>_xlfn.LET(_xlpm.perfil,I385,_xlpm.turno,COUNTIF($I$2:I385,_xlpm.perfil)-1,_xlpm.busca,OR(_xlpm.perfil="Actualmente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trabajar"),IF(AND(_xlpm.trabaja,O385="No"),"Todavía no he iniciado una búsqueda activa",CHOOSE(MOD(_xlpm.turno*3,5)+1,"Menos de 1 mes","Entre 1 y 3 meses","Entre 4 y 6 meses","Más de 6 meses","Todavía no he iniciado una búsqueda activa")),"")))</f>
        <v>Entre 4 y 6 meses</v>
      </c>
      <c r="Q385" t="str">
        <f>IF(I385="Tengo un emprendimiento o quiero iniciar uno","",CHOOSE(MOD(INT((COUNTIF($I$2:I385,I385)-1)/7),3)+1,"Sí","No","Tengo una pero necesito actualizarla"))</f>
        <v>Sí</v>
      </c>
      <c r="R385" s="9" t="str">
        <f>IF(I385="Tengo un emprendimiento o quiero iniciar uno","",IF(I385="Busco mi primer empleo","No",IF(MOD(COUNTIF($I$2:I385,I385)-1,2)=0,"Sí","No")))</f>
        <v>Sí</v>
      </c>
      <c r="S385" t="str">
        <f>IF(I385="Tengo un emprendimiento o quiero iniciar uno","",CHOOSE(MOD(INT((COUNTIF($I$2:I385,I385)-1)/3),10)+1,"Portales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85" t="str">
        <f>IF(I385="Tengo un emprendimiento o quiero iniciar uno","",_xlfn.LET(_xlpm.opcion,MOD(INT((COUNTIF($I$2:I385,I385)-1)/4),6)+1,CHOOSE(IF(AND(_xlpm.opcion=3,Q385="Sí"),1,_xlpm.opcion),"Falta de experiencia","Falta de formación","Dificultades con la hoja de vida","Horarios disponibles","Transporte","Internet")))</f>
        <v>Transporte</v>
      </c>
      <c r="U385" s="9" t="str">
        <f>IF(I385="Tengo un emprendimiento o quiero iniciar uno","",IF(MOD(INT((COUNTIF($I$2:I385,I385)-1)/3),2)=0,"Sí","No"))</f>
        <v>No</v>
      </c>
      <c r="V385" s="9" t="str">
        <f>IF(I385="Tengo un emprendimiento o quiero iniciar uno",CHOOSE(MOD(COUNTIF($I$2:I385,I385)-1,3)+1,"Tengo un emprendimiento","Estoy iniciando un emprendimiento","Me interesa emprender"),"")</f>
        <v/>
      </c>
      <c r="W385" t="str">
        <f t="shared" si="95"/>
        <v/>
      </c>
      <c r="X385" s="9" t="str">
        <f>IF(I385="Tengo un emprendimiento o quiero iniciar uno",CHOOSE(MOD(COUNTIF($I$2:I385,I385)-1,5)+1,"Falta de financiación","Falta de conocimientos administrativos","Falta de conocimientos financieros","Falta de tiempo","Falta de herramientas"),"")</f>
        <v/>
      </c>
      <c r="Y385" s="9" t="str">
        <f t="shared" si="96"/>
        <v/>
      </c>
      <c r="Z385" t="str">
        <f>IF(I385="Tengo un emprendimiento o quiero iniciar uno",CHOOSE(INT(MOD((COUNTIF($I$2:I385,I385)-1)*7,39)/13)+1,"Sí","No","No conozco programas de ese tipo"),"")</f>
        <v/>
      </c>
      <c r="AA385" t="str">
        <f t="shared" si="97"/>
        <v>Puedo hacerlo con dificultad</v>
      </c>
      <c r="AB385" t="str">
        <f t="shared" si="97"/>
        <v>Puedo hacerlo con dificultad</v>
      </c>
      <c r="AC385" t="str">
        <f t="shared" si="98"/>
        <v>Puedo hacerlo con dificultad</v>
      </c>
      <c r="AD385" s="9" t="str">
        <f t="shared" si="99"/>
        <v>Puedo hacerlo con ayuda</v>
      </c>
      <c r="AE385" t="str">
        <f t="shared" si="100"/>
        <v>Puedo hacerlo con dificultad</v>
      </c>
      <c r="AF385" s="9" t="str">
        <f t="shared" si="101"/>
        <v>Educación financiera</v>
      </c>
      <c r="AG385" s="9" t="str">
        <f t="shared" si="102"/>
        <v>Horarios;Falta de información</v>
      </c>
      <c r="AH385" t="str">
        <f t="shared" si="103"/>
        <v>Oficina de orientación laboral</v>
      </c>
      <c r="AI385" s="9" t="str">
        <f t="shared" si="104"/>
        <v>Presencial y virtual</v>
      </c>
      <c r="AJ385" s="9" t="str">
        <f t="shared" si="105"/>
        <v>Mañana entre semana</v>
      </c>
      <c r="AK385" s="9" t="str">
        <f t="shared" si="106"/>
        <v>Celular</v>
      </c>
    </row>
    <row r="386" spans="1:37">
      <c r="A386" t="str">
        <f t="shared" si="107"/>
        <v>SG385</v>
      </c>
      <c r="B386" t="s">
        <v>57</v>
      </c>
      <c r="C386" s="9" t="s">
        <v>427</v>
      </c>
      <c r="D386" t="str">
        <f t="shared" ref="D386:D449" si="109">IF(MOD((ROW()-2)*137,479)&lt;230,"Masculino",IF(MOD((ROW()-2)*137,479)&lt;460,"Femenino",IF(MOD((ROW()-2)*137,479)&lt;470,"Otro","No quiero responder")))</f>
        <v>Femenino</v>
      </c>
      <c r="E386" t="str">
        <f t="shared" ref="E386:E449" si="110">CHOOSE(MOD(ROW()-2,5)+1,"De 18 a 20 años","De 20 a 22 años","De 22 a 24 años","De 24 a 26 años","De 26 a 28 años")</f>
        <v>De 26 a 28 años</v>
      </c>
      <c r="F386">
        <f t="shared" ref="F386:F449" si="111">CHOOSE(MOD(ROW()-2,5)+1,18,20,22,24,26)+MOD(INT((ROW()-2)/5),IF(MOD(ROW()-2,5)=4,3,2))</f>
        <v>27</v>
      </c>
      <c r="G386" t="str">
        <f t="shared" si="108"/>
        <v>Rural</v>
      </c>
      <c r="H386" s="9" t="str">
        <f t="shared" ref="H386:H449" si="112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Profesional</v>
      </c>
      <c r="I386" s="9" t="str">
        <f t="shared" ref="I386:I449" si="113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Busco mi primer empleo</v>
      </c>
      <c r="J386" s="13" t="str">
        <f>IF(I386="Trabajo actualmente como empleado",IF(MOD((COUNTIF($I$2:I386,"Trabajo actualmente como empleado")-1)*37,150)&lt;100,"Empleado con contrato","Empleado sin contrato formal"),IF(I386="Trabajo de manera independiente","Trabajo independiente",""))</f>
        <v/>
      </c>
      <c r="K386" s="9" t="str">
        <f>IF(OR(I386="Trabajo actualmente como empleado",I386="Trabajo de manera independiente"),CHOOSE(MOD(COUNTIF($I$2:I386,I386)-1,4)+1,"Menos de 3 meses","De 3 a 6 meses","De 7 a 12 meses","Más de un año"),"")</f>
        <v/>
      </c>
      <c r="L386" t="str">
        <f>IF(OR(I386="Trabajo actualmente como empleado",I386="Trabajo de manera independiente"),CHOOSE(MOD(COUNTIF($I$2:I386,I386)-1,3)+1,"Sí, completamente","Parcialmente","No"),"")</f>
        <v/>
      </c>
      <c r="M386" t="str">
        <f>IF(OR(I386="Trabajo actualmente como empleado",I386="Trabajo de manera independiente"),CHOOSE(MOD(INT((COUNTIF($I$2:I386,I386)-1)/3),4)+1,"1- Muy satisfecho/a","2- Satisfecho/a","3- Insatisfecho/a","4- Muy insatisfecho/a"),"")</f>
        <v/>
      </c>
      <c r="N386" t="str">
        <f>IF(OR(I386="Trabajo actualmente como empleado",I386="Trabajo de manera independiente"),_xlfn.LET(_xlpm.opcion,MOD(INT((COUNTIF($I$2:I386,I386)-1)/5),6)+1,CHOOSE(IF(AND(_xlpm.opcion=6,L386="Sí, completamente"),5,_xlpm.opcion),"Salario","Estabilidad laboral","Horario","Acceso a prestaciones","Oportunidades de crecimiento","Trabajar en un área relacionada con mi formación")),"")</f>
        <v/>
      </c>
      <c r="O386" s="9" t="str">
        <f>IF(OR(I386="Trabajo actualmente como empleado",I386="Trabajo de manera independiente"),_xlfn.LET(_xlpm.turno,MOD(COUNTIF($I$2:I386,I386)-1,5),_xlpm.nivel,VALUE(LEFT(M386,1)),IF(_xlpm.turno=4,"No estoy seguro/a",IF(_xlpm.turno&lt;IF(_xlpm.nivel&lt;=2,1,3),"Sí","No"))),"")</f>
        <v/>
      </c>
      <c r="P386" s="9" t="str">
        <f>_xlfn.LET(_xlpm.perfil,I386,_xlpm.turno,COUNTIF($I$2:I386,_xlpm.perfil)-1,_xlpm.busca,OR(_xlpm.perfil="Actualmente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trabajar"),IF(AND(_xlpm.trabaja,O386="No"),"Todavía no he iniciado una búsqueda activa",CHOOSE(MOD(_xlpm.turno*3,5)+1,"Menos de 1 mes","Entre 1 y 3 meses","Entre 4 y 6 meses","Más de 6 meses","Todavía no he iniciado una búsqueda activa")),"")))</f>
        <v>Más de 6 meses</v>
      </c>
      <c r="Q386" t="str">
        <f>IF(I386="Tengo un emprendimiento o quiero iniciar uno","",CHOOSE(MOD(INT((COUNTIF($I$2:I386,I386)-1)/7),3)+1,"Sí","No","Tengo una pero necesito actualizarla"))</f>
        <v>No</v>
      </c>
      <c r="R386" s="9" t="str">
        <f>IF(I386="Tengo un emprendimiento o quiero iniciar uno","",IF(I386="Busco mi primer empleo","No",IF(MOD(COUNTIF($I$2:I386,I386)-1,2)=0,"Sí","No")))</f>
        <v>No</v>
      </c>
      <c r="S386" t="str">
        <f>IF(I386="Tengo un emprendimiento o quiero iniciar uno","",CHOOSE(MOD(INT((COUNTIF($I$2:I386,I386)-1)/3),10)+1,"Portales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386" t="str">
        <f>IF(I386="Tengo un emprendimiento o quiero iniciar uno","",_xlfn.LET(_xlpm.opcion,MOD(INT((COUNTIF($I$2:I386,I386)-1)/4),6)+1,CHOOSE(IF(AND(_xlpm.opcion=3,Q386="Sí"),1,_xlpm.opcion),"Falta de experiencia","Falta de formación","Dificultades con la hoja de vida","Horarios disponibles","Transporte","Internet")))</f>
        <v>Falta de experiencia</v>
      </c>
      <c r="U386" s="9" t="str">
        <f>IF(I386="Tengo un emprendimiento o quiero iniciar uno","",IF(MOD(INT((COUNTIF($I$2:I386,I386)-1)/3),2)=0,"Sí","No"))</f>
        <v>Sí</v>
      </c>
      <c r="V386" s="9" t="str">
        <f>IF(I386="Tengo un emprendimiento o quiero iniciar uno",CHOOSE(MOD(COUNTIF($I$2:I386,I386)-1,3)+1,"Tengo un emprendimiento","Estoy iniciando un emprendimiento","Me interesa emprender"),"")</f>
        <v/>
      </c>
      <c r="W386" t="str">
        <f t="shared" ref="W386:W449" si="114">IF(V386="Tengo un emprendimiento","Funcionamiento estable",IF(V386="Estoy iniciando un emprendimiento","Inicio",""))</f>
        <v/>
      </c>
      <c r="X386" s="9" t="str">
        <f>IF(I386="Tengo un emprendimiento o quiero iniciar uno",CHOOSE(MOD(COUNTIF($I$2:I386,I386)-1,5)+1,"Falta de financiación","Falta de conocimientos administrativos","Falta de conocimientos financieros","Falta de tiempo","Falta de herramientas"),"")</f>
        <v/>
      </c>
      <c r="Y386" s="9" t="str">
        <f t="shared" ref="Y386:Y449" si="115">IF(I386="Tengo un emprendimiento o quiero iniciar uno",X386,"")</f>
        <v/>
      </c>
      <c r="Z386" t="str">
        <f>IF(I386="Tengo un emprendimiento o quiero iniciar uno",CHOOSE(INT(MOD((COUNTIF($I$2:I386,I386)-1)*7,39)/13)+1,"Sí","No","No conozco programas de ese tipo"),"")</f>
        <v/>
      </c>
      <c r="AA386" t="str">
        <f t="shared" ref="AA386:AB449" si="116">CHOOSE(INT(MOD((ROW()-2)*191,479)/120)+1,"No puedo hacerlo","Puedo hacerlo con ayuda","Puedo hacerlo con dificultad","Puedo hacerlo sin ayuda")</f>
        <v>No puedo hacerlo</v>
      </c>
      <c r="AB386" t="str">
        <f t="shared" si="116"/>
        <v>No puedo hacerlo</v>
      </c>
      <c r="AC386" t="str">
        <f t="shared" ref="AC386:AC449" si="117">CHOOSE(INT(MOD((ROW()-2)*157+83,479)/120)+1,"No puedo hacerlo","Puedo hacerlo con ayuda","Puedo hacerlo con dificultad","Puedo hacerlo sin ayuda")</f>
        <v>No puedo hacerlo</v>
      </c>
      <c r="AD386" s="9" t="str">
        <f t="shared" ref="AD386:AD449" si="118">CHOOSE(INT(MOD((ROW()-2)*89+131,479)/120)+1,"No puedo hacerlo","Puedo hacerlo con ayuda","Puedo hacerlo con dificultad","Puedo hacerlo sin ayuda")</f>
        <v>Puedo hacerlo con dificultad</v>
      </c>
      <c r="AE386" t="str">
        <f t="shared" ref="AE386:AE449" si="119">CHOOSE(INT(MOD((ROW()-2)*73+179,479)/120)+1,"No puedo hacerlo","Puedo hacerlo con ayuda","Puedo hacerlo con dificultad","Puedo hacerlo sin ayuda")</f>
        <v>Puedo hacerlo sin ayuda</v>
      </c>
      <c r="AF386" s="9" t="str">
        <f t="shared" ref="AF386:AF449" si="120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Crear una hoja de vida;Preparación para entrevista</v>
      </c>
      <c r="AG386" s="9" t="str">
        <f t="shared" ref="AG386:AG449" si="121">CHOOSE(MOD(INT((ROW()-2)/3)*7,9)+1,"Costos de transporte","Distancia","Horarios","Falta de experiencia","Falta de información","Ninguna","Costos de transporte;Distancia","Horarios;Falta de información","Falta de experiencia;Falta de información")</f>
        <v>Ninguna</v>
      </c>
      <c r="AH386" t="str">
        <f t="shared" ref="AH386:AH449" si="122">CHOOSE(INT(MOD((ROW()-2)*199+59,479)/120)+1,"Oficina de orientación laboral","Ferias de empleo","Programas de emprendimiento","No conozco ninguno")</f>
        <v>Programas de emprendimiento</v>
      </c>
      <c r="AI386" s="9" t="str">
        <f t="shared" ref="AI386:AI449" si="123">CHOOSE(INT(MOD((ROW()-2)*127+71,479)/120)+1,"Presencial","Virtual","Presencial y virtual","Me es indiferente")</f>
        <v>Me es indiferente</v>
      </c>
      <c r="AJ386" s="9" t="str">
        <f t="shared" ref="AJ386:AJ449" si="124">CHOOSE(INT(MOD((ROW()-2)*163+97,479)/120)+1,"Diurno","Nocturno","Mañana entre semana","Fines de semana")</f>
        <v>Fines de semana</v>
      </c>
      <c r="AK386" s="9" t="str">
        <f t="shared" ref="AK386:AK449" si="125">CHOOSE(INT(MOD((ROW()-2)*181+109,479)/120)+1,"WhatsApp","Correo electrónico","Redes sociales","Celular")</f>
        <v>Correo electrónico</v>
      </c>
    </row>
    <row r="387" spans="1:37">
      <c r="A387" t="str">
        <f t="shared" ref="A387:A450" si="126">"SG"&amp;TEXT(ROW()-1,"000")</f>
        <v>SG386</v>
      </c>
      <c r="B387" t="s">
        <v>57</v>
      </c>
      <c r="C387" s="9" t="s">
        <v>427</v>
      </c>
      <c r="D387" t="str">
        <f t="shared" si="109"/>
        <v>Masculino</v>
      </c>
      <c r="E387" t="str">
        <f t="shared" si="110"/>
        <v>De 18 a 20 años</v>
      </c>
      <c r="F387">
        <f t="shared" si="111"/>
        <v>19</v>
      </c>
      <c r="G387" t="str">
        <f t="shared" si="108"/>
        <v>Centro poblado</v>
      </c>
      <c r="H387" s="9" t="str">
        <f t="shared" si="112"/>
        <v>Técnico</v>
      </c>
      <c r="I387" s="9" t="str">
        <f t="shared" si="113"/>
        <v>Trabajo actualmente como empleado</v>
      </c>
      <c r="J387" s="13" t="str">
        <f>IF(I387="Trabajo actualmente como empleado",IF(MOD((COUNTIF($I$2:I387,"Trabajo actualmente como empleado")-1)*37,150)&lt;100,"Empleado con contrato","Empleado sin contrato formal"),IF(I387="Trabajo de manera independiente","Trabajo independiente",""))</f>
        <v>Empleado con contrato</v>
      </c>
      <c r="K387" s="9" t="str">
        <f>IF(OR(I387="Trabajo actualmente como empleado",I387="Trabajo de manera independiente"),CHOOSE(MOD(COUNTIF($I$2:I387,I387)-1,4)+1,"Menos de 3 meses","De 3 a 6 meses","De 7 a 12 meses","Más de un año"),"")</f>
        <v>Menos de 3 meses</v>
      </c>
      <c r="L387" t="str">
        <f>IF(OR(I387="Trabajo actualmente como empleado",I387="Trabajo de manera independiente"),CHOOSE(MOD(COUNTIF($I$2:I387,I387)-1,3)+1,"Sí, completamente","Parcialmente","No"),"")</f>
        <v>Sí, completamente</v>
      </c>
      <c r="M387" t="str">
        <f>IF(OR(I387="Trabajo actualmente como empleado",I387="Trabajo de manera independiente"),CHOOSE(MOD(INT((COUNTIF($I$2:I387,I387)-1)/3),4)+1,"1- Muy satisfecho/a","2- Satisfecho/a","3- Insatisfecho/a","4- Muy insatisfecho/a"),"")</f>
        <v>1- Muy satisfecho/a</v>
      </c>
      <c r="N387" t="str">
        <f>IF(OR(I387="Trabajo actualmente como empleado",I387="Trabajo de manera independiente"),_xlfn.LET(_xlpm.opcion,MOD(INT((COUNTIF($I$2:I387,I387)-1)/5),6)+1,CHOOSE(IF(AND(_xlpm.opcion=6,L387="Sí, completamente"),5,_xlpm.opcion),"Salario","Estabilidad laboral","Horario","Acceso a prestaciones","Oportunidades de crecimiento","Trabajar en un área relacionada con mi formación")),"")</f>
        <v>Salario</v>
      </c>
      <c r="O387" s="9" t="str">
        <f>IF(OR(I387="Trabajo actualmente como empleado",I387="Trabajo de manera independiente"),_xlfn.LET(_xlpm.turno,MOD(COUNTIF($I$2:I387,I387)-1,5),_xlpm.nivel,VALUE(LEFT(M387,1)),IF(_xlpm.turno=4,"No estoy seguro/a",IF(_xlpm.turno&lt;IF(_xlpm.nivel&lt;=2,1,3),"Sí","No"))),"")</f>
        <v>Sí</v>
      </c>
      <c r="P387" s="9" t="str">
        <f>_xlfn.LET(_xlpm.perfil,I387,_xlpm.turno,COUNTIF($I$2:I387,_xlpm.perfil)-1,_xlpm.busca,OR(_xlpm.perfil="Actualmente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trabajar"),IF(AND(_xlpm.trabaja,O387="No"),"Todavía no he iniciado una búsqueda activa",CHOOSE(MOD(_xlpm.turno*3,5)+1,"Menos de 1 mes","Entre 1 y 3 meses","Entre 4 y 6 meses","Más de 6 meses","Todavía no he iniciado una búsqueda activa")),"")))</f>
        <v>Menos de 1 mes</v>
      </c>
      <c r="Q387" t="str">
        <f>IF(I387="Tengo un emprendimiento o quiero iniciar uno","",CHOOSE(MOD(INT((COUNTIF($I$2:I387,I387)-1)/7),3)+1,"Sí","No","Tengo una pero necesito actualizarla"))</f>
        <v>Tengo una pero necesito actualizarla</v>
      </c>
      <c r="R387" s="9" t="str">
        <f>IF(I387="Tengo un emprendimiento o quiero iniciar uno","",IF(I387="Busco mi primer empleo","No",IF(MOD(COUNTIF($I$2:I387,I387)-1,2)=0,"Sí","No")))</f>
        <v>Sí</v>
      </c>
      <c r="S387" t="str">
        <f>IF(I387="Tengo un emprendimiento o quiero iniciar uno","",CHOOSE(MOD(INT((COUNTIF($I$2:I387,I387)-1)/3),10)+1,"Portales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87" t="str">
        <f>IF(I387="Tengo un emprendimiento o quiero iniciar uno","",_xlfn.LET(_xlpm.opcion,MOD(INT((COUNTIF($I$2:I387,I387)-1)/4),6)+1,CHOOSE(IF(AND(_xlpm.opcion=3,Q387="Sí"),1,_xlpm.opcion),"Falta de experiencia","Falta de formación","Dificultades con la hoja de vida","Horarios disponibles","Transporte","Internet")))</f>
        <v>Falta de experiencia</v>
      </c>
      <c r="U387" s="9" t="str">
        <f>IF(I387="Tengo un emprendimiento o quiero iniciar uno","",IF(MOD(INT((COUNTIF($I$2:I387,I387)-1)/3),2)=0,"Sí","No"))</f>
        <v>Sí</v>
      </c>
      <c r="V387" s="9" t="str">
        <f>IF(I387="Tengo un emprendimiento o quiero iniciar uno",CHOOSE(MOD(COUNTIF($I$2:I387,I387)-1,3)+1,"Tengo un emprendimiento","Estoy iniciando un emprendimiento","Me interesa emprender"),"")</f>
        <v/>
      </c>
      <c r="W387" t="str">
        <f t="shared" si="114"/>
        <v/>
      </c>
      <c r="X387" s="9" t="str">
        <f>IF(I387="Tengo un emprendimiento o quiero iniciar uno",CHOOSE(MOD(COUNTIF($I$2:I387,I387)-1,5)+1,"Falta de financiación","Falta de conocimientos administrativos","Falta de conocimientos financieros","Falta de tiempo","Falta de herramientas"),"")</f>
        <v/>
      </c>
      <c r="Y387" s="9" t="str">
        <f t="shared" si="115"/>
        <v/>
      </c>
      <c r="Z387" t="str">
        <f>IF(I387="Tengo un emprendimiento o quiero iniciar uno",CHOOSE(INT(MOD((COUNTIF($I$2:I387,I387)-1)*7,39)/13)+1,"Sí","No","No conozco programas de ese tipo"),"")</f>
        <v/>
      </c>
      <c r="AA387" t="str">
        <f t="shared" si="116"/>
        <v>Puedo hacerlo con dificultad</v>
      </c>
      <c r="AB387" t="str">
        <f t="shared" si="116"/>
        <v>Puedo hacerlo con dificultad</v>
      </c>
      <c r="AC387" t="str">
        <f t="shared" si="117"/>
        <v>Puedo hacerlo con ayuda</v>
      </c>
      <c r="AD387" s="9" t="str">
        <f t="shared" si="118"/>
        <v>Puedo hacerlo sin ayuda</v>
      </c>
      <c r="AE387" t="str">
        <f t="shared" si="119"/>
        <v>No puedo hacerlo</v>
      </c>
      <c r="AF387" s="9" t="str">
        <f t="shared" si="120"/>
        <v>Comunicación;Liderazgo</v>
      </c>
      <c r="AG387" s="9" t="str">
        <f t="shared" si="121"/>
        <v>Ninguna</v>
      </c>
      <c r="AH387" t="str">
        <f t="shared" si="122"/>
        <v>Oficina de orientación laboral</v>
      </c>
      <c r="AI387" s="9" t="str">
        <f t="shared" si="123"/>
        <v>Presencial</v>
      </c>
      <c r="AJ387" s="9" t="str">
        <f t="shared" si="124"/>
        <v>Diurno</v>
      </c>
      <c r="AK387" s="9" t="str">
        <f t="shared" si="125"/>
        <v>Redes sociales</v>
      </c>
    </row>
    <row r="388" spans="1:37">
      <c r="A388" t="str">
        <f t="shared" si="126"/>
        <v>SG387</v>
      </c>
      <c r="B388" t="s">
        <v>57</v>
      </c>
      <c r="C388" s="9" t="s">
        <v>427</v>
      </c>
      <c r="D388" t="str">
        <f t="shared" si="109"/>
        <v>Masculino</v>
      </c>
      <c r="E388" t="str">
        <f t="shared" si="110"/>
        <v>De 20 a 22 años</v>
      </c>
      <c r="F388">
        <f t="shared" si="111"/>
        <v>21</v>
      </c>
      <c r="G388" t="str">
        <f t="shared" si="108"/>
        <v>Rural</v>
      </c>
      <c r="H388" s="9" t="str">
        <f t="shared" si="112"/>
        <v>Técnico</v>
      </c>
      <c r="I388" s="9" t="str">
        <f t="shared" si="113"/>
        <v>Trabajo de manera independiente</v>
      </c>
      <c r="J388" s="13" t="str">
        <f>IF(I388="Trabajo actualmente como empleado",IF(MOD((COUNTIF($I$2:I388,"Trabajo actualmente como empleado")-1)*37,150)&lt;100,"Empleado con contrato","Empleado sin contrato formal"),IF(I388="Trabajo de manera independiente","Trabajo independiente",""))</f>
        <v>Trabajo independiente</v>
      </c>
      <c r="K388" s="9" t="str">
        <f>IF(OR(I388="Trabajo actualmente como empleado",I388="Trabajo de manera independiente"),CHOOSE(MOD(COUNTIF($I$2:I388,I388)-1,4)+1,"Menos de 3 meses","De 3 a 6 meses","De 7 a 12 meses","Más de un año"),"")</f>
        <v>De 3 a 6 meses</v>
      </c>
      <c r="L388" t="str">
        <f>IF(OR(I388="Trabajo actualmente como empleado",I388="Trabajo de manera independiente"),CHOOSE(MOD(COUNTIF($I$2:I388,I388)-1,3)+1,"Sí, completamente","Parcialmente","No"),"")</f>
        <v>No</v>
      </c>
      <c r="M388" t="str">
        <f>IF(OR(I388="Trabajo actualmente como empleado",I388="Trabajo de manera independiente"),CHOOSE(MOD(INT((COUNTIF($I$2:I388,I388)-1)/3),4)+1,"1- Muy satisfecho/a","2- Satisfecho/a","3- Insatisfecho/a","4- Muy insatisfecho/a"),"")</f>
        <v>2- Satisfecho/a</v>
      </c>
      <c r="N388" t="str">
        <f>IF(OR(I388="Trabajo actualmente como empleado",I388="Trabajo de manera independiente"),_xlfn.LET(_xlpm.opcion,MOD(INT((COUNTIF($I$2:I388,I388)-1)/5),6)+1,CHOOSE(IF(AND(_xlpm.opcion=6,L388="Sí, completamente"),5,_xlpm.opcion),"Salario","Estabilidad laboral","Horario","Acceso a prestaciones","Oportunidades de crecimiento","Trabajar en un área relacionada con mi formación")),"")</f>
        <v>Estabilidad laboral</v>
      </c>
      <c r="O388" s="9" t="str">
        <f>IF(OR(I388="Trabajo actualmente como empleado",I388="Trabajo de manera independiente"),_xlfn.LET(_xlpm.turno,MOD(COUNTIF($I$2:I388,I388)-1,5),_xlpm.nivel,VALUE(LEFT(M388,1)),IF(_xlpm.turno=4,"No estoy seguro/a",IF(_xlpm.turno&lt;IF(_xlpm.nivel&lt;=2,1,3),"Sí","No"))),"")</f>
        <v>Sí</v>
      </c>
      <c r="P388" s="9" t="str">
        <f>_xlfn.LET(_xlpm.perfil,I388,_xlpm.turno,COUNTIF($I$2:I388,_xlpm.perfil)-1,_xlpm.busca,OR(_xlpm.perfil="Actualmente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trabajar"),IF(AND(_xlpm.trabaja,O388="No"),"Todavía no he iniciado una búsqueda activa",CHOOSE(MOD(_xlpm.turno*3,5)+1,"Menos de 1 mes","Entre 1 y 3 meses","Entre 4 y 6 meses","Más de 6 meses","Todavía no he iniciado una búsqueda activa")),"")))</f>
        <v>Menos de 1 mes</v>
      </c>
      <c r="Q388" t="str">
        <f>IF(I388="Tengo un emprendimiento o quiero iniciar uno","",CHOOSE(MOD(INT((COUNTIF($I$2:I388,I388)-1)/7),3)+1,"Sí","No","Tengo una pero necesito actualizarla"))</f>
        <v>Sí</v>
      </c>
      <c r="R388" s="9" t="str">
        <f>IF(I388="Tengo un emprendimiento o quiero iniciar uno","",IF(I388="Busco mi primer empleo","No",IF(MOD(COUNTIF($I$2:I388,I388)-1,2)=0,"Sí","No")))</f>
        <v>No</v>
      </c>
      <c r="S388" t="str">
        <f>IF(I388="Tengo un emprendimiento o quiero iniciar uno","",CHOOSE(MOD(INT((COUNTIF($I$2:I388,I388)-1)/3),10)+1,"Portales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88" t="str">
        <f>IF(I388="Tengo un emprendimiento o quiero iniciar uno","",_xlfn.LET(_xlpm.opcion,MOD(INT((COUNTIF($I$2:I388,I388)-1)/4),6)+1,CHOOSE(IF(AND(_xlpm.opcion=3,Q388="Sí"),1,_xlpm.opcion),"Falta de experiencia","Falta de formación","Dificultades con la hoja de vida","Horarios disponibles","Transporte","Internet")))</f>
        <v>Transporte</v>
      </c>
      <c r="U388" s="9" t="str">
        <f>IF(I388="Tengo un emprendimiento o quiero iniciar uno","",IF(MOD(INT((COUNTIF($I$2:I388,I388)-1)/3),2)=0,"Sí","No"))</f>
        <v>No</v>
      </c>
      <c r="V388" s="9" t="str">
        <f>IF(I388="Tengo un emprendimiento o quiero iniciar uno",CHOOSE(MOD(COUNTIF($I$2:I388,I388)-1,3)+1,"Tengo un emprendimiento","Estoy iniciando un emprendimiento","Me interesa emprender"),"")</f>
        <v/>
      </c>
      <c r="W388" t="str">
        <f t="shared" si="114"/>
        <v/>
      </c>
      <c r="X388" s="9" t="str">
        <f>IF(I388="Tengo un emprendimiento o quiero iniciar uno",CHOOSE(MOD(COUNTIF($I$2:I388,I388)-1,5)+1,"Falta de financiación","Falta de conocimientos administrativos","Falta de conocimientos financieros","Falta de tiempo","Falta de herramientas"),"")</f>
        <v/>
      </c>
      <c r="Y388" s="9" t="str">
        <f t="shared" si="115"/>
        <v/>
      </c>
      <c r="Z388" t="str">
        <f>IF(I388="Tengo un emprendimiento o quiero iniciar uno",CHOOSE(INT(MOD((COUNTIF($I$2:I388,I388)-1)*7,39)/13)+1,"Sí","No","No conozco programas de ese tipo"),"")</f>
        <v/>
      </c>
      <c r="AA388" t="str">
        <f t="shared" si="116"/>
        <v>Puedo hacerlo sin ayuda</v>
      </c>
      <c r="AB388" t="str">
        <f t="shared" si="116"/>
        <v>Puedo hacerlo sin ayuda</v>
      </c>
      <c r="AC388" t="str">
        <f t="shared" si="117"/>
        <v>Puedo hacerlo con dificultad</v>
      </c>
      <c r="AD388" s="9" t="str">
        <f t="shared" si="118"/>
        <v>Puedo hacerlo sin ayuda</v>
      </c>
      <c r="AE388" t="str">
        <f t="shared" si="119"/>
        <v>No puedo hacerlo</v>
      </c>
      <c r="AF388" s="9" t="str">
        <f t="shared" si="120"/>
        <v>Herramientas digitales;Educación financiera</v>
      </c>
      <c r="AG388" s="9" t="str">
        <f t="shared" si="121"/>
        <v>Ninguna</v>
      </c>
      <c r="AH388" t="str">
        <f t="shared" si="122"/>
        <v>Ferias de empleo</v>
      </c>
      <c r="AI388" s="9" t="str">
        <f t="shared" si="123"/>
        <v>Virtual</v>
      </c>
      <c r="AJ388" s="9" t="str">
        <f t="shared" si="124"/>
        <v>Mañana entre semana</v>
      </c>
      <c r="AK388" s="9" t="str">
        <f t="shared" si="125"/>
        <v>WhatsApp</v>
      </c>
    </row>
    <row r="389" spans="1:37">
      <c r="A389" t="str">
        <f t="shared" si="126"/>
        <v>SG388</v>
      </c>
      <c r="B389" t="s">
        <v>57</v>
      </c>
      <c r="C389" s="9" t="s">
        <v>427</v>
      </c>
      <c r="D389" t="str">
        <f t="shared" si="109"/>
        <v>Femenino</v>
      </c>
      <c r="E389" t="str">
        <f t="shared" si="110"/>
        <v>De 22 a 24 años</v>
      </c>
      <c r="F389">
        <f t="shared" si="111"/>
        <v>23</v>
      </c>
      <c r="G389" t="str">
        <f t="shared" si="108"/>
        <v>Centro poblado</v>
      </c>
      <c r="H389" s="9" t="str">
        <f t="shared" si="112"/>
        <v>Tecnólogo</v>
      </c>
      <c r="I389" s="9" t="str">
        <f t="shared" si="113"/>
        <v>Busco mi primer empleo</v>
      </c>
      <c r="J389" s="13" t="str">
        <f>IF(I389="Trabajo actualmente como empleado",IF(MOD((COUNTIF($I$2:I389,"Trabajo actualmente como empleado")-1)*37,150)&lt;100,"Empleado con contrato","Empleado sin contrato formal"),IF(I389="Trabajo de manera independiente","Trabajo independiente",""))</f>
        <v/>
      </c>
      <c r="K389" s="9" t="str">
        <f>IF(OR(I389="Trabajo actualmente como empleado",I389="Trabajo de manera independiente"),CHOOSE(MOD(COUNTIF($I$2:I389,I389)-1,4)+1,"Menos de 3 meses","De 3 a 6 meses","De 7 a 12 meses","Más de un año"),"")</f>
        <v/>
      </c>
      <c r="L389" t="str">
        <f>IF(OR(I389="Trabajo actualmente como empleado",I389="Trabajo de manera independiente"),CHOOSE(MOD(COUNTIF($I$2:I389,I389)-1,3)+1,"Sí, completamente","Parcialmente","No"),"")</f>
        <v/>
      </c>
      <c r="M389" t="str">
        <f>IF(OR(I389="Trabajo actualmente como empleado",I389="Trabajo de manera independiente"),CHOOSE(MOD(INT((COUNTIF($I$2:I389,I389)-1)/3),4)+1,"1- Muy satisfecho/a","2- Satisfecho/a","3- Insatisfecho/a","4- Muy insatisfecho/a"),"")</f>
        <v/>
      </c>
      <c r="N389" t="str">
        <f>IF(OR(I389="Trabajo actualmente como empleado",I389="Trabajo de manera independiente"),_xlfn.LET(_xlpm.opcion,MOD(INT((COUNTIF($I$2:I389,I389)-1)/5),6)+1,CHOOSE(IF(AND(_xlpm.opcion=6,L389="Sí, completamente"),5,_xlpm.opcion),"Salario","Estabilidad laboral","Horario","Acceso a prestaciones","Oportunidades de crecimiento","Trabajar en un área relacionada con mi formación")),"")</f>
        <v/>
      </c>
      <c r="O389" s="9" t="str">
        <f>IF(OR(I389="Trabajo actualmente como empleado",I389="Trabajo de manera independiente"),_xlfn.LET(_xlpm.turno,MOD(COUNTIF($I$2:I389,I389)-1,5),_xlpm.nivel,VALUE(LEFT(M389,1)),IF(_xlpm.turno=4,"No estoy seguro/a",IF(_xlpm.turno&lt;IF(_xlpm.nivel&lt;=2,1,3),"Sí","No"))),"")</f>
        <v/>
      </c>
      <c r="P389" s="9" t="str">
        <f>_xlfn.LET(_xlpm.perfil,I389,_xlpm.turno,COUNTIF($I$2:I389,_xlpm.perfil)-1,_xlpm.busca,OR(_xlpm.perfil="Actualmente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trabajar"),IF(AND(_xlpm.trabaja,O389="No"),"Todavía no he iniciado una búsqueda activa",CHOOSE(MOD(_xlpm.turno*3,5)+1,"Menos de 1 mes","Entre 1 y 3 meses","Entre 4 y 6 meses","Más de 6 meses","Todavía no he iniciado una búsqueda activa")),"")))</f>
        <v>Entre 4 y 6 meses</v>
      </c>
      <c r="Q389" t="str">
        <f>IF(I389="Tengo un emprendimiento o quiero iniciar uno","",CHOOSE(MOD(INT((COUNTIF($I$2:I389,I389)-1)/7),3)+1,"Sí","No","Tengo una pero necesito actualizarla"))</f>
        <v>No</v>
      </c>
      <c r="R389" s="9" t="str">
        <f>IF(I389="Tengo un emprendimiento o quiero iniciar uno","",IF(I389="Busco mi primer empleo","No",IF(MOD(COUNTIF($I$2:I389,I389)-1,2)=0,"Sí","No")))</f>
        <v>No</v>
      </c>
      <c r="S389" t="str">
        <f>IF(I389="Tengo un emprendimiento o quiero iniciar uno","",CHOOSE(MOD(INT((COUNTIF($I$2:I389,I389)-1)/3),10)+1,"Portales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389" t="str">
        <f>IF(I389="Tengo un emprendimiento o quiero iniciar uno","",_xlfn.LET(_xlpm.opcion,MOD(INT((COUNTIF($I$2:I389,I389)-1)/4),6)+1,CHOOSE(IF(AND(_xlpm.opcion=3,Q389="Sí"),1,_xlpm.opcion),"Falta de experiencia","Falta de formación","Dificultades con la hoja de vida","Horarios disponibles","Transporte","Internet")))</f>
        <v>Falta de experiencia</v>
      </c>
      <c r="U389" s="9" t="str">
        <f>IF(I389="Tengo un emprendimiento o quiero iniciar uno","",IF(MOD(INT((COUNTIF($I$2:I389,I389)-1)/3),2)=0,"Sí","No"))</f>
        <v>Sí</v>
      </c>
      <c r="V389" s="9" t="str">
        <f>IF(I389="Tengo un emprendimiento o quiero iniciar uno",CHOOSE(MOD(COUNTIF($I$2:I389,I389)-1,3)+1,"Tengo un emprendimiento","Estoy iniciando un emprendimiento","Me interesa emprender"),"")</f>
        <v/>
      </c>
      <c r="W389" t="str">
        <f t="shared" si="114"/>
        <v/>
      </c>
      <c r="X389" s="9" t="str">
        <f>IF(I389="Tengo un emprendimiento o quiero iniciar uno",CHOOSE(MOD(COUNTIF($I$2:I389,I389)-1,5)+1,"Falta de financiación","Falta de conocimientos administrativos","Falta de conocimientos financieros","Falta de tiempo","Falta de herramientas"),"")</f>
        <v/>
      </c>
      <c r="Y389" s="9" t="str">
        <f t="shared" si="115"/>
        <v/>
      </c>
      <c r="Z389" t="str">
        <f>IF(I389="Tengo un emprendimiento o quiero iniciar uno",CHOOSE(INT(MOD((COUNTIF($I$2:I389,I389)-1)*7,39)/13)+1,"Sí","No","No conozco programas de ese tipo"),"")</f>
        <v/>
      </c>
      <c r="AA389" t="str">
        <f t="shared" si="116"/>
        <v>Puedo hacerlo con ayuda</v>
      </c>
      <c r="AB389" t="str">
        <f t="shared" si="116"/>
        <v>Puedo hacerlo con ayuda</v>
      </c>
      <c r="AC389" t="str">
        <f t="shared" si="117"/>
        <v>No puedo hacerlo</v>
      </c>
      <c r="AD389" s="9" t="str">
        <f t="shared" si="118"/>
        <v>No puedo hacerlo</v>
      </c>
      <c r="AE389" t="str">
        <f t="shared" si="119"/>
        <v>Puedo hacerlo con ayuda</v>
      </c>
      <c r="AF389" s="9" t="str">
        <f t="shared" si="120"/>
        <v>Crear una hoja de vida</v>
      </c>
      <c r="AG389" s="9" t="str">
        <f t="shared" si="121"/>
        <v>Falta de experiencia</v>
      </c>
      <c r="AH389" t="str">
        <f t="shared" si="122"/>
        <v>No conozco ninguno</v>
      </c>
      <c r="AI389" s="9" t="str">
        <f t="shared" si="123"/>
        <v>Me es indiferente</v>
      </c>
      <c r="AJ389" s="9" t="str">
        <f t="shared" si="124"/>
        <v>Fines de semana</v>
      </c>
      <c r="AK389" s="9" t="str">
        <f t="shared" si="125"/>
        <v>Correo electrónico</v>
      </c>
    </row>
    <row r="390" spans="1:37">
      <c r="A390" t="str">
        <f t="shared" si="126"/>
        <v>SG389</v>
      </c>
      <c r="B390" t="s">
        <v>57</v>
      </c>
      <c r="C390" s="9" t="s">
        <v>427</v>
      </c>
      <c r="D390" t="str">
        <f t="shared" si="109"/>
        <v>Otro</v>
      </c>
      <c r="E390" t="str">
        <f t="shared" si="110"/>
        <v>De 24 a 26 años</v>
      </c>
      <c r="F390">
        <f t="shared" si="111"/>
        <v>25</v>
      </c>
      <c r="G390" t="str">
        <f t="shared" si="108"/>
        <v>Rural</v>
      </c>
      <c r="H390" s="9" t="str">
        <f t="shared" si="112"/>
        <v>Profesional</v>
      </c>
      <c r="I390" s="9" t="str">
        <f t="shared" si="113"/>
        <v>Trabajo actualmente como empleado</v>
      </c>
      <c r="J390" s="13" t="str">
        <f>IF(I390="Trabajo actualmente como empleado",IF(MOD((COUNTIF($I$2:I390,"Trabajo actualmente como empleado")-1)*37,150)&lt;100,"Empleado con contrato","Empleado sin contrato formal"),IF(I390="Trabajo de manera independiente","Trabajo independiente",""))</f>
        <v>Empleado sin contrato formal</v>
      </c>
      <c r="K390" s="9" t="str">
        <f>IF(OR(I390="Trabajo actualmente como empleado",I390="Trabajo de manera independiente"),CHOOSE(MOD(COUNTIF($I$2:I390,I390)-1,4)+1,"Menos de 3 meses","De 3 a 6 meses","De 7 a 12 meses","Más de un año"),"")</f>
        <v>De 3 a 6 meses</v>
      </c>
      <c r="L390" t="str">
        <f>IF(OR(I390="Trabajo actualmente como empleado",I390="Trabajo de manera independiente"),CHOOSE(MOD(COUNTIF($I$2:I390,I390)-1,3)+1,"Sí, completamente","Parcialmente","No"),"")</f>
        <v>Parcialmente</v>
      </c>
      <c r="M390" t="str">
        <f>IF(OR(I390="Trabajo actualmente como empleado",I390="Trabajo de manera independiente"),CHOOSE(MOD(INT((COUNTIF($I$2:I390,I390)-1)/3),4)+1,"1- Muy satisfecho/a","2- Satisfecho/a","3- Insatisfecho/a","4- Muy insatisfecho/a"),"")</f>
        <v>1- Muy satisfecho/a</v>
      </c>
      <c r="N390" t="str">
        <f>IF(OR(I390="Trabajo actualmente como empleado",I390="Trabajo de manera independiente"),_xlfn.LET(_xlpm.opcion,MOD(INT((COUNTIF($I$2:I390,I390)-1)/5),6)+1,CHOOSE(IF(AND(_xlpm.opcion=6,L390="Sí, completamente"),5,_xlpm.opcion),"Salario","Estabilidad laboral","Horario","Acceso a prestaciones","Oportunidades de crecimiento","Trabajar en un área relacionada con mi formación")),"")</f>
        <v>Salario</v>
      </c>
      <c r="O390" s="9" t="str">
        <f>IF(OR(I390="Trabajo actualmente como empleado",I390="Trabajo de manera independiente"),_xlfn.LET(_xlpm.turno,MOD(COUNTIF($I$2:I390,I390)-1,5),_xlpm.nivel,VALUE(LEFT(M390,1)),IF(_xlpm.turno=4,"No estoy seguro/a",IF(_xlpm.turno&lt;IF(_xlpm.nivel&lt;=2,1,3),"Sí","No"))),"")</f>
        <v>No</v>
      </c>
      <c r="P390" s="9" t="str">
        <f>_xlfn.LET(_xlpm.perfil,I390,_xlpm.turno,COUNTIF($I$2:I390,_xlpm.perfil)-1,_xlpm.busca,OR(_xlpm.perfil="Actualmente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90" t="str">
        <f>IF(I390="Tengo un emprendimiento o quiero iniciar uno","",CHOOSE(MOD(INT((COUNTIF($I$2:I390,I390)-1)/7),3)+1,"Sí","No","Tengo una pero necesito actualizarla"))</f>
        <v>Tengo una pero necesito actualizarla</v>
      </c>
      <c r="R390" s="9" t="str">
        <f>IF(I390="Tengo un emprendimiento o quiero iniciar uno","",IF(I390="Busco mi primer empleo","No",IF(MOD(COUNTIF($I$2:I390,I390)-1,2)=0,"Sí","No")))</f>
        <v>No</v>
      </c>
      <c r="S390" t="str">
        <f>IF(I390="Tengo un emprendimiento o quiero iniciar uno","",CHOOSE(MOD(INT((COUNTIF($I$2:I390,I390)-1)/3),10)+1,"Portales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90" t="str">
        <f>IF(I390="Tengo un emprendimiento o quiero iniciar uno","",_xlfn.LET(_xlpm.opcion,MOD(INT((COUNTIF($I$2:I390,I390)-1)/4),6)+1,CHOOSE(IF(AND(_xlpm.opcion=3,Q390="Sí"),1,_xlpm.opcion),"Falta de experiencia","Falta de formación","Dificultades con la hoja de vida","Horarios disponibles","Transporte","Internet")))</f>
        <v>Falta de experiencia</v>
      </c>
      <c r="U390" s="9" t="str">
        <f>IF(I390="Tengo un emprendimiento o quiero iniciar uno","",IF(MOD(INT((COUNTIF($I$2:I390,I390)-1)/3),2)=0,"Sí","No"))</f>
        <v>Sí</v>
      </c>
      <c r="V390" s="9" t="str">
        <f>IF(I390="Tengo un emprendimiento o quiero iniciar uno",CHOOSE(MOD(COUNTIF($I$2:I390,I390)-1,3)+1,"Tengo un emprendimiento","Estoy iniciando un emprendimiento","Me interesa emprender"),"")</f>
        <v/>
      </c>
      <c r="W390" t="str">
        <f t="shared" si="114"/>
        <v/>
      </c>
      <c r="X390" s="9" t="str">
        <f>IF(I390="Tengo un emprendimiento o quiero iniciar uno",CHOOSE(MOD(COUNTIF($I$2:I390,I390)-1,5)+1,"Falta de financiación","Falta de conocimientos administrativos","Falta de conocimientos financieros","Falta de tiempo","Falta de herramientas"),"")</f>
        <v/>
      </c>
      <c r="Y390" s="9" t="str">
        <f t="shared" si="115"/>
        <v/>
      </c>
      <c r="Z390" t="str">
        <f>IF(I390="Tengo un emprendimiento o quiero iniciar uno",CHOOSE(INT(MOD((COUNTIF($I$2:I390,I390)-1)*7,39)/13)+1,"Sí","No","No conozco programas de ese tipo"),"")</f>
        <v/>
      </c>
      <c r="AA390" t="str">
        <f t="shared" si="116"/>
        <v>Puedo hacerlo con dificultad</v>
      </c>
      <c r="AB390" t="str">
        <f t="shared" si="116"/>
        <v>Puedo hacerlo con dificultad</v>
      </c>
      <c r="AC390" t="str">
        <f t="shared" si="117"/>
        <v>Puedo hacerlo con ayuda</v>
      </c>
      <c r="AD390" s="9" t="str">
        <f t="shared" si="118"/>
        <v>Puedo hacerlo con ayuda</v>
      </c>
      <c r="AE390" t="str">
        <f t="shared" si="119"/>
        <v>Puedo hacerlo con dificultad</v>
      </c>
      <c r="AF390" s="9" t="str">
        <f t="shared" si="120"/>
        <v>Preparación para entrevista</v>
      </c>
      <c r="AG390" s="9" t="str">
        <f t="shared" si="121"/>
        <v>Falta de experiencia</v>
      </c>
      <c r="AH390" t="str">
        <f t="shared" si="122"/>
        <v>Ferias de empleo</v>
      </c>
      <c r="AI390" s="9" t="str">
        <f t="shared" si="123"/>
        <v>Presencial</v>
      </c>
      <c r="AJ390" s="9" t="str">
        <f t="shared" si="124"/>
        <v>Diurno</v>
      </c>
      <c r="AK390" s="9" t="str">
        <f t="shared" si="125"/>
        <v>Celular</v>
      </c>
    </row>
    <row r="391" spans="1:37">
      <c r="A391" t="str">
        <f t="shared" si="126"/>
        <v>SG390</v>
      </c>
      <c r="B391" t="s">
        <v>57</v>
      </c>
      <c r="C391" s="9" t="s">
        <v>427</v>
      </c>
      <c r="D391" t="str">
        <f t="shared" si="109"/>
        <v>Masculino</v>
      </c>
      <c r="E391" t="str">
        <f t="shared" si="110"/>
        <v>De 26 a 28 años</v>
      </c>
      <c r="F391">
        <f t="shared" si="111"/>
        <v>28</v>
      </c>
      <c r="G391" t="str">
        <f t="shared" si="108"/>
        <v>Centro poblado</v>
      </c>
      <c r="H391" s="9" t="str">
        <f t="shared" si="112"/>
        <v>Posgrado</v>
      </c>
      <c r="I391" s="9" t="str">
        <f t="shared" si="113"/>
        <v>Actualmente no trabajo y estoy buscando empleo</v>
      </c>
      <c r="J391" s="13" t="str">
        <f>IF(I391="Trabajo actualmente como empleado",IF(MOD((COUNTIF($I$2:I391,"Trabajo actualmente como empleado")-1)*37,150)&lt;100,"Empleado con contrato","Empleado sin contrato formal"),IF(I391="Trabajo de manera independiente","Trabajo independiente",""))</f>
        <v/>
      </c>
      <c r="K391" s="9" t="str">
        <f>IF(OR(I391="Trabajo actualmente como empleado",I391="Trabajo de manera independiente"),CHOOSE(MOD(COUNTIF($I$2:I391,I391)-1,4)+1,"Menos de 3 meses","De 3 a 6 meses","De 7 a 12 meses","Más de un año"),"")</f>
        <v/>
      </c>
      <c r="L391" t="str">
        <f>IF(OR(I391="Trabajo actualmente como empleado",I391="Trabajo de manera independiente"),CHOOSE(MOD(COUNTIF($I$2:I391,I391)-1,3)+1,"Sí, completamente","Parcialmente","No"),"")</f>
        <v/>
      </c>
      <c r="M391" t="str">
        <f>IF(OR(I391="Trabajo actualmente como empleado",I391="Trabajo de manera independiente"),CHOOSE(MOD(INT((COUNTIF($I$2:I391,I391)-1)/3),4)+1,"1- Muy satisfecho/a","2- Satisfecho/a","3- Insatisfecho/a","4- Muy insatisfecho/a"),"")</f>
        <v/>
      </c>
      <c r="N391" t="str">
        <f>IF(OR(I391="Trabajo actualmente como empleado",I391="Trabajo de manera independiente"),_xlfn.LET(_xlpm.opcion,MOD(INT((COUNTIF($I$2:I391,I391)-1)/5),6)+1,CHOOSE(IF(AND(_xlpm.opcion=6,L391="Sí, completamente"),5,_xlpm.opcion),"Salario","Estabilidad laboral","Horario","Acceso a prestaciones","Oportunidades de crecimiento","Trabajar en un área relacionada con mi formación")),"")</f>
        <v/>
      </c>
      <c r="O391" s="9" t="str">
        <f>IF(OR(I391="Trabajo actualmente como empleado",I391="Trabajo de manera independiente"),_xlfn.LET(_xlpm.turno,MOD(COUNTIF($I$2:I391,I391)-1,5),_xlpm.nivel,VALUE(LEFT(M391,1)),IF(_xlpm.turno=4,"No estoy seguro/a",IF(_xlpm.turno&lt;IF(_xlpm.nivel&lt;=2,1,3),"Sí","No"))),"")</f>
        <v/>
      </c>
      <c r="P391" s="9" t="str">
        <f>_xlfn.LET(_xlpm.perfil,I391,_xlpm.turno,COUNTIF($I$2:I391,_xlpm.perfil)-1,_xlpm.busca,OR(_xlpm.perfil="Actualmente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trabajar"),IF(AND(_xlpm.trabaja,O391="No"),"Todavía no he iniciado una búsqueda activa",CHOOSE(MOD(_xlpm.turno*3,5)+1,"Menos de 1 mes","Entre 1 y 3 meses","Entre 4 y 6 meses","Más de 6 meses","Todavía no he iniciado una búsqueda activa")),"")))</f>
        <v>Entre 1 y 3 meses</v>
      </c>
      <c r="Q391" t="str">
        <f>IF(I391="Tengo un emprendimiento o quiero iniciar uno","",CHOOSE(MOD(INT((COUNTIF($I$2:I391,I391)-1)/7),3)+1,"Sí","No","Tengo una pero necesito actualizarla"))</f>
        <v>No</v>
      </c>
      <c r="R391" s="9" t="str">
        <f>IF(I391="Tengo un emprendimiento o quiero iniciar uno","",IF(I391="Busco mi primer empleo","No",IF(MOD(COUNTIF($I$2:I391,I391)-1,2)=0,"Sí","No")))</f>
        <v>No</v>
      </c>
      <c r="S391" t="str">
        <f>IF(I391="Tengo un emprendimiento o quiero iniciar uno","",CHOOSE(MOD(INT((COUNTIF($I$2:I391,I391)-1)/3),10)+1,"Portales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391" t="str">
        <f>IF(I391="Tengo un emprendimiento o quiero iniciar uno","",_xlfn.LET(_xlpm.opcion,MOD(INT((COUNTIF($I$2:I391,I391)-1)/4),6)+1,CHOOSE(IF(AND(_xlpm.opcion=3,Q391="Sí"),1,_xlpm.opcion),"Falta de experiencia","Falta de formación","Dificultades con la hoja de vida","Horarios disponibles","Transporte","Internet")))</f>
        <v>Internet</v>
      </c>
      <c r="U391" s="9" t="str">
        <f>IF(I391="Tengo un emprendimiento o quiero iniciar uno","",IF(MOD(INT((COUNTIF($I$2:I391,I391)-1)/3),2)=0,"Sí","No"))</f>
        <v>No</v>
      </c>
      <c r="V391" s="9" t="str">
        <f>IF(I391="Tengo un emprendimiento o quiero iniciar uno",CHOOSE(MOD(COUNTIF($I$2:I391,I391)-1,3)+1,"Tengo un emprendimiento","Estoy iniciando un emprendimiento","Me interesa emprender"),"")</f>
        <v/>
      </c>
      <c r="W391" t="str">
        <f t="shared" si="114"/>
        <v/>
      </c>
      <c r="X391" s="9" t="str">
        <f>IF(I391="Tengo un emprendimiento o quiero iniciar uno",CHOOSE(MOD(COUNTIF($I$2:I391,I391)-1,5)+1,"Falta de financiación","Falta de conocimientos administrativos","Falta de conocimientos financieros","Falta de tiempo","Falta de herramientas"),"")</f>
        <v/>
      </c>
      <c r="Y391" s="9" t="str">
        <f t="shared" si="115"/>
        <v/>
      </c>
      <c r="Z391" t="str">
        <f>IF(I391="Tengo un emprendimiento o quiero iniciar uno",CHOOSE(INT(MOD((COUNTIF($I$2:I391,I391)-1)*7,39)/13)+1,"Sí","No","No conozco programas de ese tipo"),"")</f>
        <v/>
      </c>
      <c r="AA391" t="str">
        <f t="shared" si="116"/>
        <v>No puedo hacerlo</v>
      </c>
      <c r="AB391" t="str">
        <f t="shared" si="116"/>
        <v>No puedo hacerlo</v>
      </c>
      <c r="AC391" t="str">
        <f t="shared" si="117"/>
        <v>Puedo hacerlo con dificultad</v>
      </c>
      <c r="AD391" s="9" t="str">
        <f t="shared" si="118"/>
        <v>Puedo hacerlo con dificultad</v>
      </c>
      <c r="AE391" t="str">
        <f t="shared" si="119"/>
        <v>Puedo hacerlo con dificultad</v>
      </c>
      <c r="AF391" s="9" t="str">
        <f t="shared" si="120"/>
        <v>Comunicación</v>
      </c>
      <c r="AG391" s="9" t="str">
        <f t="shared" si="121"/>
        <v>Falta de experiencia</v>
      </c>
      <c r="AH391" t="str">
        <f t="shared" si="122"/>
        <v>Programas de emprendimiento</v>
      </c>
      <c r="AI391" s="9" t="str">
        <f t="shared" si="123"/>
        <v>Virtual</v>
      </c>
      <c r="AJ391" s="9" t="str">
        <f t="shared" si="124"/>
        <v>Mañana entre semana</v>
      </c>
      <c r="AK391" s="9" t="str">
        <f t="shared" si="125"/>
        <v>WhatsApp</v>
      </c>
    </row>
    <row r="392" spans="1:37">
      <c r="A392" t="str">
        <f t="shared" si="126"/>
        <v>SG391</v>
      </c>
      <c r="B392" t="s">
        <v>57</v>
      </c>
      <c r="C392" s="9" t="s">
        <v>427</v>
      </c>
      <c r="D392" t="str">
        <f t="shared" si="109"/>
        <v>Femenino</v>
      </c>
      <c r="E392" t="str">
        <f t="shared" si="110"/>
        <v>De 18 a 20 años</v>
      </c>
      <c r="F392">
        <f t="shared" si="111"/>
        <v>18</v>
      </c>
      <c r="G392" t="str">
        <f t="shared" si="108"/>
        <v>Rural</v>
      </c>
      <c r="H392" s="9" t="str">
        <f t="shared" si="112"/>
        <v>Bachiller</v>
      </c>
      <c r="I392" s="9" t="str">
        <f t="shared" si="113"/>
        <v>Estudio y quiero comenzar a trabajar</v>
      </c>
      <c r="J392" s="13" t="str">
        <f>IF(I392="Trabajo actualmente como empleado",IF(MOD((COUNTIF($I$2:I392,"Trabajo actualmente como empleado")-1)*37,150)&lt;100,"Empleado con contrato","Empleado sin contrato formal"),IF(I392="Trabajo de manera independiente","Trabajo independiente",""))</f>
        <v/>
      </c>
      <c r="K392" s="9" t="str">
        <f>IF(OR(I392="Trabajo actualmente como empleado",I392="Trabajo de manera independiente"),CHOOSE(MOD(COUNTIF($I$2:I392,I392)-1,4)+1,"Menos de 3 meses","De 3 a 6 meses","De 7 a 12 meses","Más de un año"),"")</f>
        <v/>
      </c>
      <c r="L392" t="str">
        <f>IF(OR(I392="Trabajo actualmente como empleado",I392="Trabajo de manera independiente"),CHOOSE(MOD(COUNTIF($I$2:I392,I392)-1,3)+1,"Sí, completamente","Parcialmente","No"),"")</f>
        <v/>
      </c>
      <c r="M392" t="str">
        <f>IF(OR(I392="Trabajo actualmente como empleado",I392="Trabajo de manera independiente"),CHOOSE(MOD(INT((COUNTIF($I$2:I392,I392)-1)/3),4)+1,"1- Muy satisfecho/a","2- Satisfecho/a","3- Insatisfecho/a","4- Muy insatisfecho/a"),"")</f>
        <v/>
      </c>
      <c r="N392" t="str">
        <f>IF(OR(I392="Trabajo actualmente como empleado",I392="Trabajo de manera independiente"),_xlfn.LET(_xlpm.opcion,MOD(INT((COUNTIF($I$2:I392,I392)-1)/5),6)+1,CHOOSE(IF(AND(_xlpm.opcion=6,L392="Sí, completamente"),5,_xlpm.opcion),"Salario","Estabilidad laboral","Horario","Acceso a prestaciones","Oportunidades de crecimiento","Trabajar en un área relacionada con mi formación")),"")</f>
        <v/>
      </c>
      <c r="O392" s="9" t="str">
        <f>IF(OR(I392="Trabajo actualmente como empleado",I392="Trabajo de manera independiente"),_xlfn.LET(_xlpm.turno,MOD(COUNTIF($I$2:I392,I392)-1,5),_xlpm.nivel,VALUE(LEFT(M392,1)),IF(_xlpm.turno=4,"No estoy seguro/a",IF(_xlpm.turno&lt;IF(_xlpm.nivel&lt;=2,1,3),"Sí","No"))),"")</f>
        <v/>
      </c>
      <c r="P392" s="9" t="str">
        <f>_xlfn.LET(_xlpm.perfil,I392,_xlpm.turno,COUNTIF($I$2:I392,_xlpm.perfil)-1,_xlpm.busca,OR(_xlpm.perfil="Actualmente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trabajar"),IF(AND(_xlpm.trabaja,O392="No"),"Todavía no he iniciado una búsqueda activa",CHOOSE(MOD(_xlpm.turno*3,5)+1,"Menos de 1 mes","Entre 1 y 3 meses","Entre 4 y 6 meses","Más de 6 meses","Todavía no he iniciado una búsqueda activa")),"")))</f>
        <v>Entre 1 y 3 meses</v>
      </c>
      <c r="Q392" t="str">
        <f>IF(I392="Tengo un emprendimiento o quiero iniciar uno","",CHOOSE(MOD(INT((COUNTIF($I$2:I392,I392)-1)/7),3)+1,"Sí","No","Tengo una pero necesito actualizarla"))</f>
        <v>Sí</v>
      </c>
      <c r="R392" s="9" t="str">
        <f>IF(I392="Tengo un emprendimiento o quiero iniciar uno","",IF(I392="Busco mi primer empleo","No",IF(MOD(COUNTIF($I$2:I392,I392)-1,2)=0,"Sí","No")))</f>
        <v>No</v>
      </c>
      <c r="S392" t="str">
        <f>IF(I392="Tengo un emprendimiento o quiero iniciar uno","",CHOOSE(MOD(INT((COUNTIF($I$2:I392,I392)-1)/3),10)+1,"Portales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392" t="str">
        <f>IF(I392="Tengo un emprendimiento o quiero iniciar uno","",_xlfn.LET(_xlpm.opcion,MOD(INT((COUNTIF($I$2:I392,I392)-1)/4),6)+1,CHOOSE(IF(AND(_xlpm.opcion=3,Q392="Sí"),1,_xlpm.opcion),"Falta de experiencia","Falta de formación","Dificultades con la hoja de vida","Horarios disponibles","Transporte","Internet")))</f>
        <v>Internet</v>
      </c>
      <c r="U392" s="9" t="str">
        <f>IF(I392="Tengo un emprendimiento o quiero iniciar uno","",IF(MOD(INT((COUNTIF($I$2:I392,I392)-1)/3),2)=0,"Sí","No"))</f>
        <v>No</v>
      </c>
      <c r="V392" s="9" t="str">
        <f>IF(I392="Tengo un emprendimiento o quiero iniciar uno",CHOOSE(MOD(COUNTIF($I$2:I392,I392)-1,3)+1,"Tengo un emprendimiento","Estoy iniciando un emprendimiento","Me interesa emprender"),"")</f>
        <v/>
      </c>
      <c r="W392" t="str">
        <f t="shared" si="114"/>
        <v/>
      </c>
      <c r="X392" s="9" t="str">
        <f>IF(I392="Tengo un emprendimiento o quiero iniciar uno",CHOOSE(MOD(COUNTIF($I$2:I392,I392)-1,5)+1,"Falta de financiación","Falta de conocimientos administrativos","Falta de conocimientos financieros","Falta de tiempo","Falta de herramientas"),"")</f>
        <v/>
      </c>
      <c r="Y392" s="9" t="str">
        <f t="shared" si="115"/>
        <v/>
      </c>
      <c r="Z392" t="str">
        <f>IF(I392="Tengo un emprendimiento o quiero iniciar uno",CHOOSE(INT(MOD((COUNTIF($I$2:I392,I392)-1)*7,39)/13)+1,"Sí","No","No conozco programas de ese tipo"),"")</f>
        <v/>
      </c>
      <c r="AA392" t="str">
        <f t="shared" si="116"/>
        <v>Puedo hacerlo con dificultad</v>
      </c>
      <c r="AB392" t="str">
        <f t="shared" si="116"/>
        <v>Puedo hacerlo con dificultad</v>
      </c>
      <c r="AC392" t="str">
        <f t="shared" si="117"/>
        <v>No puedo hacerlo</v>
      </c>
      <c r="AD392" s="9" t="str">
        <f t="shared" si="118"/>
        <v>Puedo hacerlo con dificultad</v>
      </c>
      <c r="AE392" t="str">
        <f t="shared" si="119"/>
        <v>Puedo hacerlo sin ayuda</v>
      </c>
      <c r="AF392" s="9" t="str">
        <f t="shared" si="120"/>
        <v>Liderazgo</v>
      </c>
      <c r="AG392" s="9" t="str">
        <f t="shared" si="121"/>
        <v>Distancia</v>
      </c>
      <c r="AH392" t="str">
        <f t="shared" si="122"/>
        <v>Oficina de orientación laboral</v>
      </c>
      <c r="AI392" s="9" t="str">
        <f t="shared" si="123"/>
        <v>Presencial y virtual</v>
      </c>
      <c r="AJ392" s="9" t="str">
        <f t="shared" si="124"/>
        <v>Fines de semana</v>
      </c>
      <c r="AK392" s="9" t="str">
        <f t="shared" si="125"/>
        <v>Redes sociales</v>
      </c>
    </row>
    <row r="393" spans="1:37">
      <c r="A393" t="str">
        <f t="shared" si="126"/>
        <v>SG392</v>
      </c>
      <c r="B393" t="s">
        <v>57</v>
      </c>
      <c r="C393" s="9" t="s">
        <v>427</v>
      </c>
      <c r="D393" t="str">
        <f t="shared" si="109"/>
        <v>Femenino</v>
      </c>
      <c r="E393" t="str">
        <f t="shared" si="110"/>
        <v>De 20 a 22 años</v>
      </c>
      <c r="F393">
        <f t="shared" si="111"/>
        <v>20</v>
      </c>
      <c r="G393" t="str">
        <f t="shared" si="108"/>
        <v>Centro poblado</v>
      </c>
      <c r="H393" s="9" t="str">
        <f t="shared" si="112"/>
        <v>Bachiller</v>
      </c>
      <c r="I393" s="9" t="str">
        <f t="shared" si="113"/>
        <v>Trabajo actualmente como empleado</v>
      </c>
      <c r="J393" s="13" t="str">
        <f>IF(I393="Trabajo actualmente como empleado",IF(MOD((COUNTIF($I$2:I393,"Trabajo actualmente como empleado")-1)*37,150)&lt;100,"Empleado con contrato","Empleado sin contrato formal"),IF(I393="Trabajo de manera independiente","Trabajo independiente",""))</f>
        <v>Empleado con contrato</v>
      </c>
      <c r="K393" s="9" t="str">
        <f>IF(OR(I393="Trabajo actualmente como empleado",I393="Trabajo de manera independiente"),CHOOSE(MOD(COUNTIF($I$2:I393,I393)-1,4)+1,"Menos de 3 meses","De 3 a 6 meses","De 7 a 12 meses","Más de un año"),"")</f>
        <v>De 7 a 12 meses</v>
      </c>
      <c r="L393" t="str">
        <f>IF(OR(I393="Trabajo actualmente como empleado",I393="Trabajo de manera independiente"),CHOOSE(MOD(COUNTIF($I$2:I393,I393)-1,3)+1,"Sí, completamente","Parcialmente","No"),"")</f>
        <v>No</v>
      </c>
      <c r="M393" t="str">
        <f>IF(OR(I393="Trabajo actualmente como empleado",I393="Trabajo de manera independiente"),CHOOSE(MOD(INT((COUNTIF($I$2:I393,I393)-1)/3),4)+1,"1- Muy satisfecho/a","2- Satisfecho/a","3- Insatisfecho/a","4- Muy insatisfecho/a"),"")</f>
        <v>1- Muy satisfecho/a</v>
      </c>
      <c r="N393" t="str">
        <f>IF(OR(I393="Trabajo actualmente como empleado",I393="Trabajo de manera independiente"),_xlfn.LET(_xlpm.opcion,MOD(INT((COUNTIF($I$2:I393,I393)-1)/5),6)+1,CHOOSE(IF(AND(_xlpm.opcion=6,L393="Sí, completamente"),5,_xlpm.opcion),"Salario","Estabilidad laboral","Horario","Acceso a prestaciones","Oportunidades de crecimiento","Trabajar en un área relacionada con mi formación")),"")</f>
        <v>Salario</v>
      </c>
      <c r="O393" s="9" t="str">
        <f>IF(OR(I393="Trabajo actualmente como empleado",I393="Trabajo de manera independiente"),_xlfn.LET(_xlpm.turno,MOD(COUNTIF($I$2:I393,I393)-1,5),_xlpm.nivel,VALUE(LEFT(M393,1)),IF(_xlpm.turno=4,"No estoy seguro/a",IF(_xlpm.turno&lt;IF(_xlpm.nivel&lt;=2,1,3),"Sí","No"))),"")</f>
        <v>No</v>
      </c>
      <c r="P393" s="9" t="str">
        <f>_xlfn.LET(_xlpm.perfil,I393,_xlpm.turno,COUNTIF($I$2:I393,_xlpm.perfil)-1,_xlpm.busca,OR(_xlpm.perfil="Actualmente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93" t="str">
        <f>IF(I393="Tengo un emprendimiento o quiero iniciar uno","",CHOOSE(MOD(INT((COUNTIF($I$2:I393,I393)-1)/7),3)+1,"Sí","No","Tengo una pero necesito actualizarla"))</f>
        <v>Tengo una pero necesito actualizarla</v>
      </c>
      <c r="R393" s="9" t="str">
        <f>IF(I393="Tengo un emprendimiento o quiero iniciar uno","",IF(I393="Busco mi primer empleo","No",IF(MOD(COUNTIF($I$2:I393,I393)-1,2)=0,"Sí","No")))</f>
        <v>Sí</v>
      </c>
      <c r="S393" t="str">
        <f>IF(I393="Tengo un emprendimiento o quiero iniciar uno","",CHOOSE(MOD(INT((COUNTIF($I$2:I393,I393)-1)/3),10)+1,"Portales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</v>
      </c>
      <c r="T393" t="str">
        <f>IF(I393="Tengo un emprendimiento o quiero iniciar uno","",_xlfn.LET(_xlpm.opcion,MOD(INT((COUNTIF($I$2:I393,I393)-1)/4),6)+1,CHOOSE(IF(AND(_xlpm.opcion=3,Q393="Sí"),1,_xlpm.opcion),"Falta de experiencia","Falta de formación","Dificultades con la hoja de vida","Horarios disponibles","Transporte","Internet")))</f>
        <v>Falta de experiencia</v>
      </c>
      <c r="U393" s="9" t="str">
        <f>IF(I393="Tengo un emprendimiento o quiero iniciar uno","",IF(MOD(INT((COUNTIF($I$2:I393,I393)-1)/3),2)=0,"Sí","No"))</f>
        <v>Sí</v>
      </c>
      <c r="V393" s="9" t="str">
        <f>IF(I393="Tengo un emprendimiento o quiero iniciar uno",CHOOSE(MOD(COUNTIF($I$2:I393,I393)-1,3)+1,"Tengo un emprendimiento","Estoy iniciando un emprendimiento","Me interesa emprender"),"")</f>
        <v/>
      </c>
      <c r="W393" t="str">
        <f t="shared" si="114"/>
        <v/>
      </c>
      <c r="X393" s="9" t="str">
        <f>IF(I393="Tengo un emprendimiento o quiero iniciar uno",CHOOSE(MOD(COUNTIF($I$2:I393,I393)-1,5)+1,"Falta de financiación","Falta de conocimientos administrativos","Falta de conocimientos financieros","Falta de tiempo","Falta de herramientas"),"")</f>
        <v/>
      </c>
      <c r="Y393" s="9" t="str">
        <f t="shared" si="115"/>
        <v/>
      </c>
      <c r="Z393" t="str">
        <f>IF(I393="Tengo un emprendimiento o quiero iniciar uno",CHOOSE(INT(MOD((COUNTIF($I$2:I393,I393)-1)*7,39)/13)+1,"Sí","No","No conozco programas de ese tipo"),"")</f>
        <v/>
      </c>
      <c r="AA393" t="str">
        <f t="shared" si="116"/>
        <v>Puedo hacerlo sin ayuda</v>
      </c>
      <c r="AB393" t="str">
        <f t="shared" si="116"/>
        <v>Puedo hacerlo sin ayuda</v>
      </c>
      <c r="AC393" t="str">
        <f t="shared" si="117"/>
        <v>Puedo hacerlo con ayuda</v>
      </c>
      <c r="AD393" s="9" t="str">
        <f t="shared" si="118"/>
        <v>Puedo hacerlo sin ayuda</v>
      </c>
      <c r="AE393" t="str">
        <f t="shared" si="119"/>
        <v>Puedo hacerlo sin ayuda</v>
      </c>
      <c r="AF393" s="9" t="str">
        <f t="shared" si="120"/>
        <v>Emprendimiento</v>
      </c>
      <c r="AG393" s="9" t="str">
        <f t="shared" si="121"/>
        <v>Distancia</v>
      </c>
      <c r="AH393" t="str">
        <f t="shared" si="122"/>
        <v>Programas de emprendimiento</v>
      </c>
      <c r="AI393" s="9" t="str">
        <f t="shared" si="123"/>
        <v>Me es indiferente</v>
      </c>
      <c r="AJ393" s="9" t="str">
        <f t="shared" si="124"/>
        <v>Nocturno</v>
      </c>
      <c r="AK393" s="9" t="str">
        <f t="shared" si="125"/>
        <v>Celular</v>
      </c>
    </row>
    <row r="394" spans="1:37">
      <c r="A394" t="str">
        <f t="shared" si="126"/>
        <v>SG393</v>
      </c>
      <c r="B394" t="s">
        <v>57</v>
      </c>
      <c r="C394" s="9" t="s">
        <v>427</v>
      </c>
      <c r="D394" t="str">
        <f t="shared" si="109"/>
        <v>Masculino</v>
      </c>
      <c r="E394" t="str">
        <f t="shared" si="110"/>
        <v>De 22 a 24 años</v>
      </c>
      <c r="F394">
        <f t="shared" si="111"/>
        <v>22</v>
      </c>
      <c r="G394" t="str">
        <f t="shared" si="108"/>
        <v>Rural</v>
      </c>
      <c r="H394" s="9" t="str">
        <f t="shared" si="112"/>
        <v>Bachiller</v>
      </c>
      <c r="I394" s="9" t="str">
        <f t="shared" si="113"/>
        <v>Actualmente no trabajo y estoy buscando empleo</v>
      </c>
      <c r="J394" s="13" t="str">
        <f>IF(I394="Trabajo actualmente como empleado",IF(MOD((COUNTIF($I$2:I394,"Trabajo actualmente como empleado")-1)*37,150)&lt;100,"Empleado con contrato","Empleado sin contrato formal"),IF(I394="Trabajo de manera independiente","Trabajo independiente",""))</f>
        <v/>
      </c>
      <c r="K394" s="9" t="str">
        <f>IF(OR(I394="Trabajo actualmente como empleado",I394="Trabajo de manera independiente"),CHOOSE(MOD(COUNTIF($I$2:I394,I394)-1,4)+1,"Menos de 3 meses","De 3 a 6 meses","De 7 a 12 meses","Más de un año"),"")</f>
        <v/>
      </c>
      <c r="L394" t="str">
        <f>IF(OR(I394="Trabajo actualmente como empleado",I394="Trabajo de manera independiente"),CHOOSE(MOD(COUNTIF($I$2:I394,I394)-1,3)+1,"Sí, completamente","Parcialmente","No"),"")</f>
        <v/>
      </c>
      <c r="M394" t="str">
        <f>IF(OR(I394="Trabajo actualmente como empleado",I394="Trabajo de manera independiente"),CHOOSE(MOD(INT((COUNTIF($I$2:I394,I394)-1)/3),4)+1,"1- Muy satisfecho/a","2- Satisfecho/a","3- Insatisfecho/a","4- Muy insatisfecho/a"),"")</f>
        <v/>
      </c>
      <c r="N394" t="str">
        <f>IF(OR(I394="Trabajo actualmente como empleado",I394="Trabajo de manera independiente"),_xlfn.LET(_xlpm.opcion,MOD(INT((COUNTIF($I$2:I394,I394)-1)/5),6)+1,CHOOSE(IF(AND(_xlpm.opcion=6,L394="Sí, completamente"),5,_xlpm.opcion),"Salario","Estabilidad laboral","Horario","Acceso a prestaciones","Oportunidades de crecimiento","Trabajar en un área relacionada con mi formación")),"")</f>
        <v/>
      </c>
      <c r="O394" s="9" t="str">
        <f>IF(OR(I394="Trabajo actualmente como empleado",I394="Trabajo de manera independiente"),_xlfn.LET(_xlpm.turno,MOD(COUNTIF($I$2:I394,I394)-1,5),_xlpm.nivel,VALUE(LEFT(M394,1)),IF(_xlpm.turno=4,"No estoy seguro/a",IF(_xlpm.turno&lt;IF(_xlpm.nivel&lt;=2,1,3),"Sí","No"))),"")</f>
        <v/>
      </c>
      <c r="P394" s="9" t="str">
        <f>_xlfn.LET(_xlpm.perfil,I394,_xlpm.turno,COUNTIF($I$2:I394,_xlpm.perfil)-1,_xlpm.busca,OR(_xlpm.perfil="Actualmente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trabajar"),IF(AND(_xlpm.trabaja,O394="No"),"Todavía no he iniciado una búsqueda activa",CHOOSE(MOD(_xlpm.turno*3,5)+1,"Menos de 1 mes","Entre 1 y 3 meses","Entre 4 y 6 meses","Más de 6 meses","Todavía no he iniciado una búsqueda activa")),"")))</f>
        <v>Menos de 1 mes</v>
      </c>
      <c r="Q394" t="str">
        <f>IF(I394="Tengo un emprendimiento o quiero iniciar uno","",CHOOSE(MOD(INT((COUNTIF($I$2:I394,I394)-1)/7),3)+1,"Sí","No","Tengo una pero necesito actualizarla"))</f>
        <v>No</v>
      </c>
      <c r="R394" s="9" t="str">
        <f>IF(I394="Tengo un emprendimiento o quiero iniciar uno","",IF(I394="Busco mi primer empleo","No",IF(MOD(COUNTIF($I$2:I394,I394)-1,2)=0,"Sí","No")))</f>
        <v>Sí</v>
      </c>
      <c r="S394" t="str">
        <f>IF(I394="Tengo un emprendimiento o quiero iniciar uno","",CHOOSE(MOD(INT((COUNTIF($I$2:I394,I394)-1)/3),10)+1,"Portales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94" t="str">
        <f>IF(I394="Tengo un emprendimiento o quiero iniciar uno","",_xlfn.LET(_xlpm.opcion,MOD(INT((COUNTIF($I$2:I394,I394)-1)/4),6)+1,CHOOSE(IF(AND(_xlpm.opcion=3,Q394="Sí"),1,_xlpm.opcion),"Falta de experiencia","Falta de formación","Dificultades con la hoja de vida","Horarios disponibles","Transporte","Internet")))</f>
        <v>Falta de experiencia</v>
      </c>
      <c r="U394" s="9" t="str">
        <f>IF(I394="Tengo un emprendimiento o quiero iniciar uno","",IF(MOD(INT((COUNTIF($I$2:I394,I394)-1)/3),2)=0,"Sí","No"))</f>
        <v>Sí</v>
      </c>
      <c r="V394" s="9" t="str">
        <f>IF(I394="Tengo un emprendimiento o quiero iniciar uno",CHOOSE(MOD(COUNTIF($I$2:I394,I394)-1,3)+1,"Tengo un emprendimiento","Estoy iniciando un emprendimiento","Me interesa emprender"),"")</f>
        <v/>
      </c>
      <c r="W394" t="str">
        <f t="shared" si="114"/>
        <v/>
      </c>
      <c r="X394" s="9" t="str">
        <f>IF(I394="Tengo un emprendimiento o quiero iniciar uno",CHOOSE(MOD(COUNTIF($I$2:I394,I394)-1,5)+1,"Falta de financiación","Falta de conocimientos administrativos","Falta de conocimientos financieros","Falta de tiempo","Falta de herramientas"),"")</f>
        <v/>
      </c>
      <c r="Y394" s="9" t="str">
        <f t="shared" si="115"/>
        <v/>
      </c>
      <c r="Z394" t="str">
        <f>IF(I394="Tengo un emprendimiento o quiero iniciar uno",CHOOSE(INT(MOD((COUNTIF($I$2:I394,I394)-1)*7,39)/13)+1,"Sí","No","No conozco programas de ese tipo"),"")</f>
        <v/>
      </c>
      <c r="AA394" t="str">
        <f t="shared" si="116"/>
        <v>Puedo hacerlo con ayuda</v>
      </c>
      <c r="AB394" t="str">
        <f t="shared" si="116"/>
        <v>Puedo hacerlo con ayuda</v>
      </c>
      <c r="AC394" t="str">
        <f t="shared" si="117"/>
        <v>Puedo hacerlo con dificultad</v>
      </c>
      <c r="AD394" s="9" t="str">
        <f t="shared" si="118"/>
        <v>No puedo hacerlo</v>
      </c>
      <c r="AE394" t="str">
        <f t="shared" si="119"/>
        <v>No puedo hacerlo</v>
      </c>
      <c r="AF394" s="9" t="str">
        <f t="shared" si="120"/>
        <v>Herramientas digitales</v>
      </c>
      <c r="AG394" s="9" t="str">
        <f t="shared" si="121"/>
        <v>Distancia</v>
      </c>
      <c r="AH394" t="str">
        <f t="shared" si="122"/>
        <v>No conozco ninguno</v>
      </c>
      <c r="AI394" s="9" t="str">
        <f t="shared" si="123"/>
        <v>Presencial</v>
      </c>
      <c r="AJ394" s="9" t="str">
        <f t="shared" si="124"/>
        <v>Mañana entre semana</v>
      </c>
      <c r="AK394" s="9" t="str">
        <f t="shared" si="125"/>
        <v>Correo electrónico</v>
      </c>
    </row>
    <row r="395" spans="1:37">
      <c r="A395" t="str">
        <f t="shared" si="126"/>
        <v>SG394</v>
      </c>
      <c r="B395" t="s">
        <v>57</v>
      </c>
      <c r="C395" s="9" t="s">
        <v>427</v>
      </c>
      <c r="D395" t="str">
        <f t="shared" si="109"/>
        <v>Masculino</v>
      </c>
      <c r="E395" t="str">
        <f t="shared" si="110"/>
        <v>De 24 a 26 años</v>
      </c>
      <c r="F395">
        <f t="shared" si="111"/>
        <v>24</v>
      </c>
      <c r="G395" t="str">
        <f t="shared" si="108"/>
        <v>Centro poblado</v>
      </c>
      <c r="H395" s="9" t="str">
        <f t="shared" si="112"/>
        <v>Bachiller</v>
      </c>
      <c r="I395" s="9" t="str">
        <f t="shared" si="113"/>
        <v>Tengo un emprendimiento o quiero iniciar uno</v>
      </c>
      <c r="J395" s="13" t="str">
        <f>IF(I395="Trabajo actualmente como empleado",IF(MOD((COUNTIF($I$2:I395,"Trabajo actualmente como empleado")-1)*37,150)&lt;100,"Empleado con contrato","Empleado sin contrato formal"),IF(I395="Trabajo de manera independiente","Trabajo independiente",""))</f>
        <v/>
      </c>
      <c r="K395" s="9" t="str">
        <f>IF(OR(I395="Trabajo actualmente como empleado",I395="Trabajo de manera independiente"),CHOOSE(MOD(COUNTIF($I$2:I395,I395)-1,4)+1,"Menos de 3 meses","De 3 a 6 meses","De 7 a 12 meses","Más de un año"),"")</f>
        <v/>
      </c>
      <c r="L395" t="str">
        <f>IF(OR(I395="Trabajo actualmente como empleado",I395="Trabajo de manera independiente"),CHOOSE(MOD(COUNTIF($I$2:I395,I395)-1,3)+1,"Sí, completamente","Parcialmente","No"),"")</f>
        <v/>
      </c>
      <c r="M395" t="str">
        <f>IF(OR(I395="Trabajo actualmente como empleado",I395="Trabajo de manera independiente"),CHOOSE(MOD(INT((COUNTIF($I$2:I395,I395)-1)/3),4)+1,"1- Muy satisfecho/a","2- Satisfecho/a","3- Insatisfecho/a","4- Muy insatisfecho/a"),"")</f>
        <v/>
      </c>
      <c r="N395" t="str">
        <f>IF(OR(I395="Trabajo actualmente como empleado",I395="Trabajo de manera independiente"),_xlfn.LET(_xlpm.opcion,MOD(INT((COUNTIF($I$2:I395,I395)-1)/5),6)+1,CHOOSE(IF(AND(_xlpm.opcion=6,L395="Sí, completamente"),5,_xlpm.opcion),"Salario","Estabilidad laboral","Horario","Acceso a prestaciones","Oportunidades de crecimiento","Trabajar en un área relacionada con mi formación")),"")</f>
        <v/>
      </c>
      <c r="O395" s="9" t="str">
        <f>IF(OR(I395="Trabajo actualmente como empleado",I395="Trabajo de manera independiente"),_xlfn.LET(_xlpm.turno,MOD(COUNTIF($I$2:I395,I395)-1,5),_xlpm.nivel,VALUE(LEFT(M395,1)),IF(_xlpm.turno=4,"No estoy seguro/a",IF(_xlpm.turno&lt;IF(_xlpm.nivel&lt;=2,1,3),"Sí","No"))),"")</f>
        <v/>
      </c>
      <c r="P395" s="9" t="str">
        <f>_xlfn.LET(_xlpm.perfil,I395,_xlpm.turno,COUNTIF($I$2:I395,_xlpm.perfil)-1,_xlpm.busca,OR(_xlpm.perfil="Actualmente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trabajar"),IF(AND(_xlpm.trabaja,O395="No"),"Todavía no he iniciado una búsqueda activa",CHOOSE(MOD(_xlpm.turno*3,5)+1,"Menos de 1 mes","Entre 1 y 3 meses","Entre 4 y 6 meses","Más de 6 meses","Todavía no he iniciado una búsqueda activa")),"")))</f>
        <v/>
      </c>
      <c r="Q395" t="str">
        <f>IF(I395="Tengo un emprendimiento o quiero iniciar uno","",CHOOSE(MOD(INT((COUNTIF($I$2:I395,I395)-1)/7),3)+1,"Sí","No","Tengo una pero necesito actualizarla"))</f>
        <v/>
      </c>
      <c r="R395" s="9" t="str">
        <f>IF(I395="Tengo un emprendimiento o quiero iniciar uno","",IF(I395="Busco mi primer empleo","No",IF(MOD(COUNTIF($I$2:I395,I395)-1,2)=0,"Sí","No")))</f>
        <v/>
      </c>
      <c r="S395" t="str">
        <f>IF(I395="Tengo un emprendimiento o quiero iniciar uno","",CHOOSE(MOD(INT((COUNTIF($I$2:I395,I395)-1)/3),10)+1,"Portales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395" t="str">
        <f>IF(I395="Tengo un emprendimiento o quiero iniciar uno","",_xlfn.LET(_xlpm.opcion,MOD(INT((COUNTIF($I$2:I395,I395)-1)/4),6)+1,CHOOSE(IF(AND(_xlpm.opcion=3,Q395="Sí"),1,_xlpm.opcion),"Falta de experiencia","Falta de formación","Dificultades con la hoja de vida","Horarios disponibles","Transporte","Internet")))</f>
        <v/>
      </c>
      <c r="U395" s="9" t="str">
        <f>IF(I395="Tengo un emprendimiento o quiero iniciar uno","",IF(MOD(INT((COUNTIF($I$2:I395,I395)-1)/3),2)=0,"Sí","No"))</f>
        <v/>
      </c>
      <c r="V395" s="9" t="str">
        <f>IF(I395="Tengo un emprendimiento o quiero iniciar uno",CHOOSE(MOD(COUNTIF($I$2:I395,I395)-1,3)+1,"Tengo un emprendimiento","Estoy iniciando un emprendimiento","Me interesa emprender"),"")</f>
        <v>Me interesa emprender</v>
      </c>
      <c r="W395" t="str">
        <f t="shared" si="114"/>
        <v/>
      </c>
      <c r="X395" s="9" t="str">
        <f>IF(I395="Tengo un emprendimiento o quiero iniciar uno",CHOOSE(MOD(COUNTIF($I$2:I395,I395)-1,5)+1,"Falta de financiación","Falta de conocimientos administrativos","Falta de conocimientos financieros","Falta de tiempo","Falta de herramientas"),"")</f>
        <v>Falta de conocimientos financieros</v>
      </c>
      <c r="Y395" s="9" t="str">
        <f t="shared" si="115"/>
        <v>Falta de conocimientos financieros</v>
      </c>
      <c r="Z395" t="str">
        <f>IF(I395="Tengo un emprendimiento o quiero iniciar uno",CHOOSE(INT(MOD((COUNTIF($I$2:I395,I395)-1)*7,39)/13)+1,"Sí","No","No conozco programas de ese tipo"),"")</f>
        <v>No conozco programas de ese tipo</v>
      </c>
      <c r="AA395" t="str">
        <f t="shared" si="116"/>
        <v>Puedo hacerlo con dificultad</v>
      </c>
      <c r="AB395" t="str">
        <f t="shared" si="116"/>
        <v>Puedo hacerlo con dificultad</v>
      </c>
      <c r="AC395" t="str">
        <f t="shared" si="117"/>
        <v>Puedo hacerlo sin ayuda</v>
      </c>
      <c r="AD395" s="9" t="str">
        <f t="shared" si="118"/>
        <v>Puedo hacerlo con ayuda</v>
      </c>
      <c r="AE395" t="str">
        <f t="shared" si="119"/>
        <v>Puedo hacerlo con ayuda</v>
      </c>
      <c r="AF395" s="9" t="str">
        <f t="shared" si="120"/>
        <v>Educación financiera</v>
      </c>
      <c r="AG395" s="9" t="str">
        <f t="shared" si="121"/>
        <v>Falta de experiencia;Falta de información</v>
      </c>
      <c r="AH395" t="str">
        <f t="shared" si="122"/>
        <v>Ferias de empleo</v>
      </c>
      <c r="AI395" s="9" t="str">
        <f t="shared" si="123"/>
        <v>Virtual</v>
      </c>
      <c r="AJ395" s="9" t="str">
        <f t="shared" si="124"/>
        <v>Fines de semana</v>
      </c>
      <c r="AK395" s="9" t="str">
        <f t="shared" si="125"/>
        <v>Redes sociales</v>
      </c>
    </row>
    <row r="396" spans="1:37">
      <c r="A396" t="str">
        <f t="shared" si="126"/>
        <v>SG395</v>
      </c>
      <c r="B396" t="s">
        <v>57</v>
      </c>
      <c r="C396" s="9" t="s">
        <v>427</v>
      </c>
      <c r="D396" t="str">
        <f t="shared" si="109"/>
        <v>Femenino</v>
      </c>
      <c r="E396" t="str">
        <f t="shared" si="110"/>
        <v>De 26 a 28 años</v>
      </c>
      <c r="F396">
        <f t="shared" si="111"/>
        <v>26</v>
      </c>
      <c r="G396" t="str">
        <f t="shared" si="108"/>
        <v>Rural</v>
      </c>
      <c r="H396" s="9" t="str">
        <f t="shared" si="112"/>
        <v>Tecnólogo</v>
      </c>
      <c r="I396" s="9" t="str">
        <f t="shared" si="113"/>
        <v>Trabajo actualmente como empleado</v>
      </c>
      <c r="J396" s="13" t="str">
        <f>IF(I396="Trabajo actualmente como empleado",IF(MOD((COUNTIF($I$2:I396,"Trabajo actualmente como empleado")-1)*37,150)&lt;100,"Empleado con contrato","Empleado sin contrato formal"),IF(I396="Trabajo de manera independiente","Trabajo independiente",""))</f>
        <v>Empleado con contrato</v>
      </c>
      <c r="K396" s="9" t="str">
        <f>IF(OR(I396="Trabajo actualmente como empleado",I396="Trabajo de manera independiente"),CHOOSE(MOD(COUNTIF($I$2:I396,I396)-1,4)+1,"Menos de 3 meses","De 3 a 6 meses","De 7 a 12 meses","Más de un año"),"")</f>
        <v>Más de un año</v>
      </c>
      <c r="L396" t="str">
        <f>IF(OR(I396="Trabajo actualmente como empleado",I396="Trabajo de manera independiente"),CHOOSE(MOD(COUNTIF($I$2:I396,I396)-1,3)+1,"Sí, completamente","Parcialmente","No"),"")</f>
        <v>Sí, completamente</v>
      </c>
      <c r="M396" t="str">
        <f>IF(OR(I396="Trabajo actualmente como empleado",I396="Trabajo de manera independiente"),CHOOSE(MOD(INT((COUNTIF($I$2:I396,I396)-1)/3),4)+1,"1- Muy satisfecho/a","2- Satisfecho/a","3- Insatisfecho/a","4- Muy insatisfecho/a"),"")</f>
        <v>2- Satisfecho/a</v>
      </c>
      <c r="N396" t="str">
        <f>IF(OR(I396="Trabajo actualmente como empleado",I396="Trabajo de manera independiente"),_xlfn.LET(_xlpm.opcion,MOD(INT((COUNTIF($I$2:I396,I396)-1)/5),6)+1,CHOOSE(IF(AND(_xlpm.opcion=6,L396="Sí, completamente"),5,_xlpm.opcion),"Salario","Estabilidad laboral","Horario","Acceso a prestaciones","Oportunidades de crecimiento","Trabajar en un área relacionada con mi formación")),"")</f>
        <v>Salario</v>
      </c>
      <c r="O396" s="9" t="str">
        <f>IF(OR(I396="Trabajo actualmente como empleado",I396="Trabajo de manera independiente"),_xlfn.LET(_xlpm.turno,MOD(COUNTIF($I$2:I396,I396)-1,5),_xlpm.nivel,VALUE(LEFT(M396,1)),IF(_xlpm.turno=4,"No estoy seguro/a",IF(_xlpm.turno&lt;IF(_xlpm.nivel&lt;=2,1,3),"Sí","No"))),"")</f>
        <v>No</v>
      </c>
      <c r="P396" s="9" t="str">
        <f>_xlfn.LET(_xlpm.perfil,I396,_xlpm.turno,COUNTIF($I$2:I396,_xlpm.perfil)-1,_xlpm.busca,OR(_xlpm.perfil="Actualmente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396" t="str">
        <f>IF(I396="Tengo un emprendimiento o quiero iniciar uno","",CHOOSE(MOD(INT((COUNTIF($I$2:I396,I396)-1)/7),3)+1,"Sí","No","Tengo una pero necesito actualizarla"))</f>
        <v>Tengo una pero necesito actualizarla</v>
      </c>
      <c r="R396" s="9" t="str">
        <f>IF(I396="Tengo un emprendimiento o quiero iniciar uno","",IF(I396="Busco mi primer empleo","No",IF(MOD(COUNTIF($I$2:I396,I396)-1,2)=0,"Sí","No")))</f>
        <v>No</v>
      </c>
      <c r="S396" t="str">
        <f>IF(I396="Tengo un emprendimiento o quiero iniciar uno","",CHOOSE(MOD(INT((COUNTIF($I$2:I396,I396)-1)/3),10)+1,"Portales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96" t="str">
        <f>IF(I396="Tengo un emprendimiento o quiero iniciar uno","",_xlfn.LET(_xlpm.opcion,MOD(INT((COUNTIF($I$2:I396,I396)-1)/4),6)+1,CHOOSE(IF(AND(_xlpm.opcion=3,Q396="Sí"),1,_xlpm.opcion),"Falta de experiencia","Falta de formación","Dificultades con la hoja de vida","Horarios disponibles","Transporte","Internet")))</f>
        <v>Falta de experiencia</v>
      </c>
      <c r="U396" s="9" t="str">
        <f>IF(I396="Tengo un emprendimiento o quiero iniciar uno","",IF(MOD(INT((COUNTIF($I$2:I396,I396)-1)/3),2)=0,"Sí","No"))</f>
        <v>No</v>
      </c>
      <c r="V396" s="9" t="str">
        <f>IF(I396="Tengo un emprendimiento o quiero iniciar uno",CHOOSE(MOD(COUNTIF($I$2:I396,I396)-1,3)+1,"Tengo un emprendimiento","Estoy iniciando un emprendimiento","Me interesa emprender"),"")</f>
        <v/>
      </c>
      <c r="W396" t="str">
        <f t="shared" si="114"/>
        <v/>
      </c>
      <c r="X396" s="9" t="str">
        <f>IF(I396="Tengo un emprendimiento o quiero iniciar uno",CHOOSE(MOD(COUNTIF($I$2:I396,I396)-1,5)+1,"Falta de financiación","Falta de conocimientos administrativos","Falta de conocimientos financieros","Falta de tiempo","Falta de herramientas"),"")</f>
        <v/>
      </c>
      <c r="Y396" s="9" t="str">
        <f t="shared" si="115"/>
        <v/>
      </c>
      <c r="Z396" t="str">
        <f>IF(I396="Tengo un emprendimiento o quiero iniciar uno",CHOOSE(INT(MOD((COUNTIF($I$2:I396,I396)-1)*7,39)/13)+1,"Sí","No","No conozco programas de ese tipo"),"")</f>
        <v/>
      </c>
      <c r="AA396" t="str">
        <f t="shared" si="116"/>
        <v>No puedo hacerlo</v>
      </c>
      <c r="AB396" t="str">
        <f t="shared" si="116"/>
        <v>No puedo hacerlo</v>
      </c>
      <c r="AC396" t="str">
        <f t="shared" si="117"/>
        <v>Puedo hacerlo con ayuda</v>
      </c>
      <c r="AD396" s="9" t="str">
        <f t="shared" si="118"/>
        <v>Puedo hacerlo con ayuda</v>
      </c>
      <c r="AE396" t="str">
        <f t="shared" si="119"/>
        <v>Puedo hacerlo con ayuda</v>
      </c>
      <c r="AF396" s="9" t="str">
        <f t="shared" si="120"/>
        <v>Crear una hoja de vida;Preparación para entrevista</v>
      </c>
      <c r="AG396" s="9" t="str">
        <f t="shared" si="121"/>
        <v>Falta de experiencia;Falta de información</v>
      </c>
      <c r="AH396" t="str">
        <f t="shared" si="122"/>
        <v>No conozco ninguno</v>
      </c>
      <c r="AI396" s="9" t="str">
        <f t="shared" si="123"/>
        <v>Presencial y virtual</v>
      </c>
      <c r="AJ396" s="9" t="str">
        <f t="shared" si="124"/>
        <v>Nocturno</v>
      </c>
      <c r="AK396" s="9" t="str">
        <f t="shared" si="125"/>
        <v>WhatsApp</v>
      </c>
    </row>
    <row r="397" spans="1:37">
      <c r="A397" t="str">
        <f t="shared" si="126"/>
        <v>SG396</v>
      </c>
      <c r="B397" t="s">
        <v>57</v>
      </c>
      <c r="C397" s="9" t="s">
        <v>427</v>
      </c>
      <c r="D397" t="str">
        <f t="shared" si="109"/>
        <v>Otro</v>
      </c>
      <c r="E397" t="str">
        <f t="shared" si="110"/>
        <v>De 18 a 20 años</v>
      </c>
      <c r="F397">
        <f t="shared" si="111"/>
        <v>19</v>
      </c>
      <c r="G397" t="str">
        <f t="shared" si="108"/>
        <v>Centro poblado</v>
      </c>
      <c r="H397" s="9" t="str">
        <f t="shared" si="112"/>
        <v>Bachiller</v>
      </c>
      <c r="I397" s="9" t="str">
        <f t="shared" si="113"/>
        <v>Actualmente no trabajo y estoy buscando empleo</v>
      </c>
      <c r="J397" s="13" t="str">
        <f>IF(I397="Trabajo actualmente como empleado",IF(MOD((COUNTIF($I$2:I397,"Trabajo actualmente como empleado")-1)*37,150)&lt;100,"Empleado con contrato","Empleado sin contrato formal"),IF(I397="Trabajo de manera independiente","Trabajo independiente",""))</f>
        <v/>
      </c>
      <c r="K397" s="9" t="str">
        <f>IF(OR(I397="Trabajo actualmente como empleado",I397="Trabajo de manera independiente"),CHOOSE(MOD(COUNTIF($I$2:I397,I397)-1,4)+1,"Menos de 3 meses","De 3 a 6 meses","De 7 a 12 meses","Más de un año"),"")</f>
        <v/>
      </c>
      <c r="L397" t="str">
        <f>IF(OR(I397="Trabajo actualmente como empleado",I397="Trabajo de manera independiente"),CHOOSE(MOD(COUNTIF($I$2:I397,I397)-1,3)+1,"Sí, completamente","Parcialmente","No"),"")</f>
        <v/>
      </c>
      <c r="M397" t="str">
        <f>IF(OR(I397="Trabajo actualmente como empleado",I397="Trabajo de manera independiente"),CHOOSE(MOD(INT((COUNTIF($I$2:I397,I397)-1)/3),4)+1,"1- Muy satisfecho/a","2- Satisfecho/a","3- Insatisfecho/a","4- Muy insatisfecho/a"),"")</f>
        <v/>
      </c>
      <c r="N397" t="str">
        <f>IF(OR(I397="Trabajo actualmente como empleado",I397="Trabajo de manera independiente"),_xlfn.LET(_xlpm.opcion,MOD(INT((COUNTIF($I$2:I397,I397)-1)/5),6)+1,CHOOSE(IF(AND(_xlpm.opcion=6,L397="Sí, completamente"),5,_xlpm.opcion),"Salario","Estabilidad laboral","Horario","Acceso a prestaciones","Oportunidades de crecimiento","Trabajar en un área relacionada con mi formación")),"")</f>
        <v/>
      </c>
      <c r="O397" s="9" t="str">
        <f>IF(OR(I397="Trabajo actualmente como empleado",I397="Trabajo de manera independiente"),_xlfn.LET(_xlpm.turno,MOD(COUNTIF($I$2:I397,I397)-1,5),_xlpm.nivel,VALUE(LEFT(M397,1)),IF(_xlpm.turno=4,"No estoy seguro/a",IF(_xlpm.turno&lt;IF(_xlpm.nivel&lt;=2,1,3),"Sí","No"))),"")</f>
        <v/>
      </c>
      <c r="P397" s="9" t="str">
        <f>_xlfn.LET(_xlpm.perfil,I397,_xlpm.turno,COUNTIF($I$2:I397,_xlpm.perfil)-1,_xlpm.busca,OR(_xlpm.perfil="Actualmente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trabajar"),IF(AND(_xlpm.trabaja,O397="No"),"Todavía no he iniciado una búsqueda activa",CHOOSE(MOD(_xlpm.turno*3,5)+1,"Menos de 1 mes","Entre 1 y 3 meses","Entre 4 y 6 meses","Más de 6 meses","Todavía no he iniciado una búsqueda activa")),"")))</f>
        <v>Más de 6 meses</v>
      </c>
      <c r="Q397" t="str">
        <f>IF(I397="Tengo un emprendimiento o quiero iniciar uno","",CHOOSE(MOD(INT((COUNTIF($I$2:I397,I397)-1)/7),3)+1,"Sí","No","Tengo una pero necesito actualizarla"))</f>
        <v>No</v>
      </c>
      <c r="R397" s="9" t="str">
        <f>IF(I397="Tengo un emprendimiento o quiero iniciar uno","",IF(I397="Busco mi primer empleo","No",IF(MOD(COUNTIF($I$2:I397,I397)-1,2)=0,"Sí","No")))</f>
        <v>No</v>
      </c>
      <c r="S397" t="str">
        <f>IF(I397="Tengo un emprendimiento o quiero iniciar uno","",CHOOSE(MOD(INT((COUNTIF($I$2:I397,I397)-1)/3),10)+1,"Portales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397" t="str">
        <f>IF(I397="Tengo un emprendimiento o quiero iniciar uno","",_xlfn.LET(_xlpm.opcion,MOD(INT((COUNTIF($I$2:I397,I397)-1)/4),6)+1,CHOOSE(IF(AND(_xlpm.opcion=3,Q397="Sí"),1,_xlpm.opcion),"Falta de experiencia","Falta de formación","Dificultades con la hoja de vida","Horarios disponibles","Transporte","Internet")))</f>
        <v>Falta de experiencia</v>
      </c>
      <c r="U397" s="9" t="str">
        <f>IF(I397="Tengo un emprendimiento o quiero iniciar uno","",IF(MOD(INT((COUNTIF($I$2:I397,I397)-1)/3),2)=0,"Sí","No"))</f>
        <v>Sí</v>
      </c>
      <c r="V397" s="9" t="str">
        <f>IF(I397="Tengo un emprendimiento o quiero iniciar uno",CHOOSE(MOD(COUNTIF($I$2:I397,I397)-1,3)+1,"Tengo un emprendimiento","Estoy iniciando un emprendimiento","Me interesa emprender"),"")</f>
        <v/>
      </c>
      <c r="W397" t="str">
        <f t="shared" si="114"/>
        <v/>
      </c>
      <c r="X397" s="9" t="str">
        <f>IF(I397="Tengo un emprendimiento o quiero iniciar uno",CHOOSE(MOD(COUNTIF($I$2:I397,I397)-1,5)+1,"Falta de financiación","Falta de conocimientos administrativos","Falta de conocimientos financieros","Falta de tiempo","Falta de herramientas"),"")</f>
        <v/>
      </c>
      <c r="Y397" s="9" t="str">
        <f t="shared" si="115"/>
        <v/>
      </c>
      <c r="Z397" t="str">
        <f>IF(I397="Tengo un emprendimiento o quiero iniciar uno",CHOOSE(INT(MOD((COUNTIF($I$2:I397,I397)-1)*7,39)/13)+1,"Sí","No","No conozco programas de ese tipo"),"")</f>
        <v/>
      </c>
      <c r="AA397" t="str">
        <f t="shared" si="116"/>
        <v>Puedo hacerlo con dificultad</v>
      </c>
      <c r="AB397" t="str">
        <f t="shared" si="116"/>
        <v>Puedo hacerlo con dificultad</v>
      </c>
      <c r="AC397" t="str">
        <f t="shared" si="117"/>
        <v>Puedo hacerlo con dificultad</v>
      </c>
      <c r="AD397" s="9" t="str">
        <f t="shared" si="118"/>
        <v>Puedo hacerlo con dificultad</v>
      </c>
      <c r="AE397" t="str">
        <f t="shared" si="119"/>
        <v>Puedo hacerlo con dificultad</v>
      </c>
      <c r="AF397" s="9" t="str">
        <f t="shared" si="120"/>
        <v>Comunicación;Liderazgo</v>
      </c>
      <c r="AG397" s="9" t="str">
        <f t="shared" si="121"/>
        <v>Falta de experiencia;Falta de información</v>
      </c>
      <c r="AH397" t="str">
        <f t="shared" si="122"/>
        <v>Oficina de orientación laboral</v>
      </c>
      <c r="AI397" s="9" t="str">
        <f t="shared" si="123"/>
        <v>Me es indiferente</v>
      </c>
      <c r="AJ397" s="9" t="str">
        <f t="shared" si="124"/>
        <v>Mañana entre semana</v>
      </c>
      <c r="AK397" s="9" t="str">
        <f t="shared" si="125"/>
        <v>Correo electrónico</v>
      </c>
    </row>
    <row r="398" spans="1:37">
      <c r="A398" t="str">
        <f t="shared" si="126"/>
        <v>SG397</v>
      </c>
      <c r="B398" t="s">
        <v>57</v>
      </c>
      <c r="C398" s="9" t="s">
        <v>427</v>
      </c>
      <c r="D398" t="str">
        <f t="shared" si="109"/>
        <v>Masculino</v>
      </c>
      <c r="E398" t="str">
        <f t="shared" si="110"/>
        <v>De 20 a 22 años</v>
      </c>
      <c r="F398">
        <f t="shared" si="111"/>
        <v>21</v>
      </c>
      <c r="G398" t="str">
        <f t="shared" si="108"/>
        <v>Rural</v>
      </c>
      <c r="H398" s="9" t="str">
        <f t="shared" si="112"/>
        <v>Técnico</v>
      </c>
      <c r="I398" s="9" t="str">
        <f t="shared" si="113"/>
        <v>Trabajo actualmente como empleado</v>
      </c>
      <c r="J398" s="13" t="str">
        <f>IF(I398="Trabajo actualmente como empleado",IF(MOD((COUNTIF($I$2:I398,"Trabajo actualmente como empleado")-1)*37,150)&lt;100,"Empleado con contrato","Empleado sin contrato formal"),IF(I398="Trabajo de manera independiente","Trabajo independiente",""))</f>
        <v>Empleado con contrato</v>
      </c>
      <c r="K398" s="9" t="str">
        <f>IF(OR(I398="Trabajo actualmente como empleado",I398="Trabajo de manera independiente"),CHOOSE(MOD(COUNTIF($I$2:I398,I398)-1,4)+1,"Menos de 3 meses","De 3 a 6 meses","De 7 a 12 meses","Más de un año"),"")</f>
        <v>Menos de 3 meses</v>
      </c>
      <c r="L398" t="str">
        <f>IF(OR(I398="Trabajo actualmente como empleado",I398="Trabajo de manera independiente"),CHOOSE(MOD(COUNTIF($I$2:I398,I398)-1,3)+1,"Sí, completamente","Parcialmente","No"),"")</f>
        <v>Parcialmente</v>
      </c>
      <c r="M398" t="str">
        <f>IF(OR(I398="Trabajo actualmente como empleado",I398="Trabajo de manera independiente"),CHOOSE(MOD(INT((COUNTIF($I$2:I398,I398)-1)/3),4)+1,"1- Muy satisfecho/a","2- Satisfecho/a","3- Insatisfecho/a","4- Muy insatisfecho/a"),"")</f>
        <v>2- Satisfecho/a</v>
      </c>
      <c r="N398" t="str">
        <f>IF(OR(I398="Trabajo actualmente como empleado",I398="Trabajo de manera independiente"),_xlfn.LET(_xlpm.opcion,MOD(INT((COUNTIF($I$2:I398,I398)-1)/5),6)+1,CHOOSE(IF(AND(_xlpm.opcion=6,L398="Sí, completamente"),5,_xlpm.opcion),"Salario","Estabilidad laboral","Horario","Acceso a prestaciones","Oportunidades de crecimiento","Trabajar en un área relacionada con mi formación")),"")</f>
        <v>Salario</v>
      </c>
      <c r="O398" s="9" t="str">
        <f>IF(OR(I398="Trabajo actualmente como empleado",I398="Trabajo de manera independiente"),_xlfn.LET(_xlpm.turno,MOD(COUNTIF($I$2:I398,I398)-1,5),_xlpm.nivel,VALUE(LEFT(M398,1)),IF(_xlpm.turno=4,"No estoy seguro/a",IF(_xlpm.turno&lt;IF(_xlpm.nivel&lt;=2,1,3),"Sí","No"))),"")</f>
        <v>No estoy seguro/a</v>
      </c>
      <c r="P398" s="9" t="str">
        <f>_xlfn.LET(_xlpm.perfil,I398,_xlpm.turno,COUNTIF($I$2:I398,_xlpm.perfil)-1,_xlpm.busca,OR(_xlpm.perfil="Actualmente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trabajar"),IF(AND(_xlpm.trabaja,O398="No"),"Todavía no he iniciado una búsqueda activa",CHOOSE(MOD(_xlpm.turno*3,5)+1,"Menos de 1 mes","Entre 1 y 3 meses","Entre 4 y 6 meses","Más de 6 meses","Todavía no he iniciado una búsqueda activa")),"")))</f>
        <v>Entre 4 y 6 meses</v>
      </c>
      <c r="Q398" t="str">
        <f>IF(I398="Tengo un emprendimiento o quiero iniciar uno","",CHOOSE(MOD(INT((COUNTIF($I$2:I398,I398)-1)/7),3)+1,"Sí","No","Tengo una pero necesito actualizarla"))</f>
        <v>Tengo una pero necesito actualizarla</v>
      </c>
      <c r="R398" s="9" t="str">
        <f>IF(I398="Tengo un emprendimiento o quiero iniciar uno","",IF(I398="Busco mi primer empleo","No",IF(MOD(COUNTIF($I$2:I398,I398)-1,2)=0,"Sí","No")))</f>
        <v>Sí</v>
      </c>
      <c r="S398" t="str">
        <f>IF(I398="Tengo un emprendimiento o quiero iniciar uno","",CHOOSE(MOD(INT((COUNTIF($I$2:I398,I398)-1)/3),10)+1,"Portales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398" t="str">
        <f>IF(I398="Tengo un emprendimiento o quiero iniciar uno","",_xlfn.LET(_xlpm.opcion,MOD(INT((COUNTIF($I$2:I398,I398)-1)/4),6)+1,CHOOSE(IF(AND(_xlpm.opcion=3,Q398="Sí"),1,_xlpm.opcion),"Falta de experiencia","Falta de formación","Dificultades con la hoja de vida","Horarios disponibles","Transporte","Internet")))</f>
        <v>Falta de formación</v>
      </c>
      <c r="U398" s="9" t="str">
        <f>IF(I398="Tengo un emprendimiento o quiero iniciar uno","",IF(MOD(INT((COUNTIF($I$2:I398,I398)-1)/3),2)=0,"Sí","No"))</f>
        <v>No</v>
      </c>
      <c r="V398" s="9" t="str">
        <f>IF(I398="Tengo un emprendimiento o quiero iniciar uno",CHOOSE(MOD(COUNTIF($I$2:I398,I398)-1,3)+1,"Tengo un emprendimiento","Estoy iniciando un emprendimiento","Me interesa emprender"),"")</f>
        <v/>
      </c>
      <c r="W398" t="str">
        <f t="shared" si="114"/>
        <v/>
      </c>
      <c r="X398" s="9" t="str">
        <f>IF(I398="Tengo un emprendimiento o quiero iniciar uno",CHOOSE(MOD(COUNTIF($I$2:I398,I398)-1,5)+1,"Falta de financiación","Falta de conocimientos administrativos","Falta de conocimientos financieros","Falta de tiempo","Falta de herramientas"),"")</f>
        <v/>
      </c>
      <c r="Y398" s="9" t="str">
        <f t="shared" si="115"/>
        <v/>
      </c>
      <c r="Z398" t="str">
        <f>IF(I398="Tengo un emprendimiento o quiero iniciar uno",CHOOSE(INT(MOD((COUNTIF($I$2:I398,I398)-1)*7,39)/13)+1,"Sí","No","No conozco programas de ese tipo"),"")</f>
        <v/>
      </c>
      <c r="AA398" t="str">
        <f t="shared" si="116"/>
        <v>Puedo hacerlo sin ayuda</v>
      </c>
      <c r="AB398" t="str">
        <f t="shared" si="116"/>
        <v>Puedo hacerlo sin ayuda</v>
      </c>
      <c r="AC398" t="str">
        <f t="shared" si="117"/>
        <v>Puedo hacerlo sin ayuda</v>
      </c>
      <c r="AD398" s="9" t="str">
        <f t="shared" si="118"/>
        <v>Puedo hacerlo sin ayuda</v>
      </c>
      <c r="AE398" t="str">
        <f t="shared" si="119"/>
        <v>Puedo hacerlo con dificultad</v>
      </c>
      <c r="AF398" s="9" t="str">
        <f t="shared" si="120"/>
        <v>Herramientas digitales;Educación financiera</v>
      </c>
      <c r="AG398" s="9" t="str">
        <f t="shared" si="121"/>
        <v>Costos de transporte;Distancia</v>
      </c>
      <c r="AH398" t="str">
        <f t="shared" si="122"/>
        <v>Programas de emprendimiento</v>
      </c>
      <c r="AI398" s="9" t="str">
        <f t="shared" si="123"/>
        <v>Presencial</v>
      </c>
      <c r="AJ398" s="9" t="str">
        <f t="shared" si="124"/>
        <v>Fines de semana</v>
      </c>
      <c r="AK398" s="9" t="str">
        <f t="shared" si="125"/>
        <v>Celular</v>
      </c>
    </row>
    <row r="399" spans="1:37">
      <c r="A399" t="str">
        <f t="shared" si="126"/>
        <v>SG398</v>
      </c>
      <c r="B399" t="s">
        <v>57</v>
      </c>
      <c r="C399" s="9" t="s">
        <v>427</v>
      </c>
      <c r="D399" t="str">
        <f t="shared" si="109"/>
        <v>Femenino</v>
      </c>
      <c r="E399" t="str">
        <f t="shared" si="110"/>
        <v>De 22 a 24 años</v>
      </c>
      <c r="F399">
        <f t="shared" si="111"/>
        <v>23</v>
      </c>
      <c r="G399" t="str">
        <f t="shared" si="108"/>
        <v>Centro poblado</v>
      </c>
      <c r="H399" s="9" t="str">
        <f t="shared" si="112"/>
        <v>Técnico</v>
      </c>
      <c r="I399" s="9" t="str">
        <f t="shared" si="113"/>
        <v>Trabajo de manera independiente</v>
      </c>
      <c r="J399" s="13" t="str">
        <f>IF(I399="Trabajo actualmente como empleado",IF(MOD((COUNTIF($I$2:I399,"Trabajo actualmente como empleado")-1)*37,150)&lt;100,"Empleado con contrato","Empleado sin contrato formal"),IF(I399="Trabajo de manera independiente","Trabajo independiente",""))</f>
        <v>Trabajo independiente</v>
      </c>
      <c r="K399" s="9" t="str">
        <f>IF(OR(I399="Trabajo actualmente como empleado",I399="Trabajo de manera independiente"),CHOOSE(MOD(COUNTIF($I$2:I399,I399)-1,4)+1,"Menos de 3 meses","De 3 a 6 meses","De 7 a 12 meses","Más de un año"),"")</f>
        <v>De 7 a 12 meses</v>
      </c>
      <c r="L399" t="str">
        <f>IF(OR(I399="Trabajo actualmente como empleado",I399="Trabajo de manera independiente"),CHOOSE(MOD(COUNTIF($I$2:I399,I399)-1,3)+1,"Sí, completamente","Parcialmente","No"),"")</f>
        <v>Sí, completamente</v>
      </c>
      <c r="M399" t="str">
        <f>IF(OR(I399="Trabajo actualmente como empleado",I399="Trabajo de manera independiente"),CHOOSE(MOD(INT((COUNTIF($I$2:I399,I399)-1)/3),4)+1,"1- Muy satisfecho/a","2- Satisfecho/a","3- Insatisfecho/a","4- Muy insatisfecho/a"),"")</f>
        <v>3- Insatisfecho/a</v>
      </c>
      <c r="N399" t="str">
        <f>IF(OR(I399="Trabajo actualmente como empleado",I399="Trabajo de manera independiente"),_xlfn.LET(_xlpm.opcion,MOD(INT((COUNTIF($I$2:I399,I399)-1)/5),6)+1,CHOOSE(IF(AND(_xlpm.opcion=6,L399="Sí, completamente"),5,_xlpm.opcion),"Salario","Estabilidad laboral","Horario","Acceso a prestaciones","Oportunidades de crecimiento","Trabajar en un área relacionada con mi formación")),"")</f>
        <v>Estabilidad laboral</v>
      </c>
      <c r="O399" s="9" t="str">
        <f>IF(OR(I399="Trabajo actualmente como empleado",I399="Trabajo de manera independiente"),_xlfn.LET(_xlpm.turno,MOD(COUNTIF($I$2:I399,I399)-1,5),_xlpm.nivel,VALUE(LEFT(M399,1)),IF(_xlpm.turno=4,"No estoy seguro/a",IF(_xlpm.turno&lt;IF(_xlpm.nivel&lt;=2,1,3),"Sí","No"))),"")</f>
        <v>Sí</v>
      </c>
      <c r="P399" s="9" t="str">
        <f>_xlfn.LET(_xlpm.perfil,I399,_xlpm.turno,COUNTIF($I$2:I399,_xlpm.perfil)-1,_xlpm.busca,OR(_xlpm.perfil="Actualmente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trabajar"),IF(AND(_xlpm.trabaja,O399="No"),"Todavía no he iniciado una búsqueda activa",CHOOSE(MOD(_xlpm.turno*3,5)+1,"Menos de 1 mes","Entre 1 y 3 meses","Entre 4 y 6 meses","Más de 6 meses","Todavía no he iniciado una búsqueda activa")),"")))</f>
        <v>Más de 6 meses</v>
      </c>
      <c r="Q399" t="str">
        <f>IF(I399="Tengo un emprendimiento o quiero iniciar uno","",CHOOSE(MOD(INT((COUNTIF($I$2:I399,I399)-1)/7),3)+1,"Sí","No","Tengo una pero necesito actualizarla"))</f>
        <v>Sí</v>
      </c>
      <c r="R399" s="9" t="str">
        <f>IF(I399="Tengo un emprendimiento o quiero iniciar uno","",IF(I399="Busco mi primer empleo","No",IF(MOD(COUNTIF($I$2:I399,I399)-1,2)=0,"Sí","No")))</f>
        <v>Sí</v>
      </c>
      <c r="S399" t="str">
        <f>IF(I399="Tengo un emprendimiento o quiero iniciar uno","",CHOOSE(MOD(INT((COUNTIF($I$2:I399,I399)-1)/3),10)+1,"Portales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399" t="str">
        <f>IF(I399="Tengo un emprendimiento o quiero iniciar uno","",_xlfn.LET(_xlpm.opcion,MOD(INT((COUNTIF($I$2:I399,I399)-1)/4),6)+1,CHOOSE(IF(AND(_xlpm.opcion=3,Q399="Sí"),1,_xlpm.opcion),"Falta de experiencia","Falta de formación","Dificultades con la hoja de vida","Horarios disponibles","Transporte","Internet")))</f>
        <v>Transporte</v>
      </c>
      <c r="U399" s="9" t="str">
        <f>IF(I399="Tengo un emprendimiento o quiero iniciar uno","",IF(MOD(INT((COUNTIF($I$2:I399,I399)-1)/3),2)=0,"Sí","No"))</f>
        <v>Sí</v>
      </c>
      <c r="V399" s="9" t="str">
        <f>IF(I399="Tengo un emprendimiento o quiero iniciar uno",CHOOSE(MOD(COUNTIF($I$2:I399,I399)-1,3)+1,"Tengo un emprendimiento","Estoy iniciando un emprendimiento","Me interesa emprender"),"")</f>
        <v/>
      </c>
      <c r="W399" t="str">
        <f t="shared" si="114"/>
        <v/>
      </c>
      <c r="X399" s="9" t="str">
        <f>IF(I399="Tengo un emprendimiento o quiero iniciar uno",CHOOSE(MOD(COUNTIF($I$2:I399,I399)-1,5)+1,"Falta de financiación","Falta de conocimientos administrativos","Falta de conocimientos financieros","Falta de tiempo","Falta de herramientas"),"")</f>
        <v/>
      </c>
      <c r="Y399" s="9" t="str">
        <f t="shared" si="115"/>
        <v/>
      </c>
      <c r="Z399" t="str">
        <f>IF(I399="Tengo un emprendimiento o quiero iniciar uno",CHOOSE(INT(MOD((COUNTIF($I$2:I399,I399)-1)*7,39)/13)+1,"Sí","No","No conozco programas de ese tipo"),"")</f>
        <v/>
      </c>
      <c r="AA399" t="str">
        <f t="shared" si="116"/>
        <v>Puedo hacerlo con ayuda</v>
      </c>
      <c r="AB399" t="str">
        <f t="shared" si="116"/>
        <v>Puedo hacerlo con ayuda</v>
      </c>
      <c r="AC399" t="str">
        <f t="shared" si="117"/>
        <v>Puedo hacerlo con ayuda</v>
      </c>
      <c r="AD399" s="9" t="str">
        <f t="shared" si="118"/>
        <v>No puedo hacerlo</v>
      </c>
      <c r="AE399" t="str">
        <f t="shared" si="119"/>
        <v>Puedo hacerlo sin ayuda</v>
      </c>
      <c r="AF399" s="9" t="str">
        <f t="shared" si="120"/>
        <v>Crear una hoja de vida</v>
      </c>
      <c r="AG399" s="9" t="str">
        <f t="shared" si="121"/>
        <v>Costos de transporte;Distancia</v>
      </c>
      <c r="AH399" t="str">
        <f t="shared" si="122"/>
        <v>Oficina de orientación laboral</v>
      </c>
      <c r="AI399" s="9" t="str">
        <f t="shared" si="123"/>
        <v>Virtual</v>
      </c>
      <c r="AJ399" s="9" t="str">
        <f t="shared" si="124"/>
        <v>Nocturno</v>
      </c>
      <c r="AK399" s="9" t="str">
        <f t="shared" si="125"/>
        <v>WhatsApp</v>
      </c>
    </row>
    <row r="400" spans="1:37">
      <c r="A400" t="str">
        <f t="shared" si="126"/>
        <v>SG399</v>
      </c>
      <c r="B400" t="s">
        <v>57</v>
      </c>
      <c r="C400" s="9" t="s">
        <v>427</v>
      </c>
      <c r="D400" t="str">
        <f t="shared" si="109"/>
        <v>Femenino</v>
      </c>
      <c r="E400" t="str">
        <f t="shared" si="110"/>
        <v>De 24 a 26 años</v>
      </c>
      <c r="F400">
        <f t="shared" si="111"/>
        <v>25</v>
      </c>
      <c r="G400" t="str">
        <f t="shared" si="108"/>
        <v>Rural</v>
      </c>
      <c r="H400" s="9" t="str">
        <f t="shared" si="112"/>
        <v>Tecnólogo</v>
      </c>
      <c r="I400" s="9" t="str">
        <f t="shared" si="113"/>
        <v>Busco mi primer empleo</v>
      </c>
      <c r="J400" s="13" t="str">
        <f>IF(I400="Trabajo actualmente como empleado",IF(MOD((COUNTIF($I$2:I400,"Trabajo actualmente como empleado")-1)*37,150)&lt;100,"Empleado con contrato","Empleado sin contrato formal"),IF(I400="Trabajo de manera independiente","Trabajo independiente",""))</f>
        <v/>
      </c>
      <c r="K400" s="9" t="str">
        <f>IF(OR(I400="Trabajo actualmente como empleado",I400="Trabajo de manera independiente"),CHOOSE(MOD(COUNTIF($I$2:I400,I400)-1,4)+1,"Menos de 3 meses","De 3 a 6 meses","De 7 a 12 meses","Más de un año"),"")</f>
        <v/>
      </c>
      <c r="L400" t="str">
        <f>IF(OR(I400="Trabajo actualmente como empleado",I400="Trabajo de manera independiente"),CHOOSE(MOD(COUNTIF($I$2:I400,I400)-1,3)+1,"Sí, completamente","Parcialmente","No"),"")</f>
        <v/>
      </c>
      <c r="M400" t="str">
        <f>IF(OR(I400="Trabajo actualmente como empleado",I400="Trabajo de manera independiente"),CHOOSE(MOD(INT((COUNTIF($I$2:I400,I400)-1)/3),4)+1,"1- Muy satisfecho/a","2- Satisfecho/a","3- Insatisfecho/a","4- Muy insatisfecho/a"),"")</f>
        <v/>
      </c>
      <c r="N400" t="str">
        <f>IF(OR(I400="Trabajo actualmente como empleado",I400="Trabajo de manera independiente"),_xlfn.LET(_xlpm.opcion,MOD(INT((COUNTIF($I$2:I400,I400)-1)/5),6)+1,CHOOSE(IF(AND(_xlpm.opcion=6,L400="Sí, completamente"),5,_xlpm.opcion),"Salario","Estabilidad laboral","Horario","Acceso a prestaciones","Oportunidades de crecimiento","Trabajar en un área relacionada con mi formación")),"")</f>
        <v/>
      </c>
      <c r="O400" s="9" t="str">
        <f>IF(OR(I400="Trabajo actualmente como empleado",I400="Trabajo de manera independiente"),_xlfn.LET(_xlpm.turno,MOD(COUNTIF($I$2:I400,I400)-1,5),_xlpm.nivel,VALUE(LEFT(M400,1)),IF(_xlpm.turno=4,"No estoy seguro/a",IF(_xlpm.turno&lt;IF(_xlpm.nivel&lt;=2,1,3),"Sí","No"))),"")</f>
        <v/>
      </c>
      <c r="P400" s="9" t="str">
        <f>_xlfn.LET(_xlpm.perfil,I400,_xlpm.turno,COUNTIF($I$2:I400,_xlpm.perfil)-1,_xlpm.busca,OR(_xlpm.perfil="Actualmente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trabajar"),IF(AND(_xlpm.trabaja,O400="No"),"Todavía no he iniciado una búsqueda activa",CHOOSE(MOD(_xlpm.turno*3,5)+1,"Menos de 1 mes","Entre 1 y 3 meses","Entre 4 y 6 meses","Más de 6 meses","Todavía no he iniciado una búsqueda activa")),"")))</f>
        <v>Entre 1 y 3 meses</v>
      </c>
      <c r="Q400" t="str">
        <f>IF(I400="Tengo un emprendimiento o quiero iniciar uno","",CHOOSE(MOD(INT((COUNTIF($I$2:I400,I400)-1)/7),3)+1,"Sí","No","Tengo una pero necesito actualizarla"))</f>
        <v>No</v>
      </c>
      <c r="R400" s="9" t="str">
        <f>IF(I400="Tengo un emprendimiento o quiero iniciar uno","",IF(I400="Busco mi primer empleo","No",IF(MOD(COUNTIF($I$2:I400,I400)-1,2)=0,"Sí","No")))</f>
        <v>No</v>
      </c>
      <c r="S400" t="str">
        <f>IF(I400="Tengo un emprendimiento o quiero iniciar uno","",CHOOSE(MOD(INT((COUNTIF($I$2:I400,I400)-1)/3),10)+1,"Portales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00" t="str">
        <f>IF(I400="Tengo un emprendimiento o quiero iniciar uno","",_xlfn.LET(_xlpm.opcion,MOD(INT((COUNTIF($I$2:I400,I400)-1)/4),6)+1,CHOOSE(IF(AND(_xlpm.opcion=3,Q400="Sí"),1,_xlpm.opcion),"Falta de experiencia","Falta de formación","Dificultades con la hoja de vida","Horarios disponibles","Transporte","Internet")))</f>
        <v>Falta de experiencia</v>
      </c>
      <c r="U400" s="9" t="str">
        <f>IF(I400="Tengo un emprendimiento o quiero iniciar uno","",IF(MOD(INT((COUNTIF($I$2:I400,I400)-1)/3),2)=0,"Sí","No"))</f>
        <v>No</v>
      </c>
      <c r="V400" s="9" t="str">
        <f>IF(I400="Tengo un emprendimiento o quiero iniciar uno",CHOOSE(MOD(COUNTIF($I$2:I400,I400)-1,3)+1,"Tengo un emprendimiento","Estoy iniciando un emprendimiento","Me interesa emprender"),"")</f>
        <v/>
      </c>
      <c r="W400" t="str">
        <f t="shared" si="114"/>
        <v/>
      </c>
      <c r="X400" s="9" t="str">
        <f>IF(I400="Tengo un emprendimiento o quiero iniciar uno",CHOOSE(MOD(COUNTIF($I$2:I400,I400)-1,5)+1,"Falta de financiación","Falta de conocimientos administrativos","Falta de conocimientos financieros","Falta de tiempo","Falta de herramientas"),"")</f>
        <v/>
      </c>
      <c r="Y400" s="9" t="str">
        <f t="shared" si="115"/>
        <v/>
      </c>
      <c r="Z400" t="str">
        <f>IF(I400="Tengo un emprendimiento o quiero iniciar uno",CHOOSE(INT(MOD((COUNTIF($I$2:I400,I400)-1)*7,39)/13)+1,"Sí","No","No conozco programas de ese tipo"),"")</f>
        <v/>
      </c>
      <c r="AA400" t="str">
        <f t="shared" si="116"/>
        <v>Puedo hacerlo con dificultad</v>
      </c>
      <c r="AB400" t="str">
        <f t="shared" si="116"/>
        <v>Puedo hacerlo con dificultad</v>
      </c>
      <c r="AC400" t="str">
        <f t="shared" si="117"/>
        <v>Puedo hacerlo con dificultad</v>
      </c>
      <c r="AD400" s="9" t="str">
        <f t="shared" si="118"/>
        <v>No puedo hacerlo</v>
      </c>
      <c r="AE400" t="str">
        <f t="shared" si="119"/>
        <v>No puedo hacerlo</v>
      </c>
      <c r="AF400" s="9" t="str">
        <f t="shared" si="120"/>
        <v>Preparación para entrevista</v>
      </c>
      <c r="AG400" s="9" t="str">
        <f t="shared" si="121"/>
        <v>Costos de transporte;Distancia</v>
      </c>
      <c r="AH400" t="str">
        <f t="shared" si="122"/>
        <v>Ferias de empleo</v>
      </c>
      <c r="AI400" s="9" t="str">
        <f t="shared" si="123"/>
        <v>Presencial y virtual</v>
      </c>
      <c r="AJ400" s="9" t="str">
        <f t="shared" si="124"/>
        <v>Mañana entre semana</v>
      </c>
      <c r="AK400" s="9" t="str">
        <f t="shared" si="125"/>
        <v>Redes sociales</v>
      </c>
    </row>
    <row r="401" spans="1:37">
      <c r="A401" t="str">
        <f t="shared" si="126"/>
        <v>SG400</v>
      </c>
      <c r="B401" t="s">
        <v>57</v>
      </c>
      <c r="C401" s="9" t="s">
        <v>427</v>
      </c>
      <c r="D401" t="str">
        <f t="shared" si="109"/>
        <v>Masculino</v>
      </c>
      <c r="E401" t="str">
        <f t="shared" si="110"/>
        <v>De 26 a 28 años</v>
      </c>
      <c r="F401">
        <f t="shared" si="111"/>
        <v>27</v>
      </c>
      <c r="G401" t="str">
        <f t="shared" si="108"/>
        <v>Centro poblado</v>
      </c>
      <c r="H401" s="9" t="str">
        <f t="shared" si="112"/>
        <v>Profesional</v>
      </c>
      <c r="I401" s="9" t="str">
        <f t="shared" si="113"/>
        <v>Trabajo actualmente como empleado</v>
      </c>
      <c r="J401" s="13" t="str">
        <f>IF(I401="Trabajo actualmente como empleado",IF(MOD((COUNTIF($I$2:I401,"Trabajo actualmente como empleado")-1)*37,150)&lt;100,"Empleado con contrato","Empleado sin contrato formal"),IF(I401="Trabajo de manera independiente","Trabajo independiente",""))</f>
        <v>Empleado sin contrato formal</v>
      </c>
      <c r="K401" s="9" t="str">
        <f>IF(OR(I401="Trabajo actualmente como empleado",I401="Trabajo de manera independiente"),CHOOSE(MOD(COUNTIF($I$2:I401,I401)-1,4)+1,"Menos de 3 meses","De 3 a 6 meses","De 7 a 12 meses","Más de un año"),"")</f>
        <v>De 3 a 6 meses</v>
      </c>
      <c r="L401" t="str">
        <f>IF(OR(I401="Trabajo actualmente como empleado",I401="Trabajo de manera independiente"),CHOOSE(MOD(COUNTIF($I$2:I401,I401)-1,3)+1,"Sí, completamente","Parcialmente","No"),"")</f>
        <v>No</v>
      </c>
      <c r="M401" t="str">
        <f>IF(OR(I401="Trabajo actualmente como empleado",I401="Trabajo de manera independiente"),CHOOSE(MOD(INT((COUNTIF($I$2:I401,I401)-1)/3),4)+1,"1- Muy satisfecho/a","2- Satisfecho/a","3- Insatisfecho/a","4- Muy insatisfecho/a"),"")</f>
        <v>2- Satisfecho/a</v>
      </c>
      <c r="N401" t="str">
        <f>IF(OR(I401="Trabajo actualmente como empleado",I401="Trabajo de manera independiente"),_xlfn.LET(_xlpm.opcion,MOD(INT((COUNTIF($I$2:I401,I401)-1)/5),6)+1,CHOOSE(IF(AND(_xlpm.opcion=6,L401="Sí, completamente"),5,_xlpm.opcion),"Salario","Estabilidad laboral","Horario","Acceso a prestaciones","Oportunidades de crecimiento","Trabajar en un área relacionada con mi formación")),"")</f>
        <v>Estabilidad laboral</v>
      </c>
      <c r="O401" s="9" t="str">
        <f>IF(OR(I401="Trabajo actualmente como empleado",I401="Trabajo de manera independiente"),_xlfn.LET(_xlpm.turno,MOD(COUNTIF($I$2:I401,I401)-1,5),_xlpm.nivel,VALUE(LEFT(M401,1)),IF(_xlpm.turno=4,"No estoy seguro/a",IF(_xlpm.turno&lt;IF(_xlpm.nivel&lt;=2,1,3),"Sí","No"))),"")</f>
        <v>Sí</v>
      </c>
      <c r="P401" s="9" t="str">
        <f>_xlfn.LET(_xlpm.perfil,I401,_xlpm.turno,COUNTIF($I$2:I401,_xlpm.perfil)-1,_xlpm.busca,OR(_xlpm.perfil="Actualmente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trabajar"),IF(AND(_xlpm.trabaja,O401="No"),"Todavía no he iniciado una búsqueda activa",CHOOSE(MOD(_xlpm.turno*3,5)+1,"Menos de 1 mes","Entre 1 y 3 meses","Entre 4 y 6 meses","Más de 6 meses","Todavía no he iniciado una búsqueda activa")),"")))</f>
        <v>Menos de 1 mes</v>
      </c>
      <c r="Q401" t="str">
        <f>IF(I401="Tengo un emprendimiento o quiero iniciar uno","",CHOOSE(MOD(INT((COUNTIF($I$2:I401,I401)-1)/7),3)+1,"Sí","No","Tengo una pero necesito actualizarla"))</f>
        <v>Tengo una pero necesito actualizarla</v>
      </c>
      <c r="R401" s="9" t="str">
        <f>IF(I401="Tengo un emprendimiento o quiero iniciar uno","",IF(I401="Busco mi primer empleo","No",IF(MOD(COUNTIF($I$2:I401,I401)-1,2)=0,"Sí","No")))</f>
        <v>No</v>
      </c>
      <c r="S401" t="str">
        <f>IF(I401="Tengo un emprendimiento o quiero iniciar uno","",CHOOSE(MOD(INT((COUNTIF($I$2:I401,I401)-1)/3),10)+1,"Portales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Redes sociales</v>
      </c>
      <c r="T401" t="str">
        <f>IF(I401="Tengo un emprendimiento o quiero iniciar uno","",_xlfn.LET(_xlpm.opcion,MOD(INT((COUNTIF($I$2:I401,I401)-1)/4),6)+1,CHOOSE(IF(AND(_xlpm.opcion=3,Q401="Sí"),1,_xlpm.opcion),"Falta de experiencia","Falta de formación","Dificultades con la hoja de vida","Horarios disponibles","Transporte","Internet")))</f>
        <v>Falta de formación</v>
      </c>
      <c r="U401" s="9" t="str">
        <f>IF(I401="Tengo un emprendimiento o quiero iniciar uno","",IF(MOD(INT((COUNTIF($I$2:I401,I401)-1)/3),2)=0,"Sí","No"))</f>
        <v>No</v>
      </c>
      <c r="V401" s="9" t="str">
        <f>IF(I401="Tengo un emprendimiento o quiero iniciar uno",CHOOSE(MOD(COUNTIF($I$2:I401,I401)-1,3)+1,"Tengo un emprendimiento","Estoy iniciando un emprendimiento","Me interesa emprender"),"")</f>
        <v/>
      </c>
      <c r="W401" t="str">
        <f t="shared" si="114"/>
        <v/>
      </c>
      <c r="X401" s="9" t="str">
        <f>IF(I401="Tengo un emprendimiento o quiero iniciar uno",CHOOSE(MOD(COUNTIF($I$2:I401,I401)-1,5)+1,"Falta de financiación","Falta de conocimientos administrativos","Falta de conocimientos financieros","Falta de tiempo","Falta de herramientas"),"")</f>
        <v/>
      </c>
      <c r="Y401" s="9" t="str">
        <f t="shared" si="115"/>
        <v/>
      </c>
      <c r="Z401" t="str">
        <f>IF(I401="Tengo un emprendimiento o quiero iniciar uno",CHOOSE(INT(MOD((COUNTIF($I$2:I401,I401)-1)*7,39)/13)+1,"Sí","No","No conozco programas de ese tipo"),"")</f>
        <v/>
      </c>
      <c r="AA401" t="str">
        <f t="shared" si="116"/>
        <v>No puedo hacerlo</v>
      </c>
      <c r="AB401" t="str">
        <f t="shared" si="116"/>
        <v>No puedo hacerlo</v>
      </c>
      <c r="AC401" t="str">
        <f t="shared" si="117"/>
        <v>Puedo hacerlo sin ayuda</v>
      </c>
      <c r="AD401" s="9" t="str">
        <f t="shared" si="118"/>
        <v>Puedo hacerlo con ayuda</v>
      </c>
      <c r="AE401" t="str">
        <f t="shared" si="119"/>
        <v>No puedo hacerlo</v>
      </c>
      <c r="AF401" s="9" t="str">
        <f t="shared" si="120"/>
        <v>Comunicación</v>
      </c>
      <c r="AG401" s="9" t="str">
        <f t="shared" si="121"/>
        <v>Falta de información</v>
      </c>
      <c r="AH401" t="str">
        <f t="shared" si="122"/>
        <v>No conozco ninguno</v>
      </c>
      <c r="AI401" s="9" t="str">
        <f t="shared" si="123"/>
        <v>Me es indiferente</v>
      </c>
      <c r="AJ401" s="9" t="str">
        <f t="shared" si="124"/>
        <v>Fines de semana</v>
      </c>
      <c r="AK401" s="9" t="str">
        <f t="shared" si="125"/>
        <v>Celular</v>
      </c>
    </row>
    <row r="402" spans="1:37">
      <c r="A402" t="str">
        <f t="shared" si="126"/>
        <v>SG401</v>
      </c>
      <c r="B402" t="s">
        <v>57</v>
      </c>
      <c r="C402" s="9" t="s">
        <v>427</v>
      </c>
      <c r="D402" t="str">
        <f t="shared" si="109"/>
        <v>Masculino</v>
      </c>
      <c r="E402" t="str">
        <f t="shared" si="110"/>
        <v>De 18 a 20 años</v>
      </c>
      <c r="F402">
        <f t="shared" si="111"/>
        <v>18</v>
      </c>
      <c r="G402" t="str">
        <f t="shared" si="108"/>
        <v>Rural</v>
      </c>
      <c r="H402" s="9" t="str">
        <f t="shared" si="112"/>
        <v>Técnico</v>
      </c>
      <c r="I402" s="9" t="str">
        <f t="shared" si="113"/>
        <v>Trabajo de manera independiente</v>
      </c>
      <c r="J402" s="13" t="str">
        <f>IF(I402="Trabajo actualmente como empleado",IF(MOD((COUNTIF($I$2:I402,"Trabajo actualmente como empleado")-1)*37,150)&lt;100,"Empleado con contrato","Empleado sin contrato formal"),IF(I402="Trabajo de manera independiente","Trabajo independiente",""))</f>
        <v>Trabajo independiente</v>
      </c>
      <c r="K402" s="9" t="str">
        <f>IF(OR(I402="Trabajo actualmente como empleado",I402="Trabajo de manera independiente"),CHOOSE(MOD(COUNTIF($I$2:I402,I402)-1,4)+1,"Menos de 3 meses","De 3 a 6 meses","De 7 a 12 meses","Más de un año"),"")</f>
        <v>Más de un año</v>
      </c>
      <c r="L402" t="str">
        <f>IF(OR(I402="Trabajo actualmente como empleado",I402="Trabajo de manera independiente"),CHOOSE(MOD(COUNTIF($I$2:I402,I402)-1,3)+1,"Sí, completamente","Parcialmente","No"),"")</f>
        <v>Parcialmente</v>
      </c>
      <c r="M402" t="str">
        <f>IF(OR(I402="Trabajo actualmente como empleado",I402="Trabajo de manera independiente"),CHOOSE(MOD(INT((COUNTIF($I$2:I402,I402)-1)/3),4)+1,"1- Muy satisfecho/a","2- Satisfecho/a","3- Insatisfecho/a","4- Muy insatisfecho/a"),"")</f>
        <v>3- Insatisfecho/a</v>
      </c>
      <c r="N402" t="str">
        <f>IF(OR(I402="Trabajo actualmente como empleado",I402="Trabajo de manera independiente"),_xlfn.LET(_xlpm.opcion,MOD(INT((COUNTIF($I$2:I402,I402)-1)/5),6)+1,CHOOSE(IF(AND(_xlpm.opcion=6,L402="Sí, completamente"),5,_xlpm.opcion),"Salario","Estabilidad laboral","Horario","Acceso a prestaciones","Oportunidades de crecimiento","Trabajar en un área relacionada con mi formación")),"")</f>
        <v>Estabilidad laboral</v>
      </c>
      <c r="O402" s="9" t="str">
        <f>IF(OR(I402="Trabajo actualmente como empleado",I402="Trabajo de manera independiente"),_xlfn.LET(_xlpm.turno,MOD(COUNTIF($I$2:I402,I402)-1,5),_xlpm.nivel,VALUE(LEFT(M402,1)),IF(_xlpm.turno=4,"No estoy seguro/a",IF(_xlpm.turno&lt;IF(_xlpm.nivel&lt;=2,1,3),"Sí","No"))),"")</f>
        <v>Sí</v>
      </c>
      <c r="P402" s="9" t="str">
        <f>_xlfn.LET(_xlpm.perfil,I402,_xlpm.turno,COUNTIF($I$2:I402,_xlpm.perfil)-1,_xlpm.busca,OR(_xlpm.perfil="Actualmente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trabajar"),IF(AND(_xlpm.trabaja,O402="No"),"Todavía no he iniciado una búsqueda activa",CHOOSE(MOD(_xlpm.turno*3,5)+1,"Menos de 1 mes","Entre 1 y 3 meses","Entre 4 y 6 meses","Más de 6 meses","Todavía no he iniciado una búsqueda activa")),"")))</f>
        <v>Entre 1 y 3 meses</v>
      </c>
      <c r="Q402" t="str">
        <f>IF(I402="Tengo un emprendimiento o quiero iniciar uno","",CHOOSE(MOD(INT((COUNTIF($I$2:I402,I402)-1)/7),3)+1,"Sí","No","Tengo una pero necesito actualizarla"))</f>
        <v>Sí</v>
      </c>
      <c r="R402" s="9" t="str">
        <f>IF(I402="Tengo un emprendimiento o quiero iniciar uno","",IF(I402="Busco mi primer empleo","No",IF(MOD(COUNTIF($I$2:I402,I402)-1,2)=0,"Sí","No")))</f>
        <v>No</v>
      </c>
      <c r="S402" t="str">
        <f>IF(I402="Tengo un emprendimiento o quiero iniciar uno","",CHOOSE(MOD(INT((COUNTIF($I$2:I402,I402)-1)/3),10)+1,"Portales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02" t="str">
        <f>IF(I402="Tengo un emprendimiento o quiero iniciar uno","",_xlfn.LET(_xlpm.opcion,MOD(INT((COUNTIF($I$2:I402,I402)-1)/4),6)+1,CHOOSE(IF(AND(_xlpm.opcion=3,Q402="Sí"),1,_xlpm.opcion),"Falta de experiencia","Falta de formación","Dificultades con la hoja de vida","Horarios disponibles","Transporte","Internet")))</f>
        <v>Transporte</v>
      </c>
      <c r="U402" s="9" t="str">
        <f>IF(I402="Tengo un emprendimiento o quiero iniciar uno","",IF(MOD(INT((COUNTIF($I$2:I402,I402)-1)/3),2)=0,"Sí","No"))</f>
        <v>Sí</v>
      </c>
      <c r="V402" s="9" t="str">
        <f>IF(I402="Tengo un emprendimiento o quiero iniciar uno",CHOOSE(MOD(COUNTIF($I$2:I402,I402)-1,3)+1,"Tengo un emprendimiento","Estoy iniciando un emprendimiento","Me interesa emprender"),"")</f>
        <v/>
      </c>
      <c r="W402" t="str">
        <f t="shared" si="114"/>
        <v/>
      </c>
      <c r="X402" s="9" t="str">
        <f>IF(I402="Tengo un emprendimiento o quiero iniciar uno",CHOOSE(MOD(COUNTIF($I$2:I402,I402)-1,5)+1,"Falta de financiación","Falta de conocimientos administrativos","Falta de conocimientos financieros","Falta de tiempo","Falta de herramientas"),"")</f>
        <v/>
      </c>
      <c r="Y402" s="9" t="str">
        <f t="shared" si="115"/>
        <v/>
      </c>
      <c r="Z402" t="str">
        <f>IF(I402="Tengo un emprendimiento o quiero iniciar uno",CHOOSE(INT(MOD((COUNTIF($I$2:I402,I402)-1)*7,39)/13)+1,"Sí","No","No conozco programas de ese tipo"),"")</f>
        <v/>
      </c>
      <c r="AA402" t="str">
        <f t="shared" si="116"/>
        <v>Puedo hacerlo con ayuda</v>
      </c>
      <c r="AB402" t="str">
        <f t="shared" si="116"/>
        <v>Puedo hacerlo con ayuda</v>
      </c>
      <c r="AC402" t="str">
        <f t="shared" si="117"/>
        <v>Puedo hacerlo con ayuda</v>
      </c>
      <c r="AD402" s="9" t="str">
        <f t="shared" si="118"/>
        <v>Puedo hacerlo con dificultad</v>
      </c>
      <c r="AE402" t="str">
        <f t="shared" si="119"/>
        <v>Puedo hacerlo con ayuda</v>
      </c>
      <c r="AF402" s="9" t="str">
        <f t="shared" si="120"/>
        <v>Liderazgo</v>
      </c>
      <c r="AG402" s="9" t="str">
        <f t="shared" si="121"/>
        <v>Falta de información</v>
      </c>
      <c r="AH402" t="str">
        <f t="shared" si="122"/>
        <v>Ferias de empleo</v>
      </c>
      <c r="AI402" s="9" t="str">
        <f t="shared" si="123"/>
        <v>Presencial</v>
      </c>
      <c r="AJ402" s="9" t="str">
        <f t="shared" si="124"/>
        <v>Nocturno</v>
      </c>
      <c r="AK402" s="9" t="str">
        <f t="shared" si="125"/>
        <v>Correo electrónico</v>
      </c>
    </row>
    <row r="403" spans="1:37">
      <c r="A403" t="str">
        <f t="shared" si="126"/>
        <v>SG402</v>
      </c>
      <c r="B403" t="s">
        <v>57</v>
      </c>
      <c r="C403" s="9" t="s">
        <v>427</v>
      </c>
      <c r="D403" t="str">
        <f t="shared" si="109"/>
        <v>Femenino</v>
      </c>
      <c r="E403" t="str">
        <f t="shared" si="110"/>
        <v>De 20 a 22 años</v>
      </c>
      <c r="F403">
        <f t="shared" si="111"/>
        <v>20</v>
      </c>
      <c r="G403" t="str">
        <f t="shared" ref="G403:G434" si="127">IF(MOD(ROW()-371,2)=0,"Centro poblado","Rural")</f>
        <v>Centro poblado</v>
      </c>
      <c r="H403" s="9" t="str">
        <f t="shared" si="112"/>
        <v>Tecnólogo</v>
      </c>
      <c r="I403" s="9" t="str">
        <f t="shared" si="113"/>
        <v>Estudio y quiero comenzar a trabajar</v>
      </c>
      <c r="J403" s="13" t="str">
        <f>IF(I403="Trabajo actualmente como empleado",IF(MOD((COUNTIF($I$2:I403,"Trabajo actualmente como empleado")-1)*37,150)&lt;100,"Empleado con contrato","Empleado sin contrato formal"),IF(I403="Trabajo de manera independiente","Trabajo independiente",""))</f>
        <v/>
      </c>
      <c r="K403" s="9" t="str">
        <f>IF(OR(I403="Trabajo actualmente como empleado",I403="Trabajo de manera independiente"),CHOOSE(MOD(COUNTIF($I$2:I403,I403)-1,4)+1,"Menos de 3 meses","De 3 a 6 meses","De 7 a 12 meses","Más de un año"),"")</f>
        <v/>
      </c>
      <c r="L403" t="str">
        <f>IF(OR(I403="Trabajo actualmente como empleado",I403="Trabajo de manera independiente"),CHOOSE(MOD(COUNTIF($I$2:I403,I403)-1,3)+1,"Sí, completamente","Parcialmente","No"),"")</f>
        <v/>
      </c>
      <c r="M403" t="str">
        <f>IF(OR(I403="Trabajo actualmente como empleado",I403="Trabajo de manera independiente"),CHOOSE(MOD(INT((COUNTIF($I$2:I403,I403)-1)/3),4)+1,"1- Muy satisfecho/a","2- Satisfecho/a","3- Insatisfecho/a","4- Muy insatisfecho/a"),"")</f>
        <v/>
      </c>
      <c r="N403" t="str">
        <f>IF(OR(I403="Trabajo actualmente como empleado",I403="Trabajo de manera independiente"),_xlfn.LET(_xlpm.opcion,MOD(INT((COUNTIF($I$2:I403,I403)-1)/5),6)+1,CHOOSE(IF(AND(_xlpm.opcion=6,L403="Sí, completamente"),5,_xlpm.opcion),"Salario","Estabilidad laboral","Horario","Acceso a prestaciones","Oportunidades de crecimiento","Trabajar en un área relacionada con mi formación")),"")</f>
        <v/>
      </c>
      <c r="O403" s="9" t="str">
        <f>IF(OR(I403="Trabajo actualmente como empleado",I403="Trabajo de manera independiente"),_xlfn.LET(_xlpm.turno,MOD(COUNTIF($I$2:I403,I403)-1,5),_xlpm.nivel,VALUE(LEFT(M403,1)),IF(_xlpm.turno=4,"No estoy seguro/a",IF(_xlpm.turno&lt;IF(_xlpm.nivel&lt;=2,1,3),"Sí","No"))),"")</f>
        <v/>
      </c>
      <c r="P403" s="9" t="str">
        <f>_xlfn.LET(_xlpm.perfil,I403,_xlpm.turno,COUNTIF($I$2:I403,_xlpm.perfil)-1,_xlpm.busca,OR(_xlpm.perfil="Actualmente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03" t="str">
        <f>IF(I403="Tengo un emprendimiento o quiero iniciar uno","",CHOOSE(MOD(INT((COUNTIF($I$2:I403,I403)-1)/7),3)+1,"Sí","No","Tengo una pero necesito actualizarla"))</f>
        <v>Sí</v>
      </c>
      <c r="R403" s="9" t="str">
        <f>IF(I403="Tengo un emprendimiento o quiero iniciar uno","",IF(I403="Busco mi primer empleo","No",IF(MOD(COUNTIF($I$2:I403,I403)-1,2)=0,"Sí","No")))</f>
        <v>Sí</v>
      </c>
      <c r="S403" t="str">
        <f>IF(I403="Tengo un emprendimiento o quiero iniciar uno","",CHOOSE(MOD(INT((COUNTIF($I$2:I403,I403)-1)/3),10)+1,"Portales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03" t="str">
        <f>IF(I403="Tengo un emprendimiento o quiero iniciar uno","",_xlfn.LET(_xlpm.opcion,MOD(INT((COUNTIF($I$2:I403,I403)-1)/4),6)+1,CHOOSE(IF(AND(_xlpm.opcion=3,Q403="Sí"),1,_xlpm.opcion),"Falta de experiencia","Falta de formación","Dificultades con la hoja de vida","Horarios disponibles","Transporte","Internet")))</f>
        <v>Falta de experiencia</v>
      </c>
      <c r="U403" s="9" t="str">
        <f>IF(I403="Tengo un emprendimiento o quiero iniciar uno","",IF(MOD(INT((COUNTIF($I$2:I403,I403)-1)/3),2)=0,"Sí","No"))</f>
        <v>Sí</v>
      </c>
      <c r="V403" s="9" t="str">
        <f>IF(I403="Tengo un emprendimiento o quiero iniciar uno",CHOOSE(MOD(COUNTIF($I$2:I403,I403)-1,3)+1,"Tengo un emprendimiento","Estoy iniciando un emprendimiento","Me interesa emprender"),"")</f>
        <v/>
      </c>
      <c r="W403" t="str">
        <f t="shared" si="114"/>
        <v/>
      </c>
      <c r="X403" s="9" t="str">
        <f>IF(I403="Tengo un emprendimiento o quiero iniciar uno",CHOOSE(MOD(COUNTIF($I$2:I403,I403)-1,5)+1,"Falta de financiación","Falta de conocimientos administrativos","Falta de conocimientos financieros","Falta de tiempo","Falta de herramientas"),"")</f>
        <v/>
      </c>
      <c r="Y403" s="9" t="str">
        <f t="shared" si="115"/>
        <v/>
      </c>
      <c r="Z403" t="str">
        <f>IF(I403="Tengo un emprendimiento o quiero iniciar uno",CHOOSE(INT(MOD((COUNTIF($I$2:I403,I403)-1)*7,39)/13)+1,"Sí","No","No conozco programas de ese tipo"),"")</f>
        <v/>
      </c>
      <c r="AA403" t="str">
        <f t="shared" si="116"/>
        <v>Puedo hacerlo sin ayuda</v>
      </c>
      <c r="AB403" t="str">
        <f t="shared" si="116"/>
        <v>Puedo hacerlo sin ayuda</v>
      </c>
      <c r="AC403" t="str">
        <f t="shared" si="117"/>
        <v>Puedo hacerlo con dificultad</v>
      </c>
      <c r="AD403" s="9" t="str">
        <f t="shared" si="118"/>
        <v>Puedo hacerlo sin ayuda</v>
      </c>
      <c r="AE403" t="str">
        <f t="shared" si="119"/>
        <v>Puedo hacerlo con ayuda</v>
      </c>
      <c r="AF403" s="9" t="str">
        <f t="shared" si="120"/>
        <v>Emprendimiento</v>
      </c>
      <c r="AG403" s="9" t="str">
        <f t="shared" si="121"/>
        <v>Falta de información</v>
      </c>
      <c r="AH403" t="str">
        <f t="shared" si="122"/>
        <v>Programas de emprendimiento</v>
      </c>
      <c r="AI403" s="9" t="str">
        <f t="shared" si="123"/>
        <v>Virtual</v>
      </c>
      <c r="AJ403" s="9" t="str">
        <f t="shared" si="124"/>
        <v>Mañana entre semana</v>
      </c>
      <c r="AK403" s="9" t="str">
        <f t="shared" si="125"/>
        <v>Celular</v>
      </c>
    </row>
    <row r="404" spans="1:37">
      <c r="A404" t="str">
        <f t="shared" si="126"/>
        <v>SG403</v>
      </c>
      <c r="B404" t="s">
        <v>57</v>
      </c>
      <c r="C404" s="9" t="s">
        <v>427</v>
      </c>
      <c r="D404" t="str">
        <f t="shared" si="109"/>
        <v>Otro</v>
      </c>
      <c r="E404" t="str">
        <f t="shared" si="110"/>
        <v>De 22 a 24 años</v>
      </c>
      <c r="F404">
        <f t="shared" si="111"/>
        <v>22</v>
      </c>
      <c r="G404" t="str">
        <f t="shared" si="127"/>
        <v>Rural</v>
      </c>
      <c r="H404" s="9" t="str">
        <f t="shared" si="112"/>
        <v>Profesional</v>
      </c>
      <c r="I404" s="9" t="str">
        <f t="shared" si="113"/>
        <v>Trabajo actualmente como empleado</v>
      </c>
      <c r="J404" s="13" t="str">
        <f>IF(I404="Trabajo actualmente como empleado",IF(MOD((COUNTIF($I$2:I404,"Trabajo actualmente como empleado")-1)*37,150)&lt;100,"Empleado con contrato","Empleado sin contrato formal"),IF(I404="Trabajo de manera independiente","Trabajo independiente",""))</f>
        <v>Empleado con contrato</v>
      </c>
      <c r="K404" s="9" t="str">
        <f>IF(OR(I404="Trabajo actualmente como empleado",I404="Trabajo de manera independiente"),CHOOSE(MOD(COUNTIF($I$2:I404,I404)-1,4)+1,"Menos de 3 meses","De 3 a 6 meses","De 7 a 12 meses","Más de un año"),"")</f>
        <v>De 7 a 12 meses</v>
      </c>
      <c r="L404" t="str">
        <f>IF(OR(I404="Trabajo actualmente como empleado",I404="Trabajo de manera independiente"),CHOOSE(MOD(COUNTIF($I$2:I404,I404)-1,3)+1,"Sí, completamente","Parcialmente","No"),"")</f>
        <v>Sí, completamente</v>
      </c>
      <c r="M404" t="str">
        <f>IF(OR(I404="Trabajo actualmente como empleado",I404="Trabajo de manera independiente"),CHOOSE(MOD(INT((COUNTIF($I$2:I404,I404)-1)/3),4)+1,"1- Muy satisfecho/a","2- Satisfecho/a","3- Insatisfecho/a","4- Muy insatisfecho/a"),"")</f>
        <v>3- Insatisfecho/a</v>
      </c>
      <c r="N404" t="str">
        <f>IF(OR(I404="Trabajo actualmente como empleado",I404="Trabajo de manera independiente"),_xlfn.LET(_xlpm.opcion,MOD(INT((COUNTIF($I$2:I404,I404)-1)/5),6)+1,CHOOSE(IF(AND(_xlpm.opcion=6,L404="Sí, completamente"),5,_xlpm.opcion),"Salario","Estabilidad laboral","Horario","Acceso a prestaciones","Oportunidades de crecimiento","Trabajar en un área relacionada con mi formación")),"")</f>
        <v>Estabilidad laboral</v>
      </c>
      <c r="O404" s="9" t="str">
        <f>IF(OR(I404="Trabajo actualmente como empleado",I404="Trabajo de manera independiente"),_xlfn.LET(_xlpm.turno,MOD(COUNTIF($I$2:I404,I404)-1,5),_xlpm.nivel,VALUE(LEFT(M404,1)),IF(_xlpm.turno=4,"No estoy seguro/a",IF(_xlpm.turno&lt;IF(_xlpm.nivel&lt;=2,1,3),"Sí","No"))),"")</f>
        <v>Sí</v>
      </c>
      <c r="P404" s="9" t="str">
        <f>_xlfn.LET(_xlpm.perfil,I404,_xlpm.turno,COUNTIF($I$2:I404,_xlpm.perfil)-1,_xlpm.busca,OR(_xlpm.perfil="Actualmente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trabajar"),IF(AND(_xlpm.trabaja,O404="No"),"Todavía no he iniciado una búsqueda activa",CHOOSE(MOD(_xlpm.turno*3,5)+1,"Menos de 1 mes","Entre 1 y 3 meses","Entre 4 y 6 meses","Más de 6 meses","Todavía no he iniciado una búsqueda activa")),"")))</f>
        <v>Más de 6 meses</v>
      </c>
      <c r="Q404" t="str">
        <f>IF(I404="Tengo un emprendimiento o quiero iniciar uno","",CHOOSE(MOD(INT((COUNTIF($I$2:I404,I404)-1)/7),3)+1,"Sí","No","Tengo una pero necesito actualizarla"))</f>
        <v>Sí</v>
      </c>
      <c r="R404" s="9" t="str">
        <f>IF(I404="Tengo un emprendimiento o quiero iniciar uno","",IF(I404="Busco mi primer empleo","No",IF(MOD(COUNTIF($I$2:I404,I404)-1,2)=0,"Sí","No")))</f>
        <v>Sí</v>
      </c>
      <c r="S404" t="str">
        <f>IF(I404="Tengo un emprendimiento o quiero iniciar uno","",CHOOSE(MOD(INT((COUNTIF($I$2:I404,I404)-1)/3),10)+1,"Portales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04" t="str">
        <f>IF(I404="Tengo un emprendimiento o quiero iniciar uno","",_xlfn.LET(_xlpm.opcion,MOD(INT((COUNTIF($I$2:I404,I404)-1)/4),6)+1,CHOOSE(IF(AND(_xlpm.opcion=3,Q404="Sí"),1,_xlpm.opcion),"Falta de experiencia","Falta de formación","Dificultades con la hoja de vida","Horarios disponibles","Transporte","Internet")))</f>
        <v>Falta de formación</v>
      </c>
      <c r="U404" s="9" t="str">
        <f>IF(I404="Tengo un emprendimiento o quiero iniciar uno","",IF(MOD(INT((COUNTIF($I$2:I404,I404)-1)/3),2)=0,"Sí","No"))</f>
        <v>Sí</v>
      </c>
      <c r="V404" s="9" t="str">
        <f>IF(I404="Tengo un emprendimiento o quiero iniciar uno",CHOOSE(MOD(COUNTIF($I$2:I404,I404)-1,3)+1,"Tengo un emprendimiento","Estoy iniciando un emprendimiento","Me interesa emprender"),"")</f>
        <v/>
      </c>
      <c r="W404" t="str">
        <f t="shared" si="114"/>
        <v/>
      </c>
      <c r="X404" s="9" t="str">
        <f>IF(I404="Tengo un emprendimiento o quiero iniciar uno",CHOOSE(MOD(COUNTIF($I$2:I404,I404)-1,5)+1,"Falta de financiación","Falta de conocimientos administrativos","Falta de conocimientos financieros","Falta de tiempo","Falta de herramientas"),"")</f>
        <v/>
      </c>
      <c r="Y404" s="9" t="str">
        <f t="shared" si="115"/>
        <v/>
      </c>
      <c r="Z404" t="str">
        <f>IF(I404="Tengo un emprendimiento o quiero iniciar uno",CHOOSE(INT(MOD((COUNTIF($I$2:I404,I404)-1)*7,39)/13)+1,"Sí","No","No conozco programas de ese tipo"),"")</f>
        <v/>
      </c>
      <c r="AA404" t="str">
        <f t="shared" si="116"/>
        <v>Puedo hacerlo con ayuda</v>
      </c>
      <c r="AB404" t="str">
        <f t="shared" si="116"/>
        <v>Puedo hacerlo con ayuda</v>
      </c>
      <c r="AC404" t="str">
        <f t="shared" si="117"/>
        <v>Puedo hacerlo sin ayuda</v>
      </c>
      <c r="AD404" s="9" t="str">
        <f t="shared" si="118"/>
        <v>Puedo hacerlo sin ayuda</v>
      </c>
      <c r="AE404" t="str">
        <f t="shared" si="119"/>
        <v>Puedo hacerlo con dificultad</v>
      </c>
      <c r="AF404" s="9" t="str">
        <f t="shared" si="120"/>
        <v>Herramientas digitales</v>
      </c>
      <c r="AG404" s="9" t="str">
        <f t="shared" si="121"/>
        <v>Horarios</v>
      </c>
      <c r="AH404" t="str">
        <f t="shared" si="122"/>
        <v>Oficina de orientación laboral</v>
      </c>
      <c r="AI404" s="9" t="str">
        <f t="shared" si="123"/>
        <v>Presencial y virtual</v>
      </c>
      <c r="AJ404" s="9" t="str">
        <f t="shared" si="124"/>
        <v>Diurno</v>
      </c>
      <c r="AK404" s="9" t="str">
        <f t="shared" si="125"/>
        <v>WhatsApp</v>
      </c>
    </row>
    <row r="405" spans="1:37">
      <c r="A405" t="str">
        <f t="shared" si="126"/>
        <v>SG404</v>
      </c>
      <c r="B405" t="s">
        <v>57</v>
      </c>
      <c r="C405" s="9" t="s">
        <v>427</v>
      </c>
      <c r="D405" t="str">
        <f t="shared" si="109"/>
        <v>Masculino</v>
      </c>
      <c r="E405" t="str">
        <f t="shared" si="110"/>
        <v>De 24 a 26 años</v>
      </c>
      <c r="F405">
        <f t="shared" si="111"/>
        <v>24</v>
      </c>
      <c r="G405" t="str">
        <f t="shared" si="127"/>
        <v>Centro poblado</v>
      </c>
      <c r="H405" s="9" t="str">
        <f t="shared" si="112"/>
        <v>Profesional</v>
      </c>
      <c r="I405" s="9" t="str">
        <f t="shared" si="113"/>
        <v>Actualmente no trabajo y estoy buscando empleo</v>
      </c>
      <c r="J405" s="13" t="str">
        <f>IF(I405="Trabajo actualmente como empleado",IF(MOD((COUNTIF($I$2:I405,"Trabajo actualmente como empleado")-1)*37,150)&lt;100,"Empleado con contrato","Empleado sin contrato formal"),IF(I405="Trabajo de manera independiente","Trabajo independiente",""))</f>
        <v/>
      </c>
      <c r="K405" s="9" t="str">
        <f>IF(OR(I405="Trabajo actualmente como empleado",I405="Trabajo de manera independiente"),CHOOSE(MOD(COUNTIF($I$2:I405,I405)-1,4)+1,"Menos de 3 meses","De 3 a 6 meses","De 7 a 12 meses","Más de un año"),"")</f>
        <v/>
      </c>
      <c r="L405" t="str">
        <f>IF(OR(I405="Trabajo actualmente como empleado",I405="Trabajo de manera independiente"),CHOOSE(MOD(COUNTIF($I$2:I405,I405)-1,3)+1,"Sí, completamente","Parcialmente","No"),"")</f>
        <v/>
      </c>
      <c r="M405" t="str">
        <f>IF(OR(I405="Trabajo actualmente como empleado",I405="Trabajo de manera independiente"),CHOOSE(MOD(INT((COUNTIF($I$2:I405,I405)-1)/3),4)+1,"1- Muy satisfecho/a","2- Satisfecho/a","3- Insatisfecho/a","4- Muy insatisfecho/a"),"")</f>
        <v/>
      </c>
      <c r="N405" t="str">
        <f>IF(OR(I405="Trabajo actualmente como empleado",I405="Trabajo de manera independiente"),_xlfn.LET(_xlpm.opcion,MOD(INT((COUNTIF($I$2:I405,I405)-1)/5),6)+1,CHOOSE(IF(AND(_xlpm.opcion=6,L405="Sí, completamente"),5,_xlpm.opcion),"Salario","Estabilidad laboral","Horario","Acceso a prestaciones","Oportunidades de crecimiento","Trabajar en un área relacionada con mi formación")),"")</f>
        <v/>
      </c>
      <c r="O405" s="9" t="str">
        <f>IF(OR(I405="Trabajo actualmente como empleado",I405="Trabajo de manera independiente"),_xlfn.LET(_xlpm.turno,MOD(COUNTIF($I$2:I405,I405)-1,5),_xlpm.nivel,VALUE(LEFT(M405,1)),IF(_xlpm.turno=4,"No estoy seguro/a",IF(_xlpm.turno&lt;IF(_xlpm.nivel&lt;=2,1,3),"Sí","No"))),"")</f>
        <v/>
      </c>
      <c r="P405" s="9" t="str">
        <f>_xlfn.LET(_xlpm.perfil,I405,_xlpm.turno,COUNTIF($I$2:I405,_xlpm.perfil)-1,_xlpm.busca,OR(_xlpm.perfil="Actualmente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trabajar"),IF(AND(_xlpm.trabaja,O405="No"),"Todavía no he iniciado una búsqueda activa",CHOOSE(MOD(_xlpm.turno*3,5)+1,"Menos de 1 mes","Entre 1 y 3 meses","Entre 4 y 6 meses","Más de 6 meses","Todavía no he iniciado una búsqueda activa")),"")))</f>
        <v>Entre 4 y 6 meses</v>
      </c>
      <c r="Q405" t="str">
        <f>IF(I405="Tengo un emprendimiento o quiero iniciar uno","",CHOOSE(MOD(INT((COUNTIF($I$2:I405,I405)-1)/7),3)+1,"Sí","No","Tengo una pero necesito actualizarla"))</f>
        <v>No</v>
      </c>
      <c r="R405" s="9" t="str">
        <f>IF(I405="Tengo un emprendimiento o quiero iniciar uno","",IF(I405="Busco mi primer empleo","No",IF(MOD(COUNTIF($I$2:I405,I405)-1,2)=0,"Sí","No")))</f>
        <v>Sí</v>
      </c>
      <c r="S405" t="str">
        <f>IF(I405="Tengo un emprendimiento o quiero iniciar uno","",CHOOSE(MOD(INT((COUNTIF($I$2:I405,I405)-1)/3),10)+1,"Portales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05" t="str">
        <f>IF(I405="Tengo un emprendimiento o quiero iniciar uno","",_xlfn.LET(_xlpm.opcion,MOD(INT((COUNTIF($I$2:I405,I405)-1)/4),6)+1,CHOOSE(IF(AND(_xlpm.opcion=3,Q405="Sí"),1,_xlpm.opcion),"Falta de experiencia","Falta de formación","Dificultades con la hoja de vida","Horarios disponibles","Transporte","Internet")))</f>
        <v>Falta de experiencia</v>
      </c>
      <c r="U405" s="9" t="str">
        <f>IF(I405="Tengo un emprendimiento o quiero iniciar uno","",IF(MOD(INT((COUNTIF($I$2:I405,I405)-1)/3),2)=0,"Sí","No"))</f>
        <v>Sí</v>
      </c>
      <c r="V405" s="9" t="str">
        <f>IF(I405="Tengo un emprendimiento o quiero iniciar uno",CHOOSE(MOD(COUNTIF($I$2:I405,I405)-1,3)+1,"Tengo un emprendimiento","Estoy iniciando un emprendimiento","Me interesa emprender"),"")</f>
        <v/>
      </c>
      <c r="W405" t="str">
        <f t="shared" si="114"/>
        <v/>
      </c>
      <c r="X405" s="9" t="str">
        <f>IF(I405="Tengo un emprendimiento o quiero iniciar uno",CHOOSE(MOD(COUNTIF($I$2:I405,I405)-1,5)+1,"Falta de financiación","Falta de conocimientos administrativos","Falta de conocimientos financieros","Falta de tiempo","Falta de herramientas"),"")</f>
        <v/>
      </c>
      <c r="Y405" s="9" t="str">
        <f t="shared" si="115"/>
        <v/>
      </c>
      <c r="Z405" t="str">
        <f>IF(I405="Tengo un emprendimiento o quiero iniciar uno",CHOOSE(INT(MOD((COUNTIF($I$2:I405,I405)-1)*7,39)/13)+1,"Sí","No","No conozco programas de ese tipo"),"")</f>
        <v/>
      </c>
      <c r="AA405" t="str">
        <f t="shared" si="116"/>
        <v>Puedo hacerlo con dificultad</v>
      </c>
      <c r="AB405" t="str">
        <f t="shared" si="116"/>
        <v>Puedo hacerlo con dificultad</v>
      </c>
      <c r="AC405" t="str">
        <f t="shared" si="117"/>
        <v>Puedo hacerlo con ayuda</v>
      </c>
      <c r="AD405" s="9" t="str">
        <f t="shared" si="118"/>
        <v>No puedo hacerlo</v>
      </c>
      <c r="AE405" t="str">
        <f t="shared" si="119"/>
        <v>Puedo hacerlo sin ayuda</v>
      </c>
      <c r="AF405" s="9" t="str">
        <f t="shared" si="120"/>
        <v>Educación financiera</v>
      </c>
      <c r="AG405" s="9" t="str">
        <f t="shared" si="121"/>
        <v>Horarios</v>
      </c>
      <c r="AH405" t="str">
        <f t="shared" si="122"/>
        <v>Programas de emprendimiento</v>
      </c>
      <c r="AI405" s="9" t="str">
        <f t="shared" si="123"/>
        <v>Me es indiferente</v>
      </c>
      <c r="AJ405" s="9" t="str">
        <f t="shared" si="124"/>
        <v>Nocturno</v>
      </c>
      <c r="AK405" s="9" t="str">
        <f t="shared" si="125"/>
        <v>Redes sociales</v>
      </c>
    </row>
    <row r="406" spans="1:37">
      <c r="A406" t="str">
        <f t="shared" si="126"/>
        <v>SG405</v>
      </c>
      <c r="B406" t="s">
        <v>57</v>
      </c>
      <c r="C406" s="9" t="s">
        <v>427</v>
      </c>
      <c r="D406" t="str">
        <f t="shared" si="109"/>
        <v>Femenino</v>
      </c>
      <c r="E406" t="str">
        <f t="shared" si="110"/>
        <v>De 26 a 28 años</v>
      </c>
      <c r="F406">
        <f t="shared" si="111"/>
        <v>28</v>
      </c>
      <c r="G406" t="str">
        <f t="shared" si="127"/>
        <v>Rural</v>
      </c>
      <c r="H406" s="9" t="str">
        <f t="shared" si="112"/>
        <v>Técnico</v>
      </c>
      <c r="I406" s="9" t="str">
        <f t="shared" si="113"/>
        <v>Estudio y quiero comenzar a trabajar</v>
      </c>
      <c r="J406" s="13" t="str">
        <f>IF(I406="Trabajo actualmente como empleado",IF(MOD((COUNTIF($I$2:I406,"Trabajo actualmente como empleado")-1)*37,150)&lt;100,"Empleado con contrato","Empleado sin contrato formal"),IF(I406="Trabajo de manera independiente","Trabajo independiente",""))</f>
        <v/>
      </c>
      <c r="K406" s="9" t="str">
        <f>IF(OR(I406="Trabajo actualmente como empleado",I406="Trabajo de manera independiente"),CHOOSE(MOD(COUNTIF($I$2:I406,I406)-1,4)+1,"Menos de 3 meses","De 3 a 6 meses","De 7 a 12 meses","Más de un año"),"")</f>
        <v/>
      </c>
      <c r="L406" t="str">
        <f>IF(OR(I406="Trabajo actualmente como empleado",I406="Trabajo de manera independiente"),CHOOSE(MOD(COUNTIF($I$2:I406,I406)-1,3)+1,"Sí, completamente","Parcialmente","No"),"")</f>
        <v/>
      </c>
      <c r="M406" t="str">
        <f>IF(OR(I406="Trabajo actualmente como empleado",I406="Trabajo de manera independiente"),CHOOSE(MOD(INT((COUNTIF($I$2:I406,I406)-1)/3),4)+1,"1- Muy satisfecho/a","2- Satisfecho/a","3- Insatisfecho/a","4- Muy insatisfecho/a"),"")</f>
        <v/>
      </c>
      <c r="N406" t="str">
        <f>IF(OR(I406="Trabajo actualmente como empleado",I406="Trabajo de manera independiente"),_xlfn.LET(_xlpm.opcion,MOD(INT((COUNTIF($I$2:I406,I406)-1)/5),6)+1,CHOOSE(IF(AND(_xlpm.opcion=6,L406="Sí, completamente"),5,_xlpm.opcion),"Salario","Estabilidad laboral","Horario","Acceso a prestaciones","Oportunidades de crecimiento","Trabajar en un área relacionada con mi formación")),"")</f>
        <v/>
      </c>
      <c r="O406" s="9" t="str">
        <f>IF(OR(I406="Trabajo actualmente como empleado",I406="Trabajo de manera independiente"),_xlfn.LET(_xlpm.turno,MOD(COUNTIF($I$2:I406,I406)-1,5),_xlpm.nivel,VALUE(LEFT(M406,1)),IF(_xlpm.turno=4,"No estoy seguro/a",IF(_xlpm.turno&lt;IF(_xlpm.nivel&lt;=2,1,3),"Sí","No"))),"")</f>
        <v/>
      </c>
      <c r="P406" s="9" t="str">
        <f>_xlfn.LET(_xlpm.perfil,I406,_xlpm.turno,COUNTIF($I$2:I406,_xlpm.perfil)-1,_xlpm.busca,OR(_xlpm.perfil="Actualmente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trabajar"),IF(AND(_xlpm.trabaja,O406="No"),"Todavía no he iniciado una búsqueda activa",CHOOSE(MOD(_xlpm.turno*3,5)+1,"Menos de 1 mes","Entre 1 y 3 meses","Entre 4 y 6 meses","Más de 6 meses","Todavía no he iniciado una búsqueda activa")),"")))</f>
        <v>Entre 4 y 6 meses</v>
      </c>
      <c r="Q406" t="str">
        <f>IF(I406="Tengo un emprendimiento o quiero iniciar uno","",CHOOSE(MOD(INT((COUNTIF($I$2:I406,I406)-1)/7),3)+1,"Sí","No","Tengo una pero necesito actualizarla"))</f>
        <v>No</v>
      </c>
      <c r="R406" s="9" t="str">
        <f>IF(I406="Tengo un emprendimiento o quiero iniciar uno","",IF(I406="Busco mi primer empleo","No",IF(MOD(COUNTIF($I$2:I406,I406)-1,2)=0,"Sí","No")))</f>
        <v>No</v>
      </c>
      <c r="S406" t="str">
        <f>IF(I406="Tengo un emprendimiento o quiero iniciar uno","",CHOOSE(MOD(INT((COUNTIF($I$2:I406,I406)-1)/3),10)+1,"Portales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06" t="str">
        <f>IF(I406="Tengo un emprendimiento o quiero iniciar uno","",_xlfn.LET(_xlpm.opcion,MOD(INT((COUNTIF($I$2:I406,I406)-1)/4),6)+1,CHOOSE(IF(AND(_xlpm.opcion=3,Q406="Sí"),1,_xlpm.opcion),"Falta de experiencia","Falta de formación","Dificultades con la hoja de vida","Horarios disponibles","Transporte","Internet")))</f>
        <v>Falta de experiencia</v>
      </c>
      <c r="U406" s="9" t="str">
        <f>IF(I406="Tengo un emprendimiento o quiero iniciar uno","",IF(MOD(INT((COUNTIF($I$2:I406,I406)-1)/3),2)=0,"Sí","No"))</f>
        <v>Sí</v>
      </c>
      <c r="V406" s="9" t="str">
        <f>IF(I406="Tengo un emprendimiento o quiero iniciar uno",CHOOSE(MOD(COUNTIF($I$2:I406,I406)-1,3)+1,"Tengo un emprendimiento","Estoy iniciando un emprendimiento","Me interesa emprender"),"")</f>
        <v/>
      </c>
      <c r="W406" t="str">
        <f t="shared" si="114"/>
        <v/>
      </c>
      <c r="X406" s="9" t="str">
        <f>IF(I406="Tengo un emprendimiento o quiero iniciar uno",CHOOSE(MOD(COUNTIF($I$2:I406,I406)-1,5)+1,"Falta de financiación","Falta de conocimientos administrativos","Falta de conocimientos financieros","Falta de tiempo","Falta de herramientas"),"")</f>
        <v/>
      </c>
      <c r="Y406" s="9" t="str">
        <f t="shared" si="115"/>
        <v/>
      </c>
      <c r="Z406" t="str">
        <f>IF(I406="Tengo un emprendimiento o quiero iniciar uno",CHOOSE(INT(MOD((COUNTIF($I$2:I406,I406)-1)*7,39)/13)+1,"Sí","No","No conozco programas de ese tipo"),"")</f>
        <v/>
      </c>
      <c r="AA406" t="str">
        <f t="shared" si="116"/>
        <v>No puedo hacerlo</v>
      </c>
      <c r="AB406" t="str">
        <f t="shared" si="116"/>
        <v>No puedo hacerlo</v>
      </c>
      <c r="AC406" t="str">
        <f t="shared" si="117"/>
        <v>Puedo hacerlo con dificultad</v>
      </c>
      <c r="AD406" s="9" t="str">
        <f t="shared" si="118"/>
        <v>Puedo hacerlo con ayuda</v>
      </c>
      <c r="AE406" t="str">
        <f t="shared" si="119"/>
        <v>Puedo hacerlo sin ayuda</v>
      </c>
      <c r="AF406" s="9" t="str">
        <f t="shared" si="120"/>
        <v>Crear una hoja de vida;Preparación para entrevista</v>
      </c>
      <c r="AG406" s="9" t="str">
        <f t="shared" si="121"/>
        <v>Horarios</v>
      </c>
      <c r="AH406" t="str">
        <f t="shared" si="122"/>
        <v>No conozco ninguno</v>
      </c>
      <c r="AI406" s="9" t="str">
        <f t="shared" si="123"/>
        <v>Virtual</v>
      </c>
      <c r="AJ406" s="9" t="str">
        <f t="shared" si="124"/>
        <v>Mañana entre semana</v>
      </c>
      <c r="AK406" s="9" t="str">
        <f t="shared" si="125"/>
        <v>Celular</v>
      </c>
    </row>
    <row r="407" spans="1:37">
      <c r="A407" t="str">
        <f t="shared" si="126"/>
        <v>SG406</v>
      </c>
      <c r="B407" t="s">
        <v>57</v>
      </c>
      <c r="C407" s="9" t="s">
        <v>427</v>
      </c>
      <c r="D407" t="str">
        <f t="shared" si="109"/>
        <v>Femenino</v>
      </c>
      <c r="E407" t="str">
        <f t="shared" si="110"/>
        <v>De 18 a 20 años</v>
      </c>
      <c r="F407">
        <f t="shared" si="111"/>
        <v>19</v>
      </c>
      <c r="G407" t="str">
        <f t="shared" si="127"/>
        <v>Centro poblado</v>
      </c>
      <c r="H407" s="9" t="str">
        <f t="shared" si="112"/>
        <v>Bachiller</v>
      </c>
      <c r="I407" s="9" t="str">
        <f t="shared" si="113"/>
        <v>Trabajo actualmente como empleado</v>
      </c>
      <c r="J407" s="13" t="str">
        <f>IF(I407="Trabajo actualmente como empleado",IF(MOD((COUNTIF($I$2:I407,"Trabajo actualmente como empleado")-1)*37,150)&lt;100,"Empleado con contrato","Empleado sin contrato formal"),IF(I407="Trabajo de manera independiente","Trabajo independiente",""))</f>
        <v>Empleado con contrato</v>
      </c>
      <c r="K407" s="9" t="str">
        <f>IF(OR(I407="Trabajo actualmente como empleado",I407="Trabajo de manera independiente"),CHOOSE(MOD(COUNTIF($I$2:I407,I407)-1,4)+1,"Menos de 3 meses","De 3 a 6 meses","De 7 a 12 meses","Más de un año"),"")</f>
        <v>Más de un año</v>
      </c>
      <c r="L407" t="str">
        <f>IF(OR(I407="Trabajo actualmente como empleado",I407="Trabajo de manera independiente"),CHOOSE(MOD(COUNTIF($I$2:I407,I407)-1,3)+1,"Sí, completamente","Parcialmente","No"),"")</f>
        <v>Parcialmente</v>
      </c>
      <c r="M407" t="str">
        <f>IF(OR(I407="Trabajo actualmente como empleado",I407="Trabajo de manera independiente"),CHOOSE(MOD(INT((COUNTIF($I$2:I407,I407)-1)/3),4)+1,"1- Muy satisfecho/a","2- Satisfecho/a","3- Insatisfecho/a","4- Muy insatisfecho/a"),"")</f>
        <v>3- Insatisfecho/a</v>
      </c>
      <c r="N407" t="str">
        <f>IF(OR(I407="Trabajo actualmente como empleado",I407="Trabajo de manera independiente"),_xlfn.LET(_xlpm.opcion,MOD(INT((COUNTIF($I$2:I407,I407)-1)/5),6)+1,CHOOSE(IF(AND(_xlpm.opcion=6,L407="Sí, completamente"),5,_xlpm.opcion),"Salario","Estabilidad laboral","Horario","Acceso a prestaciones","Oportunidades de crecimiento","Trabajar en un área relacionada con mi formación")),"")</f>
        <v>Estabilidad laboral</v>
      </c>
      <c r="O407" s="9" t="str">
        <f>IF(OR(I407="Trabajo actualmente como empleado",I407="Trabajo de manera independiente"),_xlfn.LET(_xlpm.turno,MOD(COUNTIF($I$2:I407,I407)-1,5),_xlpm.nivel,VALUE(LEFT(M407,1)),IF(_xlpm.turno=4,"No estoy seguro/a",IF(_xlpm.turno&lt;IF(_xlpm.nivel&lt;=2,1,3),"Sí","No"))),"")</f>
        <v>Sí</v>
      </c>
      <c r="P407" s="9" t="str">
        <f>_xlfn.LET(_xlpm.perfil,I407,_xlpm.turno,COUNTIF($I$2:I407,_xlpm.perfil)-1,_xlpm.busca,OR(_xlpm.perfil="Actualmente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trabajar"),IF(AND(_xlpm.trabaja,O407="No"),"Todavía no he iniciado una búsqueda activa",CHOOSE(MOD(_xlpm.turno*3,5)+1,"Menos de 1 mes","Entre 1 y 3 meses","Entre 4 y 6 meses","Más de 6 meses","Todavía no he iniciado una búsqueda activa")),"")))</f>
        <v>Entre 1 y 3 meses</v>
      </c>
      <c r="Q407" t="str">
        <f>IF(I407="Tengo un emprendimiento o quiero iniciar uno","",CHOOSE(MOD(INT((COUNTIF($I$2:I407,I407)-1)/7),3)+1,"Sí","No","Tengo una pero necesito actualizarla"))</f>
        <v>Sí</v>
      </c>
      <c r="R407" s="9" t="str">
        <f>IF(I407="Tengo un emprendimiento o quiero iniciar uno","",IF(I407="Busco mi primer empleo","No",IF(MOD(COUNTIF($I$2:I407,I407)-1,2)=0,"Sí","No")))</f>
        <v>No</v>
      </c>
      <c r="S407" t="str">
        <f>IF(I407="Tengo un emprendimiento o quiero iniciar uno","",CHOOSE(MOD(INT((COUNTIF($I$2:I407,I407)-1)/3),10)+1,"Portales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07" t="str">
        <f>IF(I407="Tengo un emprendimiento o quiero iniciar uno","",_xlfn.LET(_xlpm.opcion,MOD(INT((COUNTIF($I$2:I407,I407)-1)/4),6)+1,CHOOSE(IF(AND(_xlpm.opcion=3,Q407="Sí"),1,_xlpm.opcion),"Falta de experiencia","Falta de formación","Dificultades con la hoja de vida","Horarios disponibles","Transporte","Internet")))</f>
        <v>Falta de formación</v>
      </c>
      <c r="U407" s="9" t="str">
        <f>IF(I407="Tengo un emprendimiento o quiero iniciar uno","",IF(MOD(INT((COUNTIF($I$2:I407,I407)-1)/3),2)=0,"Sí","No"))</f>
        <v>Sí</v>
      </c>
      <c r="V407" s="9" t="str">
        <f>IF(I407="Tengo un emprendimiento o quiero iniciar uno",CHOOSE(MOD(COUNTIF($I$2:I407,I407)-1,3)+1,"Tengo un emprendimiento","Estoy iniciando un emprendimiento","Me interesa emprender"),"")</f>
        <v/>
      </c>
      <c r="W407" t="str">
        <f t="shared" si="114"/>
        <v/>
      </c>
      <c r="X407" s="9" t="str">
        <f>IF(I407="Tengo un emprendimiento o quiero iniciar uno",CHOOSE(MOD(COUNTIF($I$2:I407,I407)-1,5)+1,"Falta de financiación","Falta de conocimientos administrativos","Falta de conocimientos financieros","Falta de tiempo","Falta de herramientas"),"")</f>
        <v/>
      </c>
      <c r="Y407" s="9" t="str">
        <f t="shared" si="115"/>
        <v/>
      </c>
      <c r="Z407" t="str">
        <f>IF(I407="Tengo un emprendimiento o quiero iniciar uno",CHOOSE(INT(MOD((COUNTIF($I$2:I407,I407)-1)*7,39)/13)+1,"Sí","No","No conozco programas de ese tipo"),"")</f>
        <v/>
      </c>
      <c r="AA407" t="str">
        <f t="shared" si="116"/>
        <v>Puedo hacerlo con ayuda</v>
      </c>
      <c r="AB407" t="str">
        <f t="shared" si="116"/>
        <v>Puedo hacerlo con ayuda</v>
      </c>
      <c r="AC407" t="str">
        <f t="shared" si="117"/>
        <v>Puedo hacerlo sin ayuda</v>
      </c>
      <c r="AD407" s="9" t="str">
        <f t="shared" si="118"/>
        <v>Puedo hacerlo con dificultad</v>
      </c>
      <c r="AE407" t="str">
        <f t="shared" si="119"/>
        <v>No puedo hacerlo</v>
      </c>
      <c r="AF407" s="9" t="str">
        <f t="shared" si="120"/>
        <v>Comunicación;Liderazgo</v>
      </c>
      <c r="AG407" s="9" t="str">
        <f t="shared" si="121"/>
        <v>Costos de transporte</v>
      </c>
      <c r="AH407" t="str">
        <f t="shared" si="122"/>
        <v>Ferias de empleo</v>
      </c>
      <c r="AI407" s="9" t="str">
        <f t="shared" si="123"/>
        <v>Presencial y virtual</v>
      </c>
      <c r="AJ407" s="9" t="str">
        <f t="shared" si="124"/>
        <v>Diurno</v>
      </c>
      <c r="AK407" s="9" t="str">
        <f t="shared" si="125"/>
        <v>Correo electrónico</v>
      </c>
    </row>
    <row r="408" spans="1:37">
      <c r="A408" t="str">
        <f t="shared" si="126"/>
        <v>SG407</v>
      </c>
      <c r="B408" t="s">
        <v>57</v>
      </c>
      <c r="C408" s="9" t="s">
        <v>427</v>
      </c>
      <c r="D408" t="str">
        <f t="shared" si="109"/>
        <v>Masculino</v>
      </c>
      <c r="E408" t="str">
        <f t="shared" si="110"/>
        <v>De 20 a 22 años</v>
      </c>
      <c r="F408">
        <f t="shared" si="111"/>
        <v>21</v>
      </c>
      <c r="G408" t="str">
        <f t="shared" si="127"/>
        <v>Rural</v>
      </c>
      <c r="H408" s="9" t="str">
        <f t="shared" si="112"/>
        <v>Bachiller</v>
      </c>
      <c r="I408" s="9" t="str">
        <f t="shared" si="113"/>
        <v>Actualmente no trabajo y estoy buscando empleo</v>
      </c>
      <c r="J408" s="13" t="str">
        <f>IF(I408="Trabajo actualmente como empleado",IF(MOD((COUNTIF($I$2:I408,"Trabajo actualmente como empleado")-1)*37,150)&lt;100,"Empleado con contrato","Empleado sin contrato formal"),IF(I408="Trabajo de manera independiente","Trabajo independiente",""))</f>
        <v/>
      </c>
      <c r="K408" s="9" t="str">
        <f>IF(OR(I408="Trabajo actualmente como empleado",I408="Trabajo de manera independiente"),CHOOSE(MOD(COUNTIF($I$2:I408,I408)-1,4)+1,"Menos de 3 meses","De 3 a 6 meses","De 7 a 12 meses","Más de un año"),"")</f>
        <v/>
      </c>
      <c r="L408" t="str">
        <f>IF(OR(I408="Trabajo actualmente como empleado",I408="Trabajo de manera independiente"),CHOOSE(MOD(COUNTIF($I$2:I408,I408)-1,3)+1,"Sí, completamente","Parcialmente","No"),"")</f>
        <v/>
      </c>
      <c r="M408" t="str">
        <f>IF(OR(I408="Trabajo actualmente como empleado",I408="Trabajo de manera independiente"),CHOOSE(MOD(INT((COUNTIF($I$2:I408,I408)-1)/3),4)+1,"1- Muy satisfecho/a","2- Satisfecho/a","3- Insatisfecho/a","4- Muy insatisfecho/a"),"")</f>
        <v/>
      </c>
      <c r="N408" t="str">
        <f>IF(OR(I408="Trabajo actualmente como empleado",I408="Trabajo de manera independiente"),_xlfn.LET(_xlpm.opcion,MOD(INT((COUNTIF($I$2:I408,I408)-1)/5),6)+1,CHOOSE(IF(AND(_xlpm.opcion=6,L408="Sí, completamente"),5,_xlpm.opcion),"Salario","Estabilidad laboral","Horario","Acceso a prestaciones","Oportunidades de crecimiento","Trabajar en un área relacionada con mi formación")),"")</f>
        <v/>
      </c>
      <c r="O408" s="9" t="str">
        <f>IF(OR(I408="Trabajo actualmente como empleado",I408="Trabajo de manera independiente"),_xlfn.LET(_xlpm.turno,MOD(COUNTIF($I$2:I408,I408)-1,5),_xlpm.nivel,VALUE(LEFT(M408,1)),IF(_xlpm.turno=4,"No estoy seguro/a",IF(_xlpm.turno&lt;IF(_xlpm.nivel&lt;=2,1,3),"Sí","No"))),"")</f>
        <v/>
      </c>
      <c r="P408" s="9" t="str">
        <f>_xlfn.LET(_xlpm.perfil,I408,_xlpm.turno,COUNTIF($I$2:I408,_xlpm.perfil)-1,_xlpm.busca,OR(_xlpm.perfil="Actualmente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trabajar"),IF(AND(_xlpm.trabaja,O408="No"),"Todavía no he iniciado una búsqueda activa",CHOOSE(MOD(_xlpm.turno*3,5)+1,"Menos de 1 mes","Entre 1 y 3 meses","Entre 4 y 6 meses","Más de 6 meses","Todavía no he iniciado una búsqueda activa")),"")))</f>
        <v>Entre 1 y 3 meses</v>
      </c>
      <c r="Q408" t="str">
        <f>IF(I408="Tengo un emprendimiento o quiero iniciar uno","",CHOOSE(MOD(INT((COUNTIF($I$2:I408,I408)-1)/7),3)+1,"Sí","No","Tengo una pero necesito actualizarla"))</f>
        <v>No</v>
      </c>
      <c r="R408" s="9" t="str">
        <f>IF(I408="Tengo un emprendimiento o quiero iniciar uno","",IF(I408="Busco mi primer empleo","No",IF(MOD(COUNTIF($I$2:I408,I408)-1,2)=0,"Sí","No")))</f>
        <v>No</v>
      </c>
      <c r="S408" t="str">
        <f>IF(I408="Tengo un emprendimiento o quiero iniciar uno","",CHOOSE(MOD(INT((COUNTIF($I$2:I408,I408)-1)/3),10)+1,"Portales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08" t="str">
        <f>IF(I408="Tengo un emprendimiento o quiero iniciar uno","",_xlfn.LET(_xlpm.opcion,MOD(INT((COUNTIF($I$2:I408,I408)-1)/4),6)+1,CHOOSE(IF(AND(_xlpm.opcion=3,Q408="Sí"),1,_xlpm.opcion),"Falta de experiencia","Falta de formación","Dificultades con la hoja de vida","Horarios disponibles","Transporte","Internet")))</f>
        <v>Falta de experiencia</v>
      </c>
      <c r="U408" s="9" t="str">
        <f>IF(I408="Tengo un emprendimiento o quiero iniciar uno","",IF(MOD(INT((COUNTIF($I$2:I408,I408)-1)/3),2)=0,"Sí","No"))</f>
        <v>No</v>
      </c>
      <c r="V408" s="9" t="str">
        <f>IF(I408="Tengo un emprendimiento o quiero iniciar uno",CHOOSE(MOD(COUNTIF($I$2:I408,I408)-1,3)+1,"Tengo un emprendimiento","Estoy iniciando un emprendimiento","Me interesa emprender"),"")</f>
        <v/>
      </c>
      <c r="W408" t="str">
        <f t="shared" si="114"/>
        <v/>
      </c>
      <c r="X408" s="9" t="str">
        <f>IF(I408="Tengo un emprendimiento o quiero iniciar uno",CHOOSE(MOD(COUNTIF($I$2:I408,I408)-1,5)+1,"Falta de financiación","Falta de conocimientos administrativos","Falta de conocimientos financieros","Falta de tiempo","Falta de herramientas"),"")</f>
        <v/>
      </c>
      <c r="Y408" s="9" t="str">
        <f t="shared" si="115"/>
        <v/>
      </c>
      <c r="Z408" t="str">
        <f>IF(I408="Tengo un emprendimiento o quiero iniciar uno",CHOOSE(INT(MOD((COUNTIF($I$2:I408,I408)-1)*7,39)/13)+1,"Sí","No","No conozco programas de ese tipo"),"")</f>
        <v/>
      </c>
      <c r="AA408" t="str">
        <f t="shared" si="116"/>
        <v>Puedo hacerlo sin ayuda</v>
      </c>
      <c r="AB408" t="str">
        <f t="shared" si="116"/>
        <v>Puedo hacerlo sin ayuda</v>
      </c>
      <c r="AC408" t="str">
        <f t="shared" si="117"/>
        <v>No puedo hacerlo</v>
      </c>
      <c r="AD408" s="9" t="str">
        <f t="shared" si="118"/>
        <v>Puedo hacerlo con dificultad</v>
      </c>
      <c r="AE408" t="str">
        <f t="shared" si="119"/>
        <v>No puedo hacerlo</v>
      </c>
      <c r="AF408" s="9" t="str">
        <f t="shared" si="120"/>
        <v>Herramientas digitales;Educación financiera</v>
      </c>
      <c r="AG408" s="9" t="str">
        <f t="shared" si="121"/>
        <v>Costos de transporte</v>
      </c>
      <c r="AH408" t="str">
        <f t="shared" si="122"/>
        <v>No conozco ninguno</v>
      </c>
      <c r="AI408" s="9" t="str">
        <f t="shared" si="123"/>
        <v>Me es indiferente</v>
      </c>
      <c r="AJ408" s="9" t="str">
        <f t="shared" si="124"/>
        <v>Nocturno</v>
      </c>
      <c r="AK408" s="9" t="str">
        <f t="shared" si="125"/>
        <v>Redes sociales</v>
      </c>
    </row>
    <row r="409" spans="1:37">
      <c r="A409" t="str">
        <f t="shared" si="126"/>
        <v>SG408</v>
      </c>
      <c r="B409" t="s">
        <v>57</v>
      </c>
      <c r="C409" s="9" t="s">
        <v>427</v>
      </c>
      <c r="D409" t="str">
        <f t="shared" si="109"/>
        <v>Masculino</v>
      </c>
      <c r="E409" t="str">
        <f t="shared" si="110"/>
        <v>De 22 a 24 años</v>
      </c>
      <c r="F409">
        <f t="shared" si="111"/>
        <v>23</v>
      </c>
      <c r="G409" t="str">
        <f t="shared" si="127"/>
        <v>Centro poblado</v>
      </c>
      <c r="H409" s="9" t="str">
        <f t="shared" si="112"/>
        <v>Bachiller</v>
      </c>
      <c r="I409" s="9" t="str">
        <f t="shared" si="113"/>
        <v>Tengo un emprendimiento o quiero iniciar uno</v>
      </c>
      <c r="J409" s="13" t="str">
        <f>IF(I409="Trabajo actualmente como empleado",IF(MOD((COUNTIF($I$2:I409,"Trabajo actualmente como empleado")-1)*37,150)&lt;100,"Empleado con contrato","Empleado sin contrato formal"),IF(I409="Trabajo de manera independiente","Trabajo independiente",""))</f>
        <v/>
      </c>
      <c r="K409" s="9" t="str">
        <f>IF(OR(I409="Trabajo actualmente como empleado",I409="Trabajo de manera independiente"),CHOOSE(MOD(COUNTIF($I$2:I409,I409)-1,4)+1,"Menos de 3 meses","De 3 a 6 meses","De 7 a 12 meses","Más de un año"),"")</f>
        <v/>
      </c>
      <c r="L409" t="str">
        <f>IF(OR(I409="Trabajo actualmente como empleado",I409="Trabajo de manera independiente"),CHOOSE(MOD(COUNTIF($I$2:I409,I409)-1,3)+1,"Sí, completamente","Parcialmente","No"),"")</f>
        <v/>
      </c>
      <c r="M409" t="str">
        <f>IF(OR(I409="Trabajo actualmente como empleado",I409="Trabajo de manera independiente"),CHOOSE(MOD(INT((COUNTIF($I$2:I409,I409)-1)/3),4)+1,"1- Muy satisfecho/a","2- Satisfecho/a","3- Insatisfecho/a","4- Muy insatisfecho/a"),"")</f>
        <v/>
      </c>
      <c r="N409" t="str">
        <f>IF(OR(I409="Trabajo actualmente como empleado",I409="Trabajo de manera independiente"),_xlfn.LET(_xlpm.opcion,MOD(INT((COUNTIF($I$2:I409,I409)-1)/5),6)+1,CHOOSE(IF(AND(_xlpm.opcion=6,L409="Sí, completamente"),5,_xlpm.opcion),"Salario","Estabilidad laboral","Horario","Acceso a prestaciones","Oportunidades de crecimiento","Trabajar en un área relacionada con mi formación")),"")</f>
        <v/>
      </c>
      <c r="O409" s="9" t="str">
        <f>IF(OR(I409="Trabajo actualmente como empleado",I409="Trabajo de manera independiente"),_xlfn.LET(_xlpm.turno,MOD(COUNTIF($I$2:I409,I409)-1,5),_xlpm.nivel,VALUE(LEFT(M409,1)),IF(_xlpm.turno=4,"No estoy seguro/a",IF(_xlpm.turno&lt;IF(_xlpm.nivel&lt;=2,1,3),"Sí","No"))),"")</f>
        <v/>
      </c>
      <c r="P409" s="9" t="str">
        <f>_xlfn.LET(_xlpm.perfil,I409,_xlpm.turno,COUNTIF($I$2:I409,_xlpm.perfil)-1,_xlpm.busca,OR(_xlpm.perfil="Actualmente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trabajar"),IF(AND(_xlpm.trabaja,O409="No"),"Todavía no he iniciado una búsqueda activa",CHOOSE(MOD(_xlpm.turno*3,5)+1,"Menos de 1 mes","Entre 1 y 3 meses","Entre 4 y 6 meses","Más de 6 meses","Todavía no he iniciado una búsqueda activa")),"")))</f>
        <v/>
      </c>
      <c r="Q409" t="str">
        <f>IF(I409="Tengo un emprendimiento o quiero iniciar uno","",CHOOSE(MOD(INT((COUNTIF($I$2:I409,I409)-1)/7),3)+1,"Sí","No","Tengo una pero necesito actualizarla"))</f>
        <v/>
      </c>
      <c r="R409" s="9" t="str">
        <f>IF(I409="Tengo un emprendimiento o quiero iniciar uno","",IF(I409="Busco mi primer empleo","No",IF(MOD(COUNTIF($I$2:I409,I409)-1,2)=0,"Sí","No")))</f>
        <v/>
      </c>
      <c r="S409" t="str">
        <f>IF(I409="Tengo un emprendimiento o quiero iniciar uno","",CHOOSE(MOD(INT((COUNTIF($I$2:I409,I409)-1)/3),10)+1,"Portales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409" t="str">
        <f>IF(I409="Tengo un emprendimiento o quiero iniciar uno","",_xlfn.LET(_xlpm.opcion,MOD(INT((COUNTIF($I$2:I409,I409)-1)/4),6)+1,CHOOSE(IF(AND(_xlpm.opcion=3,Q409="Sí"),1,_xlpm.opcion),"Falta de experiencia","Falta de formación","Dificultades con la hoja de vida","Horarios disponibles","Transporte","Internet")))</f>
        <v/>
      </c>
      <c r="U409" s="9" t="str">
        <f>IF(I409="Tengo un emprendimiento o quiero iniciar uno","",IF(MOD(INT((COUNTIF($I$2:I409,I409)-1)/3),2)=0,"Sí","No"))</f>
        <v/>
      </c>
      <c r="V409" s="9" t="str">
        <f>IF(I409="Tengo un emprendimiento o quiero iniciar uno",CHOOSE(MOD(COUNTIF($I$2:I409,I409)-1,3)+1,"Tengo un emprendimiento","Estoy iniciando un emprendimiento","Me interesa emprender"),"")</f>
        <v>Tengo un emprendimiento</v>
      </c>
      <c r="W409" t="str">
        <f t="shared" si="114"/>
        <v>Funcionamiento estable</v>
      </c>
      <c r="X409" s="9" t="str">
        <f>IF(I409="Tengo un emprendimiento o quiero iniciar uno",CHOOSE(MOD(COUNTIF($I$2:I409,I409)-1,5)+1,"Falta de financiación","Falta de conocimientos administrativos","Falta de conocimientos financieros","Falta de tiempo","Falta de herramientas"),"")</f>
        <v>Falta de tiempo</v>
      </c>
      <c r="Y409" s="9" t="str">
        <f t="shared" si="115"/>
        <v>Falta de tiempo</v>
      </c>
      <c r="Z409" t="str">
        <f>IF(I409="Tengo un emprendimiento o quiero iniciar uno",CHOOSE(INT(MOD((COUNTIF($I$2:I409,I409)-1)*7,39)/13)+1,"Sí","No","No conozco programas de ese tipo"),"")</f>
        <v>No conozco programas de ese tipo</v>
      </c>
      <c r="AA409" t="str">
        <f t="shared" si="116"/>
        <v>Puedo hacerlo con ayuda</v>
      </c>
      <c r="AB409" t="str">
        <f t="shared" si="116"/>
        <v>Puedo hacerlo con ayuda</v>
      </c>
      <c r="AC409" t="str">
        <f t="shared" si="117"/>
        <v>Puedo hacerlo con dificultad</v>
      </c>
      <c r="AD409" s="9" t="str">
        <f t="shared" si="118"/>
        <v>Puedo hacerlo sin ayuda</v>
      </c>
      <c r="AE409" t="str">
        <f t="shared" si="119"/>
        <v>Puedo hacerlo con ayuda</v>
      </c>
      <c r="AF409" s="9" t="str">
        <f t="shared" si="120"/>
        <v>Crear una hoja de vida</v>
      </c>
      <c r="AG409" s="9" t="str">
        <f t="shared" si="121"/>
        <v>Costos de transporte</v>
      </c>
      <c r="AH409" t="str">
        <f t="shared" si="122"/>
        <v>Oficina de orientación laboral</v>
      </c>
      <c r="AI409" s="9" t="str">
        <f t="shared" si="123"/>
        <v>Presencial</v>
      </c>
      <c r="AJ409" s="9" t="str">
        <f t="shared" si="124"/>
        <v>Mañana entre semana</v>
      </c>
      <c r="AK409" s="9" t="str">
        <f t="shared" si="125"/>
        <v>WhatsApp</v>
      </c>
    </row>
    <row r="410" spans="1:37">
      <c r="A410" t="str">
        <f t="shared" si="126"/>
        <v>SG409</v>
      </c>
      <c r="B410" t="s">
        <v>57</v>
      </c>
      <c r="C410" s="9" t="s">
        <v>427</v>
      </c>
      <c r="D410" t="str">
        <f t="shared" si="109"/>
        <v>Femenino</v>
      </c>
      <c r="E410" t="str">
        <f t="shared" si="110"/>
        <v>De 24 a 26 años</v>
      </c>
      <c r="F410">
        <f t="shared" si="111"/>
        <v>25</v>
      </c>
      <c r="G410" t="str">
        <f t="shared" si="127"/>
        <v>Rural</v>
      </c>
      <c r="H410" s="9" t="str">
        <f t="shared" si="112"/>
        <v>Técnico</v>
      </c>
      <c r="I410" s="9" t="str">
        <f t="shared" si="113"/>
        <v>Trabajo de manera independiente</v>
      </c>
      <c r="J410" s="13" t="str">
        <f>IF(I410="Trabajo actualmente como empleado",IF(MOD((COUNTIF($I$2:I410,"Trabajo actualmente como empleado")-1)*37,150)&lt;100,"Empleado con contrato","Empleado sin contrato formal"),IF(I410="Trabajo de manera independiente","Trabajo independiente",""))</f>
        <v>Trabajo independiente</v>
      </c>
      <c r="K410" s="9" t="str">
        <f>IF(OR(I410="Trabajo actualmente como empleado",I410="Trabajo de manera independiente"),CHOOSE(MOD(COUNTIF($I$2:I410,I410)-1,4)+1,"Menos de 3 meses","De 3 a 6 meses","De 7 a 12 meses","Más de un año"),"")</f>
        <v>Menos de 3 meses</v>
      </c>
      <c r="L410" t="str">
        <f>IF(OR(I410="Trabajo actualmente como empleado",I410="Trabajo de manera independiente"),CHOOSE(MOD(COUNTIF($I$2:I410,I410)-1,3)+1,"Sí, completamente","Parcialmente","No"),"")</f>
        <v>No</v>
      </c>
      <c r="M410" t="str">
        <f>IF(OR(I410="Trabajo actualmente como empleado",I410="Trabajo de manera independiente"),CHOOSE(MOD(INT((COUNTIF($I$2:I410,I410)-1)/3),4)+1,"1- Muy satisfecho/a","2- Satisfecho/a","3- Insatisfecho/a","4- Muy insatisfecho/a"),"")</f>
        <v>3- Insatisfecho/a</v>
      </c>
      <c r="N410" t="str">
        <f>IF(OR(I410="Trabajo actualmente como empleado",I410="Trabajo de manera independiente"),_xlfn.LET(_xlpm.opcion,MOD(INT((COUNTIF($I$2:I410,I410)-1)/5),6)+1,CHOOSE(IF(AND(_xlpm.opcion=6,L410="Sí, completamente"),5,_xlpm.opcion),"Salario","Estabilidad laboral","Horario","Acceso a prestaciones","Oportunidades de crecimiento","Trabajar en un área relacionada con mi formación")),"")</f>
        <v>Estabilidad laboral</v>
      </c>
      <c r="O410" s="9" t="str">
        <f>IF(OR(I410="Trabajo actualmente como empleado",I410="Trabajo de manera independiente"),_xlfn.LET(_xlpm.turno,MOD(COUNTIF($I$2:I410,I410)-1,5),_xlpm.nivel,VALUE(LEFT(M410,1)),IF(_xlpm.turno=4,"No estoy seguro/a",IF(_xlpm.turno&lt;IF(_xlpm.nivel&lt;=2,1,3),"Sí","No"))),"")</f>
        <v>No</v>
      </c>
      <c r="P410" s="9" t="str">
        <f>_xlfn.LET(_xlpm.perfil,I410,_xlpm.turno,COUNTIF($I$2:I410,_xlpm.perfil)-1,_xlpm.busca,OR(_xlpm.perfil="Actualmente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10" t="str">
        <f>IF(I410="Tengo un emprendimiento o quiero iniciar uno","",CHOOSE(MOD(INT((COUNTIF($I$2:I410,I410)-1)/7),3)+1,"Sí","No","Tengo una pero necesito actualizarla"))</f>
        <v>Sí</v>
      </c>
      <c r="R410" s="9" t="str">
        <f>IF(I410="Tengo un emprendimiento o quiero iniciar uno","",IF(I410="Busco mi primer empleo","No",IF(MOD(COUNTIF($I$2:I410,I410)-1,2)=0,"Sí","No")))</f>
        <v>Sí</v>
      </c>
      <c r="S410" t="str">
        <f>IF(I410="Tengo un emprendimiento o quiero iniciar uno","",CHOOSE(MOD(INT((COUNTIF($I$2:I410,I410)-1)/3),10)+1,"Portales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10" t="str">
        <f>IF(I410="Tengo un emprendimiento o quiero iniciar uno","",_xlfn.LET(_xlpm.opcion,MOD(INT((COUNTIF($I$2:I410,I410)-1)/4),6)+1,CHOOSE(IF(AND(_xlpm.opcion=3,Q410="Sí"),1,_xlpm.opcion),"Falta de experiencia","Falta de formación","Dificultades con la hoja de vida","Horarios disponibles","Transporte","Internet")))</f>
        <v>Internet</v>
      </c>
      <c r="U410" s="9" t="str">
        <f>IF(I410="Tengo un emprendimiento o quiero iniciar uno","",IF(MOD(INT((COUNTIF($I$2:I410,I410)-1)/3),2)=0,"Sí","No"))</f>
        <v>Sí</v>
      </c>
      <c r="V410" s="9" t="str">
        <f>IF(I410="Tengo un emprendimiento o quiero iniciar uno",CHOOSE(MOD(COUNTIF($I$2:I410,I410)-1,3)+1,"Tengo un emprendimiento","Estoy iniciando un emprendimiento","Me interesa emprender"),"")</f>
        <v/>
      </c>
      <c r="W410" t="str">
        <f t="shared" si="114"/>
        <v/>
      </c>
      <c r="X410" s="9" t="str">
        <f>IF(I410="Tengo un emprendimiento o quiero iniciar uno",CHOOSE(MOD(COUNTIF($I$2:I410,I410)-1,5)+1,"Falta de financiación","Falta de conocimientos administrativos","Falta de conocimientos financieros","Falta de tiempo","Falta de herramientas"),"")</f>
        <v/>
      </c>
      <c r="Y410" s="9" t="str">
        <f t="shared" si="115"/>
        <v/>
      </c>
      <c r="Z410" t="str">
        <f>IF(I410="Tengo un emprendimiento o quiero iniciar uno",CHOOSE(INT(MOD((COUNTIF($I$2:I410,I410)-1)*7,39)/13)+1,"Sí","No","No conozco programas de ese tipo"),"")</f>
        <v/>
      </c>
      <c r="AA410" t="str">
        <f t="shared" si="116"/>
        <v>Puedo hacerlo con dificultad</v>
      </c>
      <c r="AB410" t="str">
        <f t="shared" si="116"/>
        <v>Puedo hacerlo con dificultad</v>
      </c>
      <c r="AC410" t="str">
        <f t="shared" si="117"/>
        <v>Puedo hacerlo sin ayuda</v>
      </c>
      <c r="AD410" s="9" t="str">
        <f t="shared" si="118"/>
        <v>No puedo hacerlo</v>
      </c>
      <c r="AE410" t="str">
        <f t="shared" si="119"/>
        <v>Puedo hacerlo con dificultad</v>
      </c>
      <c r="AF410" s="9" t="str">
        <f t="shared" si="120"/>
        <v>Preparación para entrevista</v>
      </c>
      <c r="AG410" s="9" t="str">
        <f t="shared" si="121"/>
        <v>Horarios;Falta de información</v>
      </c>
      <c r="AH410" t="str">
        <f t="shared" si="122"/>
        <v>Programas de emprendimiento</v>
      </c>
      <c r="AI410" s="9" t="str">
        <f t="shared" si="123"/>
        <v>Virtual</v>
      </c>
      <c r="AJ410" s="9" t="str">
        <f t="shared" si="124"/>
        <v>Diurno</v>
      </c>
      <c r="AK410" s="9" t="str">
        <f t="shared" si="125"/>
        <v>Correo electrónico</v>
      </c>
    </row>
    <row r="411" spans="1:37">
      <c r="A411" t="str">
        <f t="shared" si="126"/>
        <v>SG410</v>
      </c>
      <c r="B411" t="s">
        <v>57</v>
      </c>
      <c r="C411" s="9" t="s">
        <v>427</v>
      </c>
      <c r="D411" t="str">
        <f t="shared" si="109"/>
        <v>Otro</v>
      </c>
      <c r="E411" t="str">
        <f t="shared" si="110"/>
        <v>De 26 a 28 años</v>
      </c>
      <c r="F411">
        <f t="shared" si="111"/>
        <v>26</v>
      </c>
      <c r="G411" t="str">
        <f t="shared" si="127"/>
        <v>Centro poblado</v>
      </c>
      <c r="H411" s="9" t="str">
        <f t="shared" si="112"/>
        <v>Profesional</v>
      </c>
      <c r="I411" s="9" t="str">
        <f t="shared" si="113"/>
        <v>Busco mi primer empleo</v>
      </c>
      <c r="J411" s="13" t="str">
        <f>IF(I411="Trabajo actualmente como empleado",IF(MOD((COUNTIF($I$2:I411,"Trabajo actualmente como empleado")-1)*37,150)&lt;100,"Empleado con contrato","Empleado sin contrato formal"),IF(I411="Trabajo de manera independiente","Trabajo independiente",""))</f>
        <v/>
      </c>
      <c r="K411" s="9" t="str">
        <f>IF(OR(I411="Trabajo actualmente como empleado",I411="Trabajo de manera independiente"),CHOOSE(MOD(COUNTIF($I$2:I411,I411)-1,4)+1,"Menos de 3 meses","De 3 a 6 meses","De 7 a 12 meses","Más de un año"),"")</f>
        <v/>
      </c>
      <c r="L411" t="str">
        <f>IF(OR(I411="Trabajo actualmente como empleado",I411="Trabajo de manera independiente"),CHOOSE(MOD(COUNTIF($I$2:I411,I411)-1,3)+1,"Sí, completamente","Parcialmente","No"),"")</f>
        <v/>
      </c>
      <c r="M411" t="str">
        <f>IF(OR(I411="Trabajo actualmente como empleado",I411="Trabajo de manera independiente"),CHOOSE(MOD(INT((COUNTIF($I$2:I411,I411)-1)/3),4)+1,"1- Muy satisfecho/a","2- Satisfecho/a","3- Insatisfecho/a","4- Muy insatisfecho/a"),"")</f>
        <v/>
      </c>
      <c r="N411" t="str">
        <f>IF(OR(I411="Trabajo actualmente como empleado",I411="Trabajo de manera independiente"),_xlfn.LET(_xlpm.opcion,MOD(INT((COUNTIF($I$2:I411,I411)-1)/5),6)+1,CHOOSE(IF(AND(_xlpm.opcion=6,L411="Sí, completamente"),5,_xlpm.opcion),"Salario","Estabilidad laboral","Horario","Acceso a prestaciones","Oportunidades de crecimiento","Trabajar en un área relacionada con mi formación")),"")</f>
        <v/>
      </c>
      <c r="O411" s="9" t="str">
        <f>IF(OR(I411="Trabajo actualmente como empleado",I411="Trabajo de manera independiente"),_xlfn.LET(_xlpm.turno,MOD(COUNTIF($I$2:I411,I411)-1,5),_xlpm.nivel,VALUE(LEFT(M411,1)),IF(_xlpm.turno=4,"No estoy seguro/a",IF(_xlpm.turno&lt;IF(_xlpm.nivel&lt;=2,1,3),"Sí","No"))),"")</f>
        <v/>
      </c>
      <c r="P411" s="9" t="str">
        <f>_xlfn.LET(_xlpm.perfil,I411,_xlpm.turno,COUNTIF($I$2:I411,_xlpm.perfil)-1,_xlpm.busca,OR(_xlpm.perfil="Actualmente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trabajar"),IF(AND(_xlpm.trabaja,O411="No"),"Todavía no he iniciado una búsqueda activa",CHOOSE(MOD(_xlpm.turno*3,5)+1,"Menos de 1 mes","Entre 1 y 3 meses","Entre 4 y 6 meses","Más de 6 meses","Todavía no he iniciado una búsqueda activa")),"")))</f>
        <v>Menos de 1 mes</v>
      </c>
      <c r="Q411" t="str">
        <f>IF(I411="Tengo un emprendimiento o quiero iniciar uno","",CHOOSE(MOD(INT((COUNTIF($I$2:I411,I411)-1)/7),3)+1,"Sí","No","Tengo una pero necesito actualizarla"))</f>
        <v>No</v>
      </c>
      <c r="R411" s="9" t="str">
        <f>IF(I411="Tengo un emprendimiento o quiero iniciar uno","",IF(I411="Busco mi primer empleo","No",IF(MOD(COUNTIF($I$2:I411,I411)-1,2)=0,"Sí","No")))</f>
        <v>No</v>
      </c>
      <c r="S411" t="str">
        <f>IF(I411="Tengo un emprendimiento o quiero iniciar uno","",CHOOSE(MOD(INT((COUNTIF($I$2:I411,I411)-1)/3),10)+1,"Portales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11" t="str">
        <f>IF(I411="Tengo un emprendimiento o quiero iniciar uno","",_xlfn.LET(_xlpm.opcion,MOD(INT((COUNTIF($I$2:I411,I411)-1)/4),6)+1,CHOOSE(IF(AND(_xlpm.opcion=3,Q411="Sí"),1,_xlpm.opcion),"Falta de experiencia","Falta de formación","Dificultades con la hoja de vida","Horarios disponibles","Transporte","Internet")))</f>
        <v>Falta de formación</v>
      </c>
      <c r="U411" s="9" t="str">
        <f>IF(I411="Tengo un emprendimiento o quiero iniciar uno","",IF(MOD(INT((COUNTIF($I$2:I411,I411)-1)/3),2)=0,"Sí","No"))</f>
        <v>No</v>
      </c>
      <c r="V411" s="9" t="str">
        <f>IF(I411="Tengo un emprendimiento o quiero iniciar uno",CHOOSE(MOD(COUNTIF($I$2:I411,I411)-1,3)+1,"Tengo un emprendimiento","Estoy iniciando un emprendimiento","Me interesa emprender"),"")</f>
        <v/>
      </c>
      <c r="W411" t="str">
        <f t="shared" si="114"/>
        <v/>
      </c>
      <c r="X411" s="9" t="str">
        <f>IF(I411="Tengo un emprendimiento o quiero iniciar uno",CHOOSE(MOD(COUNTIF($I$2:I411,I411)-1,5)+1,"Falta de financiación","Falta de conocimientos administrativos","Falta de conocimientos financieros","Falta de tiempo","Falta de herramientas"),"")</f>
        <v/>
      </c>
      <c r="Y411" s="9" t="str">
        <f t="shared" si="115"/>
        <v/>
      </c>
      <c r="Z411" t="str">
        <f>IF(I411="Tengo un emprendimiento o quiero iniciar uno",CHOOSE(INT(MOD((COUNTIF($I$2:I411,I411)-1)*7,39)/13)+1,"Sí","No","No conozco programas de ese tipo"),"")</f>
        <v/>
      </c>
      <c r="AA411" t="str">
        <f t="shared" si="116"/>
        <v>No puedo hacerlo</v>
      </c>
      <c r="AB411" t="str">
        <f t="shared" si="116"/>
        <v>No puedo hacerlo</v>
      </c>
      <c r="AC411" t="str">
        <f t="shared" si="117"/>
        <v>No puedo hacerlo</v>
      </c>
      <c r="AD411" s="9" t="str">
        <f t="shared" si="118"/>
        <v>Puedo hacerlo con ayuda</v>
      </c>
      <c r="AE411" t="str">
        <f t="shared" si="119"/>
        <v>Puedo hacerlo con dificultad</v>
      </c>
      <c r="AF411" s="9" t="str">
        <f t="shared" si="120"/>
        <v>Comunicación</v>
      </c>
      <c r="AG411" s="9" t="str">
        <f t="shared" si="121"/>
        <v>Horarios;Falta de información</v>
      </c>
      <c r="AH411" t="str">
        <f t="shared" si="122"/>
        <v>Oficina de orientación laboral</v>
      </c>
      <c r="AI411" s="9" t="str">
        <f t="shared" si="123"/>
        <v>Presencial y virtual</v>
      </c>
      <c r="AJ411" s="9" t="str">
        <f t="shared" si="124"/>
        <v>Nocturno</v>
      </c>
      <c r="AK411" s="9" t="str">
        <f t="shared" si="125"/>
        <v>Celular</v>
      </c>
    </row>
    <row r="412" spans="1:37">
      <c r="A412" t="str">
        <f t="shared" si="126"/>
        <v>SG411</v>
      </c>
      <c r="B412" t="s">
        <v>57</v>
      </c>
      <c r="C412" s="9" t="s">
        <v>427</v>
      </c>
      <c r="D412" t="str">
        <f t="shared" si="109"/>
        <v>Masculino</v>
      </c>
      <c r="E412" t="str">
        <f t="shared" si="110"/>
        <v>De 18 a 20 años</v>
      </c>
      <c r="F412">
        <f t="shared" si="111"/>
        <v>18</v>
      </c>
      <c r="G412" t="str">
        <f t="shared" si="127"/>
        <v>Rural</v>
      </c>
      <c r="H412" s="9" t="str">
        <f t="shared" si="112"/>
        <v>Bachiller</v>
      </c>
      <c r="I412" s="9" t="str">
        <f t="shared" si="113"/>
        <v>Trabajo actualmente como empleado</v>
      </c>
      <c r="J412" s="13" t="str">
        <f>IF(I412="Trabajo actualmente como empleado",IF(MOD((COUNTIF($I$2:I412,"Trabajo actualmente como empleado")-1)*37,150)&lt;100,"Empleado con contrato","Empleado sin contrato formal"),IF(I412="Trabajo de manera independiente","Trabajo independiente",""))</f>
        <v>Empleado con contrato</v>
      </c>
      <c r="K412" s="9" t="str">
        <f>IF(OR(I412="Trabajo actualmente como empleado",I412="Trabajo de manera independiente"),CHOOSE(MOD(COUNTIF($I$2:I412,I412)-1,4)+1,"Menos de 3 meses","De 3 a 6 meses","De 7 a 12 meses","Más de un año"),"")</f>
        <v>Menos de 3 meses</v>
      </c>
      <c r="L412" t="str">
        <f>IF(OR(I412="Trabajo actualmente como empleado",I412="Trabajo de manera independiente"),CHOOSE(MOD(COUNTIF($I$2:I412,I412)-1,3)+1,"Sí, completamente","Parcialmente","No"),"")</f>
        <v>No</v>
      </c>
      <c r="M412" t="str">
        <f>IF(OR(I412="Trabajo actualmente como empleado",I412="Trabajo de manera independiente"),CHOOSE(MOD(INT((COUNTIF($I$2:I412,I412)-1)/3),4)+1,"1- Muy satisfecho/a","2- Satisfecho/a","3- Insatisfecho/a","4- Muy insatisfecho/a"),"")</f>
        <v>3- Insatisfecho/a</v>
      </c>
      <c r="N412" t="str">
        <f>IF(OR(I412="Trabajo actualmente como empleado",I412="Trabajo de manera independiente"),_xlfn.LET(_xlpm.opcion,MOD(INT((COUNTIF($I$2:I412,I412)-1)/5),6)+1,CHOOSE(IF(AND(_xlpm.opcion=6,L412="Sí, completamente"),5,_xlpm.opcion),"Salario","Estabilidad laboral","Horario","Acceso a prestaciones","Oportunidades de crecimiento","Trabajar en un área relacionada con mi formación")),"")</f>
        <v>Estabilidad laboral</v>
      </c>
      <c r="O412" s="9" t="str">
        <f>IF(OR(I412="Trabajo actualmente como empleado",I412="Trabajo de manera independiente"),_xlfn.LET(_xlpm.turno,MOD(COUNTIF($I$2:I412,I412)-1,5),_xlpm.nivel,VALUE(LEFT(M412,1)),IF(_xlpm.turno=4,"No estoy seguro/a",IF(_xlpm.turno&lt;IF(_xlpm.nivel&lt;=2,1,3),"Sí","No"))),"")</f>
        <v>No</v>
      </c>
      <c r="P412" s="9" t="str">
        <f>_xlfn.LET(_xlpm.perfil,I412,_xlpm.turno,COUNTIF($I$2:I412,_xlpm.perfil)-1,_xlpm.busca,OR(_xlpm.perfil="Actualmente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12" t="str">
        <f>IF(I412="Tengo un emprendimiento o quiero iniciar uno","",CHOOSE(MOD(INT((COUNTIF($I$2:I412,I412)-1)/7),3)+1,"Sí","No","Tengo una pero necesito actualizarla"))</f>
        <v>Sí</v>
      </c>
      <c r="R412" s="9" t="str">
        <f>IF(I412="Tengo un emprendimiento o quiero iniciar uno","",IF(I412="Busco mi primer empleo","No",IF(MOD(COUNTIF($I$2:I412,I412)-1,2)=0,"Sí","No")))</f>
        <v>Sí</v>
      </c>
      <c r="S412" t="str">
        <f>IF(I412="Tengo un emprendimiento o quiero iniciar uno","",CHOOSE(MOD(INT((COUNTIF($I$2:I412,I412)-1)/3),10)+1,"Portales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</v>
      </c>
      <c r="T412" t="str">
        <f>IF(I412="Tengo un emprendimiento o quiero iniciar uno","",_xlfn.LET(_xlpm.opcion,MOD(INT((COUNTIF($I$2:I412,I412)-1)/4),6)+1,CHOOSE(IF(AND(_xlpm.opcion=3,Q412="Sí"),1,_xlpm.opcion),"Falta de experiencia","Falta de formación","Dificultades con la hoja de vida","Horarios disponibles","Transporte","Internet")))</f>
        <v>Falta de experiencia</v>
      </c>
      <c r="U412" s="9" t="str">
        <f>IF(I412="Tengo un emprendimiento o quiero iniciar uno","",IF(MOD(INT((COUNTIF($I$2:I412,I412)-1)/3),2)=0,"Sí","No"))</f>
        <v>Sí</v>
      </c>
      <c r="V412" s="9" t="str">
        <f>IF(I412="Tengo un emprendimiento o quiero iniciar uno",CHOOSE(MOD(COUNTIF($I$2:I412,I412)-1,3)+1,"Tengo un emprendimiento","Estoy iniciando un emprendimiento","Me interesa emprender"),"")</f>
        <v/>
      </c>
      <c r="W412" t="str">
        <f t="shared" si="114"/>
        <v/>
      </c>
      <c r="X412" s="9" t="str">
        <f>IF(I412="Tengo un emprendimiento o quiero iniciar uno",CHOOSE(MOD(COUNTIF($I$2:I412,I412)-1,5)+1,"Falta de financiación","Falta de conocimientos administrativos","Falta de conocimientos financieros","Falta de tiempo","Falta de herramientas"),"")</f>
        <v/>
      </c>
      <c r="Y412" s="9" t="str">
        <f t="shared" si="115"/>
        <v/>
      </c>
      <c r="Z412" t="str">
        <f>IF(I412="Tengo un emprendimiento o quiero iniciar uno",CHOOSE(INT(MOD((COUNTIF($I$2:I412,I412)-1)*7,39)/13)+1,"Sí","No","No conozco programas de ese tipo"),"")</f>
        <v/>
      </c>
      <c r="AA412" t="str">
        <f t="shared" si="116"/>
        <v>Puedo hacerlo con ayuda</v>
      </c>
      <c r="AB412" t="str">
        <f t="shared" si="116"/>
        <v>Puedo hacerlo con ayuda</v>
      </c>
      <c r="AC412" t="str">
        <f t="shared" si="117"/>
        <v>Puedo hacerlo con dificultad</v>
      </c>
      <c r="AD412" s="9" t="str">
        <f t="shared" si="118"/>
        <v>Puedo hacerlo con ayuda</v>
      </c>
      <c r="AE412" t="str">
        <f t="shared" si="119"/>
        <v>Puedo hacerlo sin ayuda</v>
      </c>
      <c r="AF412" s="9" t="str">
        <f t="shared" si="120"/>
        <v>Liderazgo</v>
      </c>
      <c r="AG412" s="9" t="str">
        <f t="shared" si="121"/>
        <v>Horarios;Falta de información</v>
      </c>
      <c r="AH412" t="str">
        <f t="shared" si="122"/>
        <v>Ferias de empleo</v>
      </c>
      <c r="AI412" s="9" t="str">
        <f t="shared" si="123"/>
        <v>Me es indiferente</v>
      </c>
      <c r="AJ412" s="9" t="str">
        <f t="shared" si="124"/>
        <v>Mañana entre semana</v>
      </c>
      <c r="AK412" s="9" t="str">
        <f t="shared" si="125"/>
        <v>WhatsApp</v>
      </c>
    </row>
    <row r="413" spans="1:37">
      <c r="A413" t="str">
        <f t="shared" si="126"/>
        <v>SG412</v>
      </c>
      <c r="B413" t="s">
        <v>57</v>
      </c>
      <c r="C413" s="9" t="s">
        <v>427</v>
      </c>
      <c r="D413" t="str">
        <f t="shared" si="109"/>
        <v>Femenino</v>
      </c>
      <c r="E413" t="str">
        <f t="shared" si="110"/>
        <v>De 20 a 22 años</v>
      </c>
      <c r="F413">
        <f t="shared" si="111"/>
        <v>20</v>
      </c>
      <c r="G413" t="str">
        <f t="shared" si="127"/>
        <v>Centro poblado</v>
      </c>
      <c r="H413" s="9" t="str">
        <f t="shared" si="112"/>
        <v>Técnico</v>
      </c>
      <c r="I413" s="9" t="str">
        <f t="shared" si="113"/>
        <v>Trabajo de manera independiente</v>
      </c>
      <c r="J413" s="13" t="str">
        <f>IF(I413="Trabajo actualmente como empleado",IF(MOD((COUNTIF($I$2:I413,"Trabajo actualmente como empleado")-1)*37,150)&lt;100,"Empleado con contrato","Empleado sin contrato formal"),IF(I413="Trabajo de manera independiente","Trabajo independiente",""))</f>
        <v>Trabajo independiente</v>
      </c>
      <c r="K413" s="9" t="str">
        <f>IF(OR(I413="Trabajo actualmente como empleado",I413="Trabajo de manera independiente"),CHOOSE(MOD(COUNTIF($I$2:I413,I413)-1,4)+1,"Menos de 3 meses","De 3 a 6 meses","De 7 a 12 meses","Más de un año"),"")</f>
        <v>De 3 a 6 meses</v>
      </c>
      <c r="L413" t="str">
        <f>IF(OR(I413="Trabajo actualmente como empleado",I413="Trabajo de manera independiente"),CHOOSE(MOD(COUNTIF($I$2:I413,I413)-1,3)+1,"Sí, completamente","Parcialmente","No"),"")</f>
        <v>Sí, completamente</v>
      </c>
      <c r="M413" t="str">
        <f>IF(OR(I413="Trabajo actualmente como empleado",I413="Trabajo de manera independiente"),CHOOSE(MOD(INT((COUNTIF($I$2:I413,I413)-1)/3),4)+1,"1- Muy satisfecho/a","2- Satisfecho/a","3- Insatisfecho/a","4- Muy insatisfecho/a"),"")</f>
        <v>4- Muy insatisfecho/a</v>
      </c>
      <c r="N413" t="str">
        <f>IF(OR(I413="Trabajo actualmente como empleado",I413="Trabajo de manera independiente"),_xlfn.LET(_xlpm.opcion,MOD(INT((COUNTIF($I$2:I413,I413)-1)/5),6)+1,CHOOSE(IF(AND(_xlpm.opcion=6,L413="Sí, completamente"),5,_xlpm.opcion),"Salario","Estabilidad laboral","Horario","Acceso a prestaciones","Oportunidades de crecimiento","Trabajar en un área relacionada con mi formación")),"")</f>
        <v>Estabilidad laboral</v>
      </c>
      <c r="O413" s="9" t="str">
        <f>IF(OR(I413="Trabajo actualmente como empleado",I413="Trabajo de manera independiente"),_xlfn.LET(_xlpm.turno,MOD(COUNTIF($I$2:I413,I413)-1,5),_xlpm.nivel,VALUE(LEFT(M413,1)),IF(_xlpm.turno=4,"No estoy seguro/a",IF(_xlpm.turno&lt;IF(_xlpm.nivel&lt;=2,1,3),"Sí","No"))),"")</f>
        <v>No estoy seguro/a</v>
      </c>
      <c r="P413" s="9" t="str">
        <f>_xlfn.LET(_xlpm.perfil,I413,_xlpm.turno,COUNTIF($I$2:I413,_xlpm.perfil)-1,_xlpm.busca,OR(_xlpm.perfil="Actualmente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trabajar"),IF(AND(_xlpm.trabaja,O413="No"),"Todavía no he iniciado una búsqueda activa",CHOOSE(MOD(_xlpm.turno*3,5)+1,"Menos de 1 mes","Entre 1 y 3 meses","Entre 4 y 6 meses","Más de 6 meses","Todavía no he iniciado una búsqueda activa")),"")))</f>
        <v>Entre 4 y 6 meses</v>
      </c>
      <c r="Q413" t="str">
        <f>IF(I413="Tengo un emprendimiento o quiero iniciar uno","",CHOOSE(MOD(INT((COUNTIF($I$2:I413,I413)-1)/7),3)+1,"Sí","No","Tengo una pero necesito actualizarla"))</f>
        <v>Sí</v>
      </c>
      <c r="R413" s="9" t="str">
        <f>IF(I413="Tengo un emprendimiento o quiero iniciar uno","",IF(I413="Busco mi primer empleo","No",IF(MOD(COUNTIF($I$2:I413,I413)-1,2)=0,"Sí","No")))</f>
        <v>No</v>
      </c>
      <c r="S413" t="str">
        <f>IF(I413="Tengo un emprendimiento o quiero iniciar uno","",CHOOSE(MOD(INT((COUNTIF($I$2:I413,I413)-1)/3),10)+1,"Portales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413" t="str">
        <f>IF(I413="Tengo un emprendimiento o quiero iniciar uno","",_xlfn.LET(_xlpm.opcion,MOD(INT((COUNTIF($I$2:I413,I413)-1)/4),6)+1,CHOOSE(IF(AND(_xlpm.opcion=3,Q413="Sí"),1,_xlpm.opcion),"Falta de experiencia","Falta de formación","Dificultades con la hoja de vida","Horarios disponibles","Transporte","Internet")))</f>
        <v>Internet</v>
      </c>
      <c r="U413" s="9" t="str">
        <f>IF(I413="Tengo un emprendimiento o quiero iniciar uno","",IF(MOD(INT((COUNTIF($I$2:I413,I413)-1)/3),2)=0,"Sí","No"))</f>
        <v>No</v>
      </c>
      <c r="V413" s="9" t="str">
        <f>IF(I413="Tengo un emprendimiento o quiero iniciar uno",CHOOSE(MOD(COUNTIF($I$2:I413,I413)-1,3)+1,"Tengo un emprendimiento","Estoy iniciando un emprendimiento","Me interesa emprender"),"")</f>
        <v/>
      </c>
      <c r="W413" t="str">
        <f t="shared" si="114"/>
        <v/>
      </c>
      <c r="X413" s="9" t="str">
        <f>IF(I413="Tengo un emprendimiento o quiero iniciar uno",CHOOSE(MOD(COUNTIF($I$2:I413,I413)-1,5)+1,"Falta de financiación","Falta de conocimientos administrativos","Falta de conocimientos financieros","Falta de tiempo","Falta de herramientas"),"")</f>
        <v/>
      </c>
      <c r="Y413" s="9" t="str">
        <f t="shared" si="115"/>
        <v/>
      </c>
      <c r="Z413" t="str">
        <f>IF(I413="Tengo un emprendimiento o quiero iniciar uno",CHOOSE(INT(MOD((COUNTIF($I$2:I413,I413)-1)*7,39)/13)+1,"Sí","No","No conozco programas de ese tipo"),"")</f>
        <v/>
      </c>
      <c r="AA413" t="str">
        <f t="shared" si="116"/>
        <v>Puedo hacerlo sin ayuda</v>
      </c>
      <c r="AB413" t="str">
        <f t="shared" si="116"/>
        <v>Puedo hacerlo sin ayuda</v>
      </c>
      <c r="AC413" t="str">
        <f t="shared" si="117"/>
        <v>Puedo hacerlo sin ayuda</v>
      </c>
      <c r="AD413" s="9" t="str">
        <f t="shared" si="118"/>
        <v>Puedo hacerlo con dificultad</v>
      </c>
      <c r="AE413" t="str">
        <f t="shared" si="119"/>
        <v>No puedo hacerlo</v>
      </c>
      <c r="AF413" s="9" t="str">
        <f t="shared" si="120"/>
        <v>Emprendimiento</v>
      </c>
      <c r="AG413" s="9" t="str">
        <f t="shared" si="121"/>
        <v>Ninguna</v>
      </c>
      <c r="AH413" t="str">
        <f t="shared" si="122"/>
        <v>No conozco ninguno</v>
      </c>
      <c r="AI413" s="9" t="str">
        <f t="shared" si="123"/>
        <v>Presencial</v>
      </c>
      <c r="AJ413" s="9" t="str">
        <f t="shared" si="124"/>
        <v>Diurno</v>
      </c>
      <c r="AK413" s="9" t="str">
        <f t="shared" si="125"/>
        <v>Redes sociales</v>
      </c>
    </row>
    <row r="414" spans="1:37">
      <c r="A414" t="str">
        <f t="shared" si="126"/>
        <v>SG413</v>
      </c>
      <c r="B414" t="s">
        <v>57</v>
      </c>
      <c r="C414" s="9" t="s">
        <v>427</v>
      </c>
      <c r="D414" t="str">
        <f t="shared" si="109"/>
        <v>Femenino</v>
      </c>
      <c r="E414" t="str">
        <f t="shared" si="110"/>
        <v>De 22 a 24 años</v>
      </c>
      <c r="F414">
        <f t="shared" si="111"/>
        <v>22</v>
      </c>
      <c r="G414" t="str">
        <f t="shared" si="127"/>
        <v>Rural</v>
      </c>
      <c r="H414" s="9" t="str">
        <f t="shared" si="112"/>
        <v>Tecnólogo</v>
      </c>
      <c r="I414" s="9" t="str">
        <f t="shared" si="113"/>
        <v>Estudio y quiero comenzar a trabajar</v>
      </c>
      <c r="J414" s="13" t="str">
        <f>IF(I414="Trabajo actualmente como empleado",IF(MOD((COUNTIF($I$2:I414,"Trabajo actualmente como empleado")-1)*37,150)&lt;100,"Empleado con contrato","Empleado sin contrato formal"),IF(I414="Trabajo de manera independiente","Trabajo independiente",""))</f>
        <v/>
      </c>
      <c r="K414" s="9" t="str">
        <f>IF(OR(I414="Trabajo actualmente como empleado",I414="Trabajo de manera independiente"),CHOOSE(MOD(COUNTIF($I$2:I414,I414)-1,4)+1,"Menos de 3 meses","De 3 a 6 meses","De 7 a 12 meses","Más de un año"),"")</f>
        <v/>
      </c>
      <c r="L414" t="str">
        <f>IF(OR(I414="Trabajo actualmente como empleado",I414="Trabajo de manera independiente"),CHOOSE(MOD(COUNTIF($I$2:I414,I414)-1,3)+1,"Sí, completamente","Parcialmente","No"),"")</f>
        <v/>
      </c>
      <c r="M414" t="str">
        <f>IF(OR(I414="Trabajo actualmente como empleado",I414="Trabajo de manera independiente"),CHOOSE(MOD(INT((COUNTIF($I$2:I414,I414)-1)/3),4)+1,"1- Muy satisfecho/a","2- Satisfecho/a","3- Insatisfecho/a","4- Muy insatisfecho/a"),"")</f>
        <v/>
      </c>
      <c r="N414" t="str">
        <f>IF(OR(I414="Trabajo actualmente como empleado",I414="Trabajo de manera independiente"),_xlfn.LET(_xlpm.opcion,MOD(INT((COUNTIF($I$2:I414,I414)-1)/5),6)+1,CHOOSE(IF(AND(_xlpm.opcion=6,L414="Sí, completamente"),5,_xlpm.opcion),"Salario","Estabilidad laboral","Horario","Acceso a prestaciones","Oportunidades de crecimiento","Trabajar en un área relacionada con mi formación")),"")</f>
        <v/>
      </c>
      <c r="O414" s="9" t="str">
        <f>IF(OR(I414="Trabajo actualmente como empleado",I414="Trabajo de manera independiente"),_xlfn.LET(_xlpm.turno,MOD(COUNTIF($I$2:I414,I414)-1,5),_xlpm.nivel,VALUE(LEFT(M414,1)),IF(_xlpm.turno=4,"No estoy seguro/a",IF(_xlpm.turno&lt;IF(_xlpm.nivel&lt;=2,1,3),"Sí","No"))),"")</f>
        <v/>
      </c>
      <c r="P414" s="9" t="str">
        <f>_xlfn.LET(_xlpm.perfil,I414,_xlpm.turno,COUNTIF($I$2:I414,_xlpm.perfil)-1,_xlpm.busca,OR(_xlpm.perfil="Actualmente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trabajar"),IF(AND(_xlpm.trabaja,O414="No"),"Todavía no he iniciado una búsqueda activa",CHOOSE(MOD(_xlpm.turno*3,5)+1,"Menos de 1 mes","Entre 1 y 3 meses","Entre 4 y 6 meses","Más de 6 meses","Todavía no he iniciado una búsqueda activa")),"")))</f>
        <v>Menos de 1 mes</v>
      </c>
      <c r="Q414" t="str">
        <f>IF(I414="Tengo un emprendimiento o quiero iniciar uno","",CHOOSE(MOD(INT((COUNTIF($I$2:I414,I414)-1)/7),3)+1,"Sí","No","Tengo una pero necesito actualizarla"))</f>
        <v>No</v>
      </c>
      <c r="R414" s="9" t="str">
        <f>IF(I414="Tengo un emprendimiento o quiero iniciar uno","",IF(I414="Busco mi primer empleo","No",IF(MOD(COUNTIF($I$2:I414,I414)-1,2)=0,"Sí","No")))</f>
        <v>Sí</v>
      </c>
      <c r="S414" t="str">
        <f>IF(I414="Tengo un emprendimiento o quiero iniciar uno","",CHOOSE(MOD(INT((COUNTIF($I$2:I414,I414)-1)/3),10)+1,"Portales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14" t="str">
        <f>IF(I414="Tengo un emprendimiento o quiero iniciar uno","",_xlfn.LET(_xlpm.opcion,MOD(INT((COUNTIF($I$2:I414,I414)-1)/4),6)+1,CHOOSE(IF(AND(_xlpm.opcion=3,Q414="Sí"),1,_xlpm.opcion),"Falta de experiencia","Falta de formación","Dificultades con la hoja de vida","Horarios disponibles","Transporte","Internet")))</f>
        <v>Falta de experiencia</v>
      </c>
      <c r="U414" s="9" t="str">
        <f>IF(I414="Tengo un emprendimiento o quiero iniciar uno","",IF(MOD(INT((COUNTIF($I$2:I414,I414)-1)/3),2)=0,"Sí","No"))</f>
        <v>Sí</v>
      </c>
      <c r="V414" s="9" t="str">
        <f>IF(I414="Tengo un emprendimiento o quiero iniciar uno",CHOOSE(MOD(COUNTIF($I$2:I414,I414)-1,3)+1,"Tengo un emprendimiento","Estoy iniciando un emprendimiento","Me interesa emprender"),"")</f>
        <v/>
      </c>
      <c r="W414" t="str">
        <f t="shared" si="114"/>
        <v/>
      </c>
      <c r="X414" s="9" t="str">
        <f>IF(I414="Tengo un emprendimiento o quiero iniciar uno",CHOOSE(MOD(COUNTIF($I$2:I414,I414)-1,5)+1,"Falta de financiación","Falta de conocimientos administrativos","Falta de conocimientos financieros","Falta de tiempo","Falta de herramientas"),"")</f>
        <v/>
      </c>
      <c r="Y414" s="9" t="str">
        <f t="shared" si="115"/>
        <v/>
      </c>
      <c r="Z414" t="str">
        <f>IF(I414="Tengo un emprendimiento o quiero iniciar uno",CHOOSE(INT(MOD((COUNTIF($I$2:I414,I414)-1)*7,39)/13)+1,"Sí","No","No conozco programas de ese tipo"),"")</f>
        <v/>
      </c>
      <c r="AA414" t="str">
        <f t="shared" si="116"/>
        <v>Puedo hacerlo con ayuda</v>
      </c>
      <c r="AB414" t="str">
        <f t="shared" si="116"/>
        <v>Puedo hacerlo con ayuda</v>
      </c>
      <c r="AC414" t="str">
        <f t="shared" si="117"/>
        <v>No puedo hacerlo</v>
      </c>
      <c r="AD414" s="9" t="str">
        <f t="shared" si="118"/>
        <v>Puedo hacerlo sin ayuda</v>
      </c>
      <c r="AE414" t="str">
        <f t="shared" si="119"/>
        <v>No puedo hacerlo</v>
      </c>
      <c r="AF414" s="9" t="str">
        <f t="shared" si="120"/>
        <v>Herramientas digitales</v>
      </c>
      <c r="AG414" s="9" t="str">
        <f t="shared" si="121"/>
        <v>Ninguna</v>
      </c>
      <c r="AH414" t="str">
        <f t="shared" si="122"/>
        <v>Ferias de empleo</v>
      </c>
      <c r="AI414" s="9" t="str">
        <f t="shared" si="123"/>
        <v>Virtual</v>
      </c>
      <c r="AJ414" s="9" t="str">
        <f t="shared" si="124"/>
        <v>Nocturno</v>
      </c>
      <c r="AK414" s="9" t="str">
        <f t="shared" si="125"/>
        <v>Celular</v>
      </c>
    </row>
    <row r="415" spans="1:37">
      <c r="A415" t="str">
        <f t="shared" si="126"/>
        <v>SG414</v>
      </c>
      <c r="B415" t="s">
        <v>57</v>
      </c>
      <c r="C415" s="9" t="s">
        <v>427</v>
      </c>
      <c r="D415" t="str">
        <f t="shared" si="109"/>
        <v>Masculino</v>
      </c>
      <c r="E415" t="str">
        <f t="shared" si="110"/>
        <v>De 24 a 26 años</v>
      </c>
      <c r="F415">
        <f t="shared" si="111"/>
        <v>24</v>
      </c>
      <c r="G415" t="str">
        <f t="shared" si="127"/>
        <v>Centro poblado</v>
      </c>
      <c r="H415" s="9" t="str">
        <f t="shared" si="112"/>
        <v>Profesional</v>
      </c>
      <c r="I415" s="9" t="str">
        <f t="shared" si="113"/>
        <v>Trabajo actualmente como empleado</v>
      </c>
      <c r="J415" s="13" t="str">
        <f>IF(I415="Trabajo actualmente como empleado",IF(MOD((COUNTIF($I$2:I415,"Trabajo actualmente como empleado")-1)*37,150)&lt;100,"Empleado con contrato","Empleado sin contrato formal"),IF(I415="Trabajo de manera independiente","Trabajo independiente",""))</f>
        <v>Empleado sin contrato formal</v>
      </c>
      <c r="K415" s="9" t="str">
        <f>IF(OR(I415="Trabajo actualmente como empleado",I415="Trabajo de manera independiente"),CHOOSE(MOD(COUNTIF($I$2:I415,I415)-1,4)+1,"Menos de 3 meses","De 3 a 6 meses","De 7 a 12 meses","Más de un año"),"")</f>
        <v>De 3 a 6 meses</v>
      </c>
      <c r="L415" t="str">
        <f>IF(OR(I415="Trabajo actualmente como empleado",I415="Trabajo de manera independiente"),CHOOSE(MOD(COUNTIF($I$2:I415,I415)-1,3)+1,"Sí, completamente","Parcialmente","No"),"")</f>
        <v>Sí, completamente</v>
      </c>
      <c r="M415" t="str">
        <f>IF(OR(I415="Trabajo actualmente como empleado",I415="Trabajo de manera independiente"),CHOOSE(MOD(INT((COUNTIF($I$2:I415,I415)-1)/3),4)+1,"1- Muy satisfecho/a","2- Satisfecho/a","3- Insatisfecho/a","4- Muy insatisfecho/a"),"")</f>
        <v>4- Muy insatisfecho/a</v>
      </c>
      <c r="N415" t="str">
        <f>IF(OR(I415="Trabajo actualmente como empleado",I415="Trabajo de manera independiente"),_xlfn.LET(_xlpm.opcion,MOD(INT((COUNTIF($I$2:I415,I415)-1)/5),6)+1,CHOOSE(IF(AND(_xlpm.opcion=6,L415="Sí, completamente"),5,_xlpm.opcion),"Salario","Estabilidad laboral","Horario","Acceso a prestaciones","Oportunidades de crecimiento","Trabajar en un área relacionada con mi formación")),"")</f>
        <v>Estabilidad laboral</v>
      </c>
      <c r="O415" s="9" t="str">
        <f>IF(OR(I415="Trabajo actualmente como empleado",I415="Trabajo de manera independiente"),_xlfn.LET(_xlpm.turno,MOD(COUNTIF($I$2:I415,I415)-1,5),_xlpm.nivel,VALUE(LEFT(M415,1)),IF(_xlpm.turno=4,"No estoy seguro/a",IF(_xlpm.turno&lt;IF(_xlpm.nivel&lt;=2,1,3),"Sí","No"))),"")</f>
        <v>No estoy seguro/a</v>
      </c>
      <c r="P415" s="9" t="str">
        <f>_xlfn.LET(_xlpm.perfil,I415,_xlpm.turno,COUNTIF($I$2:I415,_xlpm.perfil)-1,_xlpm.busca,OR(_xlpm.perfil="Actualmente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trabajar"),IF(AND(_xlpm.trabaja,O415="No"),"Todavía no he iniciado una búsqueda activa",CHOOSE(MOD(_xlpm.turno*3,5)+1,"Menos de 1 mes","Entre 1 y 3 meses","Entre 4 y 6 meses","Más de 6 meses","Todavía no he iniciado una búsqueda activa")),"")))</f>
        <v>Entre 4 y 6 meses</v>
      </c>
      <c r="Q415" t="str">
        <f>IF(I415="Tengo un emprendimiento o quiero iniciar uno","",CHOOSE(MOD(INT((COUNTIF($I$2:I415,I415)-1)/7),3)+1,"Sí","No","Tengo una pero necesito actualizarla"))</f>
        <v>Sí</v>
      </c>
      <c r="R415" s="9" t="str">
        <f>IF(I415="Tengo un emprendimiento o quiero iniciar uno","",IF(I415="Busco mi primer empleo","No",IF(MOD(COUNTIF($I$2:I415,I415)-1,2)=0,"Sí","No")))</f>
        <v>No</v>
      </c>
      <c r="S415" t="str">
        <f>IF(I415="Tengo un emprendimiento o quiero iniciar uno","",CHOOSE(MOD(INT((COUNTIF($I$2:I415,I415)-1)/3),10)+1,"Portales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415" t="str">
        <f>IF(I415="Tengo un emprendimiento o quiero iniciar uno","",_xlfn.LET(_xlpm.opcion,MOD(INT((COUNTIF($I$2:I415,I415)-1)/4),6)+1,CHOOSE(IF(AND(_xlpm.opcion=3,Q415="Sí"),1,_xlpm.opcion),"Falta de experiencia","Falta de formación","Dificultades con la hoja de vida","Horarios disponibles","Transporte","Internet")))</f>
        <v>Falta de experiencia</v>
      </c>
      <c r="U415" s="9" t="str">
        <f>IF(I415="Tengo un emprendimiento o quiero iniciar uno","",IF(MOD(INT((COUNTIF($I$2:I415,I415)-1)/3),2)=0,"Sí","No"))</f>
        <v>No</v>
      </c>
      <c r="V415" s="9" t="str">
        <f>IF(I415="Tengo un emprendimiento o quiero iniciar uno",CHOOSE(MOD(COUNTIF($I$2:I415,I415)-1,3)+1,"Tengo un emprendimiento","Estoy iniciando un emprendimiento","Me interesa emprender"),"")</f>
        <v/>
      </c>
      <c r="W415" t="str">
        <f t="shared" si="114"/>
        <v/>
      </c>
      <c r="X415" s="9" t="str">
        <f>IF(I415="Tengo un emprendimiento o quiero iniciar uno",CHOOSE(MOD(COUNTIF($I$2:I415,I415)-1,5)+1,"Falta de financiación","Falta de conocimientos administrativos","Falta de conocimientos financieros","Falta de tiempo","Falta de herramientas"),"")</f>
        <v/>
      </c>
      <c r="Y415" s="9" t="str">
        <f t="shared" si="115"/>
        <v/>
      </c>
      <c r="Z415" t="str">
        <f>IF(I415="Tengo un emprendimiento o quiero iniciar uno",CHOOSE(INT(MOD((COUNTIF($I$2:I415,I415)-1)*7,39)/13)+1,"Sí","No","No conozco programas de ese tipo"),"")</f>
        <v/>
      </c>
      <c r="AA415" t="str">
        <f t="shared" si="116"/>
        <v>Puedo hacerlo con dificultad</v>
      </c>
      <c r="AB415" t="str">
        <f t="shared" si="116"/>
        <v>Puedo hacerlo con dificultad</v>
      </c>
      <c r="AC415" t="str">
        <f t="shared" si="117"/>
        <v>Puedo hacerlo con dificultad</v>
      </c>
      <c r="AD415" s="9" t="str">
        <f t="shared" si="118"/>
        <v>No puedo hacerlo</v>
      </c>
      <c r="AE415" t="str">
        <f t="shared" si="119"/>
        <v>Puedo hacerlo con ayuda</v>
      </c>
      <c r="AF415" s="9" t="str">
        <f t="shared" si="120"/>
        <v>Educación financiera</v>
      </c>
      <c r="AG415" s="9" t="str">
        <f t="shared" si="121"/>
        <v>Ninguna</v>
      </c>
      <c r="AH415" t="str">
        <f t="shared" si="122"/>
        <v>Programas de emprendimiento</v>
      </c>
      <c r="AI415" s="9" t="str">
        <f t="shared" si="123"/>
        <v>Presencial y virtual</v>
      </c>
      <c r="AJ415" s="9" t="str">
        <f t="shared" si="124"/>
        <v>Mañana entre semana</v>
      </c>
      <c r="AK415" s="9" t="str">
        <f t="shared" si="125"/>
        <v>Correo electrónico</v>
      </c>
    </row>
    <row r="416" spans="1:37">
      <c r="A416" t="str">
        <f t="shared" si="126"/>
        <v>SG415</v>
      </c>
      <c r="B416" t="s">
        <v>57</v>
      </c>
      <c r="C416" s="9" t="s">
        <v>427</v>
      </c>
      <c r="D416" t="str">
        <f t="shared" si="109"/>
        <v>Masculino</v>
      </c>
      <c r="E416" t="str">
        <f t="shared" si="110"/>
        <v>De 26 a 28 años</v>
      </c>
      <c r="F416">
        <f t="shared" si="111"/>
        <v>27</v>
      </c>
      <c r="G416" t="str">
        <f t="shared" si="127"/>
        <v>Rural</v>
      </c>
      <c r="H416" s="9" t="str">
        <f t="shared" si="112"/>
        <v>Posgrado</v>
      </c>
      <c r="I416" s="9" t="str">
        <f t="shared" si="113"/>
        <v>Actualmente no trabajo y estoy buscando empleo</v>
      </c>
      <c r="J416" s="13" t="str">
        <f>IF(I416="Trabajo actualmente como empleado",IF(MOD((COUNTIF($I$2:I416,"Trabajo actualmente como empleado")-1)*37,150)&lt;100,"Empleado con contrato","Empleado sin contrato formal"),IF(I416="Trabajo de manera independiente","Trabajo independiente",""))</f>
        <v/>
      </c>
      <c r="K416" s="9" t="str">
        <f>IF(OR(I416="Trabajo actualmente como empleado",I416="Trabajo de manera independiente"),CHOOSE(MOD(COUNTIF($I$2:I416,I416)-1,4)+1,"Menos de 3 meses","De 3 a 6 meses","De 7 a 12 meses","Más de un año"),"")</f>
        <v/>
      </c>
      <c r="L416" t="str">
        <f>IF(OR(I416="Trabajo actualmente como empleado",I416="Trabajo de manera independiente"),CHOOSE(MOD(COUNTIF($I$2:I416,I416)-1,3)+1,"Sí, completamente","Parcialmente","No"),"")</f>
        <v/>
      </c>
      <c r="M416" t="str">
        <f>IF(OR(I416="Trabajo actualmente como empleado",I416="Trabajo de manera independiente"),CHOOSE(MOD(INT((COUNTIF($I$2:I416,I416)-1)/3),4)+1,"1- Muy satisfecho/a","2- Satisfecho/a","3- Insatisfecho/a","4- Muy insatisfecho/a"),"")</f>
        <v/>
      </c>
      <c r="N416" t="str">
        <f>IF(OR(I416="Trabajo actualmente como empleado",I416="Trabajo de manera independiente"),_xlfn.LET(_xlpm.opcion,MOD(INT((COUNTIF($I$2:I416,I416)-1)/5),6)+1,CHOOSE(IF(AND(_xlpm.opcion=6,L416="Sí, completamente"),5,_xlpm.opcion),"Salario","Estabilidad laboral","Horario","Acceso a prestaciones","Oportunidades de crecimiento","Trabajar en un área relacionada con mi formación")),"")</f>
        <v/>
      </c>
      <c r="O416" s="9" t="str">
        <f>IF(OR(I416="Trabajo actualmente como empleado",I416="Trabajo de manera independiente"),_xlfn.LET(_xlpm.turno,MOD(COUNTIF($I$2:I416,I416)-1,5),_xlpm.nivel,VALUE(LEFT(M416,1)),IF(_xlpm.turno=4,"No estoy seguro/a",IF(_xlpm.turno&lt;IF(_xlpm.nivel&lt;=2,1,3),"Sí","No"))),"")</f>
        <v/>
      </c>
      <c r="P416" s="9" t="str">
        <f>_xlfn.LET(_xlpm.perfil,I416,_xlpm.turno,COUNTIF($I$2:I416,_xlpm.perfil)-1,_xlpm.busca,OR(_xlpm.perfil="Actualmente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trabajar"),IF(AND(_xlpm.trabaja,O416="No"),"Todavía no he iniciado una búsqueda activa",CHOOSE(MOD(_xlpm.turno*3,5)+1,"Menos de 1 mes","Entre 1 y 3 meses","Entre 4 y 6 meses","Más de 6 meses","Todavía no he iniciado una búsqueda activa")),"")))</f>
        <v>Menos de 1 mes</v>
      </c>
      <c r="Q416" t="str">
        <f>IF(I416="Tengo un emprendimiento o quiero iniciar uno","",CHOOSE(MOD(INT((COUNTIF($I$2:I416,I416)-1)/7),3)+1,"Sí","No","Tengo una pero necesito actualizarla"))</f>
        <v>No</v>
      </c>
      <c r="R416" s="9" t="str">
        <f>IF(I416="Tengo un emprendimiento o quiero iniciar uno","",IF(I416="Busco mi primer empleo","No",IF(MOD(COUNTIF($I$2:I416,I416)-1,2)=0,"Sí","No")))</f>
        <v>Sí</v>
      </c>
      <c r="S416" t="str">
        <f>IF(I416="Tengo un emprendimiento o quiero iniciar uno","",CHOOSE(MOD(INT((COUNTIF($I$2:I416,I416)-1)/3),10)+1,"Portales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16" t="str">
        <f>IF(I416="Tengo un emprendimiento o quiero iniciar uno","",_xlfn.LET(_xlpm.opcion,MOD(INT((COUNTIF($I$2:I416,I416)-1)/4),6)+1,CHOOSE(IF(AND(_xlpm.opcion=3,Q416="Sí"),1,_xlpm.opcion),"Falta de experiencia","Falta de formación","Dificultades con la hoja de vida","Horarios disponibles","Transporte","Internet")))</f>
        <v>Falta de formación</v>
      </c>
      <c r="U416" s="9" t="str">
        <f>IF(I416="Tengo un emprendimiento o quiero iniciar uno","",IF(MOD(INT((COUNTIF($I$2:I416,I416)-1)/3),2)=0,"Sí","No"))</f>
        <v>No</v>
      </c>
      <c r="V416" s="9" t="str">
        <f>IF(I416="Tengo un emprendimiento o quiero iniciar uno",CHOOSE(MOD(COUNTIF($I$2:I416,I416)-1,3)+1,"Tengo un emprendimiento","Estoy iniciando un emprendimiento","Me interesa emprender"),"")</f>
        <v/>
      </c>
      <c r="W416" t="str">
        <f t="shared" si="114"/>
        <v/>
      </c>
      <c r="X416" s="9" t="str">
        <f>IF(I416="Tengo un emprendimiento o quiero iniciar uno",CHOOSE(MOD(COUNTIF($I$2:I416,I416)-1,5)+1,"Falta de financiación","Falta de conocimientos administrativos","Falta de conocimientos financieros","Falta de tiempo","Falta de herramientas"),"")</f>
        <v/>
      </c>
      <c r="Y416" s="9" t="str">
        <f t="shared" si="115"/>
        <v/>
      </c>
      <c r="Z416" t="str">
        <f>IF(I416="Tengo un emprendimiento o quiero iniciar uno",CHOOSE(INT(MOD((COUNTIF($I$2:I416,I416)-1)*7,39)/13)+1,"Sí","No","No conozco programas de ese tipo"),"")</f>
        <v/>
      </c>
      <c r="AA416" t="str">
        <f t="shared" si="116"/>
        <v>No puedo hacerlo</v>
      </c>
      <c r="AB416" t="str">
        <f t="shared" si="116"/>
        <v>No puedo hacerlo</v>
      </c>
      <c r="AC416" t="str">
        <f t="shared" si="117"/>
        <v>Puedo hacerlo sin ayuda</v>
      </c>
      <c r="AD416" s="9" t="str">
        <f t="shared" si="118"/>
        <v>No puedo hacerlo</v>
      </c>
      <c r="AE416" t="str">
        <f t="shared" si="119"/>
        <v>Puedo hacerlo con ayuda</v>
      </c>
      <c r="AF416" s="9" t="str">
        <f t="shared" si="120"/>
        <v>Crear una hoja de vida;Preparación para entrevista</v>
      </c>
      <c r="AG416" s="9" t="str">
        <f t="shared" si="121"/>
        <v>Falta de experiencia</v>
      </c>
      <c r="AH416" t="str">
        <f t="shared" si="122"/>
        <v>Oficina de orientación laboral</v>
      </c>
      <c r="AI416" s="9" t="str">
        <f t="shared" si="123"/>
        <v>Me es indiferente</v>
      </c>
      <c r="AJ416" s="9" t="str">
        <f t="shared" si="124"/>
        <v>Diurno</v>
      </c>
      <c r="AK416" s="9" t="str">
        <f t="shared" si="125"/>
        <v>Redes sociales</v>
      </c>
    </row>
    <row r="417" spans="1:37">
      <c r="A417" t="str">
        <f t="shared" si="126"/>
        <v>SG416</v>
      </c>
      <c r="B417" t="s">
        <v>57</v>
      </c>
      <c r="C417" s="9" t="s">
        <v>427</v>
      </c>
      <c r="D417" t="str">
        <f t="shared" si="109"/>
        <v>Femenino</v>
      </c>
      <c r="E417" t="str">
        <f t="shared" si="110"/>
        <v>De 18 a 20 años</v>
      </c>
      <c r="F417">
        <f t="shared" si="111"/>
        <v>19</v>
      </c>
      <c r="G417" t="str">
        <f t="shared" si="127"/>
        <v>Centro poblado</v>
      </c>
      <c r="H417" s="9" t="str">
        <f t="shared" si="112"/>
        <v>Tecnólogo</v>
      </c>
      <c r="I417" s="9" t="str">
        <f t="shared" si="113"/>
        <v>Estudio y quiero comenzar a trabajar</v>
      </c>
      <c r="J417" s="13" t="str">
        <f>IF(I417="Trabajo actualmente como empleado",IF(MOD((COUNTIF($I$2:I417,"Trabajo actualmente como empleado")-1)*37,150)&lt;100,"Empleado con contrato","Empleado sin contrato formal"),IF(I417="Trabajo de manera independiente","Trabajo independiente",""))</f>
        <v/>
      </c>
      <c r="K417" s="9" t="str">
        <f>IF(OR(I417="Trabajo actualmente como empleado",I417="Trabajo de manera independiente"),CHOOSE(MOD(COUNTIF($I$2:I417,I417)-1,4)+1,"Menos de 3 meses","De 3 a 6 meses","De 7 a 12 meses","Más de un año"),"")</f>
        <v/>
      </c>
      <c r="L417" t="str">
        <f>IF(OR(I417="Trabajo actualmente como empleado",I417="Trabajo de manera independiente"),CHOOSE(MOD(COUNTIF($I$2:I417,I417)-1,3)+1,"Sí, completamente","Parcialmente","No"),"")</f>
        <v/>
      </c>
      <c r="M417" t="str">
        <f>IF(OR(I417="Trabajo actualmente como empleado",I417="Trabajo de manera independiente"),CHOOSE(MOD(INT((COUNTIF($I$2:I417,I417)-1)/3),4)+1,"1- Muy satisfecho/a","2- Satisfecho/a","3- Insatisfecho/a","4- Muy insatisfecho/a"),"")</f>
        <v/>
      </c>
      <c r="N417" t="str">
        <f>IF(OR(I417="Trabajo actualmente como empleado",I417="Trabajo de manera independiente"),_xlfn.LET(_xlpm.opcion,MOD(INT((COUNTIF($I$2:I417,I417)-1)/5),6)+1,CHOOSE(IF(AND(_xlpm.opcion=6,L417="Sí, completamente"),5,_xlpm.opcion),"Salario","Estabilidad laboral","Horario","Acceso a prestaciones","Oportunidades de crecimiento","Trabajar en un área relacionada con mi formación")),"")</f>
        <v/>
      </c>
      <c r="O417" s="9" t="str">
        <f>IF(OR(I417="Trabajo actualmente como empleado",I417="Trabajo de manera independiente"),_xlfn.LET(_xlpm.turno,MOD(COUNTIF($I$2:I417,I417)-1,5),_xlpm.nivel,VALUE(LEFT(M417,1)),IF(_xlpm.turno=4,"No estoy seguro/a",IF(_xlpm.turno&lt;IF(_xlpm.nivel&lt;=2,1,3),"Sí","No"))),"")</f>
        <v/>
      </c>
      <c r="P417" s="9" t="str">
        <f>_xlfn.LET(_xlpm.perfil,I417,_xlpm.turno,COUNTIF($I$2:I417,_xlpm.perfil)-1,_xlpm.busca,OR(_xlpm.perfil="Actualmente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trabajar"),IF(AND(_xlpm.trabaja,O417="No"),"Todavía no he iniciado una búsqueda activa",CHOOSE(MOD(_xlpm.turno*3,5)+1,"Menos de 1 mes","Entre 1 y 3 meses","Entre 4 y 6 meses","Más de 6 meses","Todavía no he iniciado una búsqueda activa")),"")))</f>
        <v>Más de 6 meses</v>
      </c>
      <c r="Q417" t="str">
        <f>IF(I417="Tengo un emprendimiento o quiero iniciar uno","",CHOOSE(MOD(INT((COUNTIF($I$2:I417,I417)-1)/7),3)+1,"Sí","No","Tengo una pero necesito actualizarla"))</f>
        <v>No</v>
      </c>
      <c r="R417" s="9" t="str">
        <f>IF(I417="Tengo un emprendimiento o quiero iniciar uno","",IF(I417="Busco mi primer empleo","No",IF(MOD(COUNTIF($I$2:I417,I417)-1,2)=0,"Sí","No")))</f>
        <v>No</v>
      </c>
      <c r="S417" t="str">
        <f>IF(I417="Tengo un emprendimiento o quiero iniciar uno","",CHOOSE(MOD(INT((COUNTIF($I$2:I417,I417)-1)/3),10)+1,"Portales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17" t="str">
        <f>IF(I417="Tengo un emprendimiento o quiero iniciar uno","",_xlfn.LET(_xlpm.opcion,MOD(INT((COUNTIF($I$2:I417,I417)-1)/4),6)+1,CHOOSE(IF(AND(_xlpm.opcion=3,Q417="Sí"),1,_xlpm.opcion),"Falta de experiencia","Falta de formación","Dificultades con la hoja de vida","Horarios disponibles","Transporte","Internet")))</f>
        <v>Falta de experiencia</v>
      </c>
      <c r="U417" s="9" t="str">
        <f>IF(I417="Tengo un emprendimiento o quiero iniciar uno","",IF(MOD(INT((COUNTIF($I$2:I417,I417)-1)/3),2)=0,"Sí","No"))</f>
        <v>No</v>
      </c>
      <c r="V417" s="9" t="str">
        <f>IF(I417="Tengo un emprendimiento o quiero iniciar uno",CHOOSE(MOD(COUNTIF($I$2:I417,I417)-1,3)+1,"Tengo un emprendimiento","Estoy iniciando un emprendimiento","Me interesa emprender"),"")</f>
        <v/>
      </c>
      <c r="W417" t="str">
        <f t="shared" si="114"/>
        <v/>
      </c>
      <c r="X417" s="9" t="str">
        <f>IF(I417="Tengo un emprendimiento o quiero iniciar uno",CHOOSE(MOD(COUNTIF($I$2:I417,I417)-1,5)+1,"Falta de financiación","Falta de conocimientos administrativos","Falta de conocimientos financieros","Falta de tiempo","Falta de herramientas"),"")</f>
        <v/>
      </c>
      <c r="Y417" s="9" t="str">
        <f t="shared" si="115"/>
        <v/>
      </c>
      <c r="Z417" t="str">
        <f>IF(I417="Tengo un emprendimiento o quiero iniciar uno",CHOOSE(INT(MOD((COUNTIF($I$2:I417,I417)-1)*7,39)/13)+1,"Sí","No","No conozco programas de ese tipo"),"")</f>
        <v/>
      </c>
      <c r="AA417" t="str">
        <f t="shared" si="116"/>
        <v>Puedo hacerlo con ayuda</v>
      </c>
      <c r="AB417" t="str">
        <f t="shared" si="116"/>
        <v>Puedo hacerlo con ayuda</v>
      </c>
      <c r="AC417" t="str">
        <f t="shared" si="117"/>
        <v>No puedo hacerlo</v>
      </c>
      <c r="AD417" s="9" t="str">
        <f t="shared" si="118"/>
        <v>Puedo hacerlo con ayuda</v>
      </c>
      <c r="AE417" t="str">
        <f t="shared" si="119"/>
        <v>Puedo hacerlo con dificultad</v>
      </c>
      <c r="AF417" s="9" t="str">
        <f t="shared" si="120"/>
        <v>Comunicación;Liderazgo</v>
      </c>
      <c r="AG417" s="9" t="str">
        <f t="shared" si="121"/>
        <v>Falta de experiencia</v>
      </c>
      <c r="AH417" t="str">
        <f t="shared" si="122"/>
        <v>Programas de emprendimiento</v>
      </c>
      <c r="AI417" s="9" t="str">
        <f t="shared" si="123"/>
        <v>Presencial</v>
      </c>
      <c r="AJ417" s="9" t="str">
        <f t="shared" si="124"/>
        <v>Nocturno</v>
      </c>
      <c r="AK417" s="9" t="str">
        <f t="shared" si="125"/>
        <v>WhatsApp</v>
      </c>
    </row>
    <row r="418" spans="1:37">
      <c r="A418" t="str">
        <f t="shared" si="126"/>
        <v>SG417</v>
      </c>
      <c r="B418" t="s">
        <v>57</v>
      </c>
      <c r="C418" s="9" t="s">
        <v>427</v>
      </c>
      <c r="D418" t="str">
        <f t="shared" si="109"/>
        <v>No quiero responder</v>
      </c>
      <c r="E418" t="str">
        <f t="shared" si="110"/>
        <v>De 20 a 22 años</v>
      </c>
      <c r="F418">
        <f t="shared" si="111"/>
        <v>21</v>
      </c>
      <c r="G418" t="str">
        <f t="shared" si="127"/>
        <v>Rural</v>
      </c>
      <c r="H418" s="9" t="str">
        <f t="shared" si="112"/>
        <v>Tecnólogo</v>
      </c>
      <c r="I418" s="9" t="str">
        <f t="shared" si="113"/>
        <v>Trabajo actualmente como empleado</v>
      </c>
      <c r="J418" s="13" t="str">
        <f>IF(I418="Trabajo actualmente como empleado",IF(MOD((COUNTIF($I$2:I418,"Trabajo actualmente como empleado")-1)*37,150)&lt;100,"Empleado con contrato","Empleado sin contrato formal"),IF(I418="Trabajo de manera independiente","Trabajo independiente",""))</f>
        <v>Empleado con contrato</v>
      </c>
      <c r="K418" s="9" t="str">
        <f>IF(OR(I418="Trabajo actualmente como empleado",I418="Trabajo de manera independiente"),CHOOSE(MOD(COUNTIF($I$2:I418,I418)-1,4)+1,"Menos de 3 meses","De 3 a 6 meses","De 7 a 12 meses","Más de un año"),"")</f>
        <v>De 7 a 12 meses</v>
      </c>
      <c r="L418" t="str">
        <f>IF(OR(I418="Trabajo actualmente como empleado",I418="Trabajo de manera independiente"),CHOOSE(MOD(COUNTIF($I$2:I418,I418)-1,3)+1,"Sí, completamente","Parcialmente","No"),"")</f>
        <v>Parcialmente</v>
      </c>
      <c r="M418" t="str">
        <f>IF(OR(I418="Trabajo actualmente como empleado",I418="Trabajo de manera independiente"),CHOOSE(MOD(INT((COUNTIF($I$2:I418,I418)-1)/3),4)+1,"1- Muy satisfecho/a","2- Satisfecho/a","3- Insatisfecho/a","4- Muy insatisfecho/a"),"")</f>
        <v>4- Muy insatisfecho/a</v>
      </c>
      <c r="N418" t="str">
        <f>IF(OR(I418="Trabajo actualmente como empleado",I418="Trabajo de manera independiente"),_xlfn.LET(_xlpm.opcion,MOD(INT((COUNTIF($I$2:I418,I418)-1)/5),6)+1,CHOOSE(IF(AND(_xlpm.opcion=6,L418="Sí, completamente"),5,_xlpm.opcion),"Salario","Estabilidad laboral","Horario","Acceso a prestaciones","Oportunidades de crecimiento","Trabajar en un área relacionada con mi formación")),"")</f>
        <v>Horario</v>
      </c>
      <c r="O418" s="9" t="str">
        <f>IF(OR(I418="Trabajo actualmente como empleado",I418="Trabajo de manera independiente"),_xlfn.LET(_xlpm.turno,MOD(COUNTIF($I$2:I418,I418)-1,5),_xlpm.nivel,VALUE(LEFT(M418,1)),IF(_xlpm.turno=4,"No estoy seguro/a",IF(_xlpm.turno&lt;IF(_xlpm.nivel&lt;=2,1,3),"Sí","No"))),"")</f>
        <v>Sí</v>
      </c>
      <c r="P418" s="9" t="str">
        <f>_xlfn.LET(_xlpm.perfil,I418,_xlpm.turno,COUNTIF($I$2:I418,_xlpm.perfil)-1,_xlpm.busca,OR(_xlpm.perfil="Actualmente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trabajar"),IF(AND(_xlpm.trabaja,O418="No"),"Todavía no he iniciado una búsqueda activa",CHOOSE(MOD(_xlpm.turno*3,5)+1,"Menos de 1 mes","Entre 1 y 3 meses","Entre 4 y 6 meses","Más de 6 meses","Todavía no he iniciado una búsqueda activa")),"")))</f>
        <v>Menos de 1 mes</v>
      </c>
      <c r="Q418" t="str">
        <f>IF(I418="Tengo un emprendimiento o quiero iniciar uno","",CHOOSE(MOD(INT((COUNTIF($I$2:I418,I418)-1)/7),3)+1,"Sí","No","Tengo una pero necesito actualizarla"))</f>
        <v>Sí</v>
      </c>
      <c r="R418" s="9" t="str">
        <f>IF(I418="Tengo un emprendimiento o quiero iniciar uno","",IF(I418="Busco mi primer empleo","No",IF(MOD(COUNTIF($I$2:I418,I418)-1,2)=0,"Sí","No")))</f>
        <v>Sí</v>
      </c>
      <c r="S418" t="str">
        <f>IF(I418="Tengo un emprendimiento o quiero iniciar uno","",CHOOSE(MOD(INT((COUNTIF($I$2:I418,I418)-1)/3),10)+1,"Portales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418" t="str">
        <f>IF(I418="Tengo un emprendimiento o quiero iniciar uno","",_xlfn.LET(_xlpm.opcion,MOD(INT((COUNTIF($I$2:I418,I418)-1)/4),6)+1,CHOOSE(IF(AND(_xlpm.opcion=3,Q418="Sí"),1,_xlpm.opcion),"Falta de experiencia","Falta de formación","Dificultades con la hoja de vida","Horarios disponibles","Transporte","Internet")))</f>
        <v>Falta de experiencia</v>
      </c>
      <c r="U418" s="9" t="str">
        <f>IF(I418="Tengo un emprendimiento o quiero iniciar uno","",IF(MOD(INT((COUNTIF($I$2:I418,I418)-1)/3),2)=0,"Sí","No"))</f>
        <v>No</v>
      </c>
      <c r="V418" s="9" t="str">
        <f>IF(I418="Tengo un emprendimiento o quiero iniciar uno",CHOOSE(MOD(COUNTIF($I$2:I418,I418)-1,3)+1,"Tengo un emprendimiento","Estoy iniciando un emprendimiento","Me interesa emprender"),"")</f>
        <v/>
      </c>
      <c r="W418" t="str">
        <f t="shared" si="114"/>
        <v/>
      </c>
      <c r="X418" s="9" t="str">
        <f>IF(I418="Tengo un emprendimiento o quiero iniciar uno",CHOOSE(MOD(COUNTIF($I$2:I418,I418)-1,5)+1,"Falta de financiación","Falta de conocimientos administrativos","Falta de conocimientos financieros","Falta de tiempo","Falta de herramientas"),"")</f>
        <v/>
      </c>
      <c r="Y418" s="9" t="str">
        <f t="shared" si="115"/>
        <v/>
      </c>
      <c r="Z418" t="str">
        <f>IF(I418="Tengo un emprendimiento o quiero iniciar uno",CHOOSE(INT(MOD((COUNTIF($I$2:I418,I418)-1)*7,39)/13)+1,"Sí","No","No conozco programas de ese tipo"),"")</f>
        <v/>
      </c>
      <c r="AA418" t="str">
        <f t="shared" si="116"/>
        <v>Puedo hacerlo sin ayuda</v>
      </c>
      <c r="AB418" t="str">
        <f t="shared" si="116"/>
        <v>Puedo hacerlo sin ayuda</v>
      </c>
      <c r="AC418" t="str">
        <f t="shared" si="117"/>
        <v>Puedo hacerlo con dificultad</v>
      </c>
      <c r="AD418" s="9" t="str">
        <f t="shared" si="118"/>
        <v>Puedo hacerlo con dificultad</v>
      </c>
      <c r="AE418" t="str">
        <f t="shared" si="119"/>
        <v>Puedo hacerlo sin ayuda</v>
      </c>
      <c r="AF418" s="9" t="str">
        <f t="shared" si="120"/>
        <v>Herramientas digitales;Educación financiera</v>
      </c>
      <c r="AG418" s="9" t="str">
        <f t="shared" si="121"/>
        <v>Falta de experiencia</v>
      </c>
      <c r="AH418" t="str">
        <f t="shared" si="122"/>
        <v>No conozco ninguno</v>
      </c>
      <c r="AI418" s="9" t="str">
        <f t="shared" si="123"/>
        <v>Virtual</v>
      </c>
      <c r="AJ418" s="9" t="str">
        <f t="shared" si="124"/>
        <v>Fines de semana</v>
      </c>
      <c r="AK418" s="9" t="str">
        <f t="shared" si="125"/>
        <v>Correo electrónico</v>
      </c>
    </row>
    <row r="419" spans="1:37">
      <c r="A419" t="str">
        <f t="shared" si="126"/>
        <v>SG418</v>
      </c>
      <c r="B419" t="s">
        <v>57</v>
      </c>
      <c r="C419" s="9" t="s">
        <v>427</v>
      </c>
      <c r="D419" t="str">
        <f t="shared" si="109"/>
        <v>Masculino</v>
      </c>
      <c r="E419" t="str">
        <f t="shared" si="110"/>
        <v>De 22 a 24 años</v>
      </c>
      <c r="F419">
        <f t="shared" si="111"/>
        <v>23</v>
      </c>
      <c r="G419" t="str">
        <f t="shared" si="127"/>
        <v>Centro poblado</v>
      </c>
      <c r="H419" s="9" t="str">
        <f t="shared" si="112"/>
        <v>Profesional</v>
      </c>
      <c r="I419" s="9" t="str">
        <f t="shared" si="113"/>
        <v>Actualmente no trabajo y estoy buscando empleo</v>
      </c>
      <c r="J419" s="13" t="str">
        <f>IF(I419="Trabajo actualmente como empleado",IF(MOD((COUNTIF($I$2:I419,"Trabajo actualmente como empleado")-1)*37,150)&lt;100,"Empleado con contrato","Empleado sin contrato formal"),IF(I419="Trabajo de manera independiente","Trabajo independiente",""))</f>
        <v/>
      </c>
      <c r="K419" s="9" t="str">
        <f>IF(OR(I419="Trabajo actualmente como empleado",I419="Trabajo de manera independiente"),CHOOSE(MOD(COUNTIF($I$2:I419,I419)-1,4)+1,"Menos de 3 meses","De 3 a 6 meses","De 7 a 12 meses","Más de un año"),"")</f>
        <v/>
      </c>
      <c r="L419" t="str">
        <f>IF(OR(I419="Trabajo actualmente como empleado",I419="Trabajo de manera independiente"),CHOOSE(MOD(COUNTIF($I$2:I419,I419)-1,3)+1,"Sí, completamente","Parcialmente","No"),"")</f>
        <v/>
      </c>
      <c r="M419" t="str">
        <f>IF(OR(I419="Trabajo actualmente como empleado",I419="Trabajo de manera independiente"),CHOOSE(MOD(INT((COUNTIF($I$2:I419,I419)-1)/3),4)+1,"1- Muy satisfecho/a","2- Satisfecho/a","3- Insatisfecho/a","4- Muy insatisfecho/a"),"")</f>
        <v/>
      </c>
      <c r="N419" t="str">
        <f>IF(OR(I419="Trabajo actualmente como empleado",I419="Trabajo de manera independiente"),_xlfn.LET(_xlpm.opcion,MOD(INT((COUNTIF($I$2:I419,I419)-1)/5),6)+1,CHOOSE(IF(AND(_xlpm.opcion=6,L419="Sí, completamente"),5,_xlpm.opcion),"Salario","Estabilidad laboral","Horario","Acceso a prestaciones","Oportunidades de crecimiento","Trabajar en un área relacionada con mi formación")),"")</f>
        <v/>
      </c>
      <c r="O419" s="9" t="str">
        <f>IF(OR(I419="Trabajo actualmente como empleado",I419="Trabajo de manera independiente"),_xlfn.LET(_xlpm.turno,MOD(COUNTIF($I$2:I419,I419)-1,5),_xlpm.nivel,VALUE(LEFT(M419,1)),IF(_xlpm.turno=4,"No estoy seguro/a",IF(_xlpm.turno&lt;IF(_xlpm.nivel&lt;=2,1,3),"Sí","No"))),"")</f>
        <v/>
      </c>
      <c r="P419" s="9" t="str">
        <f>_xlfn.LET(_xlpm.perfil,I419,_xlpm.turno,COUNTIF($I$2:I419,_xlpm.perfil)-1,_xlpm.busca,OR(_xlpm.perfil="Actualmente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trabajar"),IF(AND(_xlpm.trabaja,O419="No"),"Todavía no he iniciado una búsqueda activa",CHOOSE(MOD(_xlpm.turno*3,5)+1,"Menos de 1 mes","Entre 1 y 3 meses","Entre 4 y 6 meses","Más de 6 meses","Todavía no he iniciado una búsqueda activa")),"")))</f>
        <v>Más de 6 meses</v>
      </c>
      <c r="Q419" t="str">
        <f>IF(I419="Tengo un emprendimiento o quiero iniciar uno","",CHOOSE(MOD(INT((COUNTIF($I$2:I419,I419)-1)/7),3)+1,"Sí","No","Tengo una pero necesito actualizarla"))</f>
        <v>Tengo una pero necesito actualizarla</v>
      </c>
      <c r="R419" s="9" t="str">
        <f>IF(I419="Tengo un emprendimiento o quiero iniciar uno","",IF(I419="Busco mi primer empleo","No",IF(MOD(COUNTIF($I$2:I419,I419)-1,2)=0,"Sí","No")))</f>
        <v>No</v>
      </c>
      <c r="S419" t="str">
        <f>IF(I419="Tengo un emprendimiento o quiero iniciar uno","",CHOOSE(MOD(INT((COUNTIF($I$2:I419,I419)-1)/3),10)+1,"Portales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19" t="str">
        <f>IF(I419="Tengo un emprendimiento o quiero iniciar uno","",_xlfn.LET(_xlpm.opcion,MOD(INT((COUNTIF($I$2:I419,I419)-1)/4),6)+1,CHOOSE(IF(AND(_xlpm.opcion=3,Q419="Sí"),1,_xlpm.opcion),"Falta de experiencia","Falta de formación","Dificultades con la hoja de vida","Horarios disponibles","Transporte","Internet")))</f>
        <v>Falta de formación</v>
      </c>
      <c r="U419" s="9" t="str">
        <f>IF(I419="Tengo un emprendimiento o quiero iniciar uno","",IF(MOD(INT((COUNTIF($I$2:I419,I419)-1)/3),2)=0,"Sí","No"))</f>
        <v>No</v>
      </c>
      <c r="V419" s="9" t="str">
        <f>IF(I419="Tengo un emprendimiento o quiero iniciar uno",CHOOSE(MOD(COUNTIF($I$2:I419,I419)-1,3)+1,"Tengo un emprendimiento","Estoy iniciando un emprendimiento","Me interesa emprender"),"")</f>
        <v/>
      </c>
      <c r="W419" t="str">
        <f t="shared" si="114"/>
        <v/>
      </c>
      <c r="X419" s="9" t="str">
        <f>IF(I419="Tengo un emprendimiento o quiero iniciar uno",CHOOSE(MOD(COUNTIF($I$2:I419,I419)-1,5)+1,"Falta de financiación","Falta de conocimientos administrativos","Falta de conocimientos financieros","Falta de tiempo","Falta de herramientas"),"")</f>
        <v/>
      </c>
      <c r="Y419" s="9" t="str">
        <f t="shared" si="115"/>
        <v/>
      </c>
      <c r="Z419" t="str">
        <f>IF(I419="Tengo un emprendimiento o quiero iniciar uno",CHOOSE(INT(MOD((COUNTIF($I$2:I419,I419)-1)*7,39)/13)+1,"Sí","No","No conozco programas de ese tipo"),"")</f>
        <v/>
      </c>
      <c r="AA419" t="str">
        <f t="shared" si="116"/>
        <v>Puedo hacerlo con ayuda</v>
      </c>
      <c r="AB419" t="str">
        <f t="shared" si="116"/>
        <v>Puedo hacerlo con ayuda</v>
      </c>
      <c r="AC419" t="str">
        <f t="shared" si="117"/>
        <v>Puedo hacerlo sin ayuda</v>
      </c>
      <c r="AD419" s="9" t="str">
        <f t="shared" si="118"/>
        <v>Puedo hacerlo sin ayuda</v>
      </c>
      <c r="AE419" t="str">
        <f t="shared" si="119"/>
        <v>Puedo hacerlo sin ayuda</v>
      </c>
      <c r="AF419" s="9" t="str">
        <f t="shared" si="120"/>
        <v>Crear una hoja de vida</v>
      </c>
      <c r="AG419" s="9" t="str">
        <f t="shared" si="121"/>
        <v>Distancia</v>
      </c>
      <c r="AH419" t="str">
        <f t="shared" si="122"/>
        <v>Ferias de empleo</v>
      </c>
      <c r="AI419" s="9" t="str">
        <f t="shared" si="123"/>
        <v>Presencial y virtual</v>
      </c>
      <c r="AJ419" s="9" t="str">
        <f t="shared" si="124"/>
        <v>Diurno</v>
      </c>
      <c r="AK419" s="9" t="str">
        <f t="shared" si="125"/>
        <v>Celular</v>
      </c>
    </row>
    <row r="420" spans="1:37">
      <c r="A420" t="str">
        <f t="shared" si="126"/>
        <v>SG419</v>
      </c>
      <c r="B420" t="s">
        <v>57</v>
      </c>
      <c r="C420" s="9" t="s">
        <v>427</v>
      </c>
      <c r="D420" t="str">
        <f t="shared" si="109"/>
        <v>Femenino</v>
      </c>
      <c r="E420" t="str">
        <f t="shared" si="110"/>
        <v>De 24 a 26 años</v>
      </c>
      <c r="F420">
        <f t="shared" si="111"/>
        <v>25</v>
      </c>
      <c r="G420" t="str">
        <f t="shared" si="127"/>
        <v>Rural</v>
      </c>
      <c r="H420" s="9" t="str">
        <f t="shared" si="112"/>
        <v>Posgrado</v>
      </c>
      <c r="I420" s="9" t="str">
        <f t="shared" si="113"/>
        <v>Tengo un emprendimiento o quiero iniciar uno</v>
      </c>
      <c r="J420" s="13" t="str">
        <f>IF(I420="Trabajo actualmente como empleado",IF(MOD((COUNTIF($I$2:I420,"Trabajo actualmente como empleado")-1)*37,150)&lt;100,"Empleado con contrato","Empleado sin contrato formal"),IF(I420="Trabajo de manera independiente","Trabajo independiente",""))</f>
        <v/>
      </c>
      <c r="K420" s="9" t="str">
        <f>IF(OR(I420="Trabajo actualmente como empleado",I420="Trabajo de manera independiente"),CHOOSE(MOD(COUNTIF($I$2:I420,I420)-1,4)+1,"Menos de 3 meses","De 3 a 6 meses","De 7 a 12 meses","Más de un año"),"")</f>
        <v/>
      </c>
      <c r="L420" t="str">
        <f>IF(OR(I420="Trabajo actualmente como empleado",I420="Trabajo de manera independiente"),CHOOSE(MOD(COUNTIF($I$2:I420,I420)-1,3)+1,"Sí, completamente","Parcialmente","No"),"")</f>
        <v/>
      </c>
      <c r="M420" t="str">
        <f>IF(OR(I420="Trabajo actualmente como empleado",I420="Trabajo de manera independiente"),CHOOSE(MOD(INT((COUNTIF($I$2:I420,I420)-1)/3),4)+1,"1- Muy satisfecho/a","2- Satisfecho/a","3- Insatisfecho/a","4- Muy insatisfecho/a"),"")</f>
        <v/>
      </c>
      <c r="N420" t="str">
        <f>IF(OR(I420="Trabajo actualmente como empleado",I420="Trabajo de manera independiente"),_xlfn.LET(_xlpm.opcion,MOD(INT((COUNTIF($I$2:I420,I420)-1)/5),6)+1,CHOOSE(IF(AND(_xlpm.opcion=6,L420="Sí, completamente"),5,_xlpm.opcion),"Salario","Estabilidad laboral","Horario","Acceso a prestaciones","Oportunidades de crecimiento","Trabajar en un área relacionada con mi formación")),"")</f>
        <v/>
      </c>
      <c r="O420" s="9" t="str">
        <f>IF(OR(I420="Trabajo actualmente como empleado",I420="Trabajo de manera independiente"),_xlfn.LET(_xlpm.turno,MOD(COUNTIF($I$2:I420,I420)-1,5),_xlpm.nivel,VALUE(LEFT(M420,1)),IF(_xlpm.turno=4,"No estoy seguro/a",IF(_xlpm.turno&lt;IF(_xlpm.nivel&lt;=2,1,3),"Sí","No"))),"")</f>
        <v/>
      </c>
      <c r="P420" s="9" t="str">
        <f>_xlfn.LET(_xlpm.perfil,I420,_xlpm.turno,COUNTIF($I$2:I420,_xlpm.perfil)-1,_xlpm.busca,OR(_xlpm.perfil="Actualmente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trabajar"),IF(AND(_xlpm.trabaja,O420="No"),"Todavía no he iniciado una búsqueda activa",CHOOSE(MOD(_xlpm.turno*3,5)+1,"Menos de 1 mes","Entre 1 y 3 meses","Entre 4 y 6 meses","Más de 6 meses","Todavía no he iniciado una búsqueda activa")),"")))</f>
        <v/>
      </c>
      <c r="Q420" t="str">
        <f>IF(I420="Tengo un emprendimiento o quiero iniciar uno","",CHOOSE(MOD(INT((COUNTIF($I$2:I420,I420)-1)/7),3)+1,"Sí","No","Tengo una pero necesito actualizarla"))</f>
        <v/>
      </c>
      <c r="R420" s="9" t="str">
        <f>IF(I420="Tengo un emprendimiento o quiero iniciar uno","",IF(I420="Busco mi primer empleo","No",IF(MOD(COUNTIF($I$2:I420,I420)-1,2)=0,"Sí","No")))</f>
        <v/>
      </c>
      <c r="S420" t="str">
        <f>IF(I420="Tengo un emprendimiento o quiero iniciar uno","",CHOOSE(MOD(INT((COUNTIF($I$2:I420,I420)-1)/3),10)+1,"Portales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420" t="str">
        <f>IF(I420="Tengo un emprendimiento o quiero iniciar uno","",_xlfn.LET(_xlpm.opcion,MOD(INT((COUNTIF($I$2:I420,I420)-1)/4),6)+1,CHOOSE(IF(AND(_xlpm.opcion=3,Q420="Sí"),1,_xlpm.opcion),"Falta de experiencia","Falta de formación","Dificultades con la hoja de vida","Horarios disponibles","Transporte","Internet")))</f>
        <v/>
      </c>
      <c r="U420" s="9" t="str">
        <f>IF(I420="Tengo un emprendimiento o quiero iniciar uno","",IF(MOD(INT((COUNTIF($I$2:I420,I420)-1)/3),2)=0,"Sí","No"))</f>
        <v/>
      </c>
      <c r="V420" s="9" t="str">
        <f>IF(I420="Tengo un emprendimiento o quiero iniciar uno",CHOOSE(MOD(COUNTIF($I$2:I420,I420)-1,3)+1,"Tengo un emprendimiento","Estoy iniciando un emprendimiento","Me interesa emprender"),"")</f>
        <v>Estoy iniciando un emprendimiento</v>
      </c>
      <c r="W420" t="str">
        <f t="shared" si="114"/>
        <v>Inicio</v>
      </c>
      <c r="X420" s="9" t="str">
        <f>IF(I420="Tengo un emprendimiento o quiero iniciar uno",CHOOSE(MOD(COUNTIF($I$2:I420,I420)-1,5)+1,"Falta de financiación","Falta de conocimientos administrativos","Falta de conocimientos financieros","Falta de tiempo","Falta de herramientas"),"")</f>
        <v>Falta de herramientas</v>
      </c>
      <c r="Y420" s="9" t="str">
        <f t="shared" si="115"/>
        <v>Falta de herramientas</v>
      </c>
      <c r="Z420" t="str">
        <f>IF(I420="Tengo un emprendimiento o quiero iniciar uno",CHOOSE(INT(MOD((COUNTIF($I$2:I420,I420)-1)*7,39)/13)+1,"Sí","No","No conozco programas de ese tipo"),"")</f>
        <v>Sí</v>
      </c>
      <c r="AA420" t="str">
        <f t="shared" si="116"/>
        <v>Puedo hacerlo con dificultad</v>
      </c>
      <c r="AB420" t="str">
        <f t="shared" si="116"/>
        <v>Puedo hacerlo con dificultad</v>
      </c>
      <c r="AC420" t="str">
        <f t="shared" si="117"/>
        <v>No puedo hacerlo</v>
      </c>
      <c r="AD420" s="9" t="str">
        <f t="shared" si="118"/>
        <v>Puedo hacerlo sin ayuda</v>
      </c>
      <c r="AE420" t="str">
        <f t="shared" si="119"/>
        <v>No puedo hacerlo</v>
      </c>
      <c r="AF420" s="9" t="str">
        <f t="shared" si="120"/>
        <v>Preparación para entrevista</v>
      </c>
      <c r="AG420" s="9" t="str">
        <f t="shared" si="121"/>
        <v>Distancia</v>
      </c>
      <c r="AH420" t="str">
        <f t="shared" si="122"/>
        <v>No conozco ninguno</v>
      </c>
      <c r="AI420" s="9" t="str">
        <f t="shared" si="123"/>
        <v>Me es indiferente</v>
      </c>
      <c r="AJ420" s="9" t="str">
        <f t="shared" si="124"/>
        <v>Nocturno</v>
      </c>
      <c r="AK420" s="9" t="str">
        <f t="shared" si="125"/>
        <v>WhatsApp</v>
      </c>
    </row>
    <row r="421" spans="1:37">
      <c r="A421" t="str">
        <f t="shared" si="126"/>
        <v>SG420</v>
      </c>
      <c r="B421" t="s">
        <v>57</v>
      </c>
      <c r="C421" s="9" t="s">
        <v>427</v>
      </c>
      <c r="D421" t="str">
        <f t="shared" si="109"/>
        <v>Femenino</v>
      </c>
      <c r="E421" t="str">
        <f t="shared" si="110"/>
        <v>De 26 a 28 años</v>
      </c>
      <c r="F421">
        <f t="shared" si="111"/>
        <v>28</v>
      </c>
      <c r="G421" t="str">
        <f t="shared" si="127"/>
        <v>Centro poblado</v>
      </c>
      <c r="H421" s="9" t="str">
        <f t="shared" si="112"/>
        <v>Tecnólogo</v>
      </c>
      <c r="I421" s="9" t="str">
        <f t="shared" si="113"/>
        <v>Trabajo de manera independiente</v>
      </c>
      <c r="J421" s="13" t="str">
        <f>IF(I421="Trabajo actualmente como empleado",IF(MOD((COUNTIF($I$2:I421,"Trabajo actualmente como empleado")-1)*37,150)&lt;100,"Empleado con contrato","Empleado sin contrato formal"),IF(I421="Trabajo de manera independiente","Trabajo independiente",""))</f>
        <v>Trabajo independiente</v>
      </c>
      <c r="K421" s="9" t="str">
        <f>IF(OR(I421="Trabajo actualmente como empleado",I421="Trabajo de manera independiente"),CHOOSE(MOD(COUNTIF($I$2:I421,I421)-1,4)+1,"Menos de 3 meses","De 3 a 6 meses","De 7 a 12 meses","Más de un año"),"")</f>
        <v>De 7 a 12 meses</v>
      </c>
      <c r="L421" t="str">
        <f>IF(OR(I421="Trabajo actualmente como empleado",I421="Trabajo de manera independiente"),CHOOSE(MOD(COUNTIF($I$2:I421,I421)-1,3)+1,"Sí, completamente","Parcialmente","No"),"")</f>
        <v>Parcialmente</v>
      </c>
      <c r="M421" t="str">
        <f>IF(OR(I421="Trabajo actualmente como empleado",I421="Trabajo de manera independiente"),CHOOSE(MOD(INT((COUNTIF($I$2:I421,I421)-1)/3),4)+1,"1- Muy satisfecho/a","2- Satisfecho/a","3- Insatisfecho/a","4- Muy insatisfecho/a"),"")</f>
        <v>4- Muy insatisfecho/a</v>
      </c>
      <c r="N421" t="str">
        <f>IF(OR(I421="Trabajo actualmente como empleado",I421="Trabajo de manera independiente"),_xlfn.LET(_xlpm.opcion,MOD(INT((COUNTIF($I$2:I421,I421)-1)/5),6)+1,CHOOSE(IF(AND(_xlpm.opcion=6,L421="Sí, completamente"),5,_xlpm.opcion),"Salario","Estabilidad laboral","Horario","Acceso a prestaciones","Oportunidades de crecimiento","Trabajar en un área relacionada con mi formación")),"")</f>
        <v>Horario</v>
      </c>
      <c r="O421" s="9" t="str">
        <f>IF(OR(I421="Trabajo actualmente como empleado",I421="Trabajo de manera independiente"),_xlfn.LET(_xlpm.turno,MOD(COUNTIF($I$2:I421,I421)-1,5),_xlpm.nivel,VALUE(LEFT(M421,1)),IF(_xlpm.turno=4,"No estoy seguro/a",IF(_xlpm.turno&lt;IF(_xlpm.nivel&lt;=2,1,3),"Sí","No"))),"")</f>
        <v>Sí</v>
      </c>
      <c r="P421" s="9" t="str">
        <f>_xlfn.LET(_xlpm.perfil,I421,_xlpm.turno,COUNTIF($I$2:I421,_xlpm.perfil)-1,_xlpm.busca,OR(_xlpm.perfil="Actualmente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trabajar"),IF(AND(_xlpm.trabaja,O421="No"),"Todavía no he iniciado una búsqueda activa",CHOOSE(MOD(_xlpm.turno*3,5)+1,"Menos de 1 mes","Entre 1 y 3 meses","Entre 4 y 6 meses","Más de 6 meses","Todavía no he iniciado una búsqueda activa")),"")))</f>
        <v>Menos de 1 mes</v>
      </c>
      <c r="Q421" t="str">
        <f>IF(I421="Tengo un emprendimiento o quiero iniciar uno","",CHOOSE(MOD(INT((COUNTIF($I$2:I421,I421)-1)/7),3)+1,"Sí","No","Tengo una pero necesito actualizarla"))</f>
        <v>No</v>
      </c>
      <c r="R421" s="9" t="str">
        <f>IF(I421="Tengo un emprendimiento o quiero iniciar uno","",IF(I421="Busco mi primer empleo","No",IF(MOD(COUNTIF($I$2:I421,I421)-1,2)=0,"Sí","No")))</f>
        <v>Sí</v>
      </c>
      <c r="S421" t="str">
        <f>IF(I421="Tengo un emprendimiento o quiero iniciar uno","",CHOOSE(MOD(INT((COUNTIF($I$2:I421,I421)-1)/3),10)+1,"Portales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421" t="str">
        <f>IF(I421="Tengo un emprendimiento o quiero iniciar uno","",_xlfn.LET(_xlpm.opcion,MOD(INT((COUNTIF($I$2:I421,I421)-1)/4),6)+1,CHOOSE(IF(AND(_xlpm.opcion=3,Q421="Sí"),1,_xlpm.opcion),"Falta de experiencia","Falta de formación","Dificultades con la hoja de vida","Horarios disponibles","Transporte","Internet")))</f>
        <v>Internet</v>
      </c>
      <c r="U421" s="9" t="str">
        <f>IF(I421="Tengo un emprendimiento o quiero iniciar uno","",IF(MOD(INT((COUNTIF($I$2:I421,I421)-1)/3),2)=0,"Sí","No"))</f>
        <v>No</v>
      </c>
      <c r="V421" s="9" t="str">
        <f>IF(I421="Tengo un emprendimiento o quiero iniciar uno",CHOOSE(MOD(COUNTIF($I$2:I421,I421)-1,3)+1,"Tengo un emprendimiento","Estoy iniciando un emprendimiento","Me interesa emprender"),"")</f>
        <v/>
      </c>
      <c r="W421" t="str">
        <f t="shared" si="114"/>
        <v/>
      </c>
      <c r="X421" s="9" t="str">
        <f>IF(I421="Tengo un emprendimiento o quiero iniciar uno",CHOOSE(MOD(COUNTIF($I$2:I421,I421)-1,5)+1,"Falta de financiación","Falta de conocimientos administrativos","Falta de conocimientos financieros","Falta de tiempo","Falta de herramientas"),"")</f>
        <v/>
      </c>
      <c r="Y421" s="9" t="str">
        <f t="shared" si="115"/>
        <v/>
      </c>
      <c r="Z421" t="str">
        <f>IF(I421="Tengo un emprendimiento o quiero iniciar uno",CHOOSE(INT(MOD((COUNTIF($I$2:I421,I421)-1)*7,39)/13)+1,"Sí","No","No conozco programas de ese tipo"),"")</f>
        <v/>
      </c>
      <c r="AA421" t="str">
        <f t="shared" si="116"/>
        <v>No puedo hacerlo</v>
      </c>
      <c r="AB421" t="str">
        <f t="shared" si="116"/>
        <v>No puedo hacerlo</v>
      </c>
      <c r="AC421" t="str">
        <f t="shared" si="117"/>
        <v>Puedo hacerlo con dificultad</v>
      </c>
      <c r="AD421" s="9" t="str">
        <f t="shared" si="118"/>
        <v>No puedo hacerlo</v>
      </c>
      <c r="AE421" t="str">
        <f t="shared" si="119"/>
        <v>No puedo hacerlo</v>
      </c>
      <c r="AF421" s="9" t="str">
        <f t="shared" si="120"/>
        <v>Comunicación</v>
      </c>
      <c r="AG421" s="9" t="str">
        <f t="shared" si="121"/>
        <v>Distancia</v>
      </c>
      <c r="AH421" t="str">
        <f t="shared" si="122"/>
        <v>Oficina de orientación laboral</v>
      </c>
      <c r="AI421" s="9" t="str">
        <f t="shared" si="123"/>
        <v>Presencial</v>
      </c>
      <c r="AJ421" s="9" t="str">
        <f t="shared" si="124"/>
        <v>Fines de semana</v>
      </c>
      <c r="AK421" s="9" t="str">
        <f t="shared" si="125"/>
        <v>Redes sociales</v>
      </c>
    </row>
    <row r="422" spans="1:37">
      <c r="A422" t="str">
        <f t="shared" si="126"/>
        <v>SG421</v>
      </c>
      <c r="B422" t="s">
        <v>57</v>
      </c>
      <c r="C422" s="9" t="s">
        <v>427</v>
      </c>
      <c r="D422" t="str">
        <f t="shared" si="109"/>
        <v>Masculino</v>
      </c>
      <c r="E422" t="str">
        <f t="shared" si="110"/>
        <v>De 18 a 20 años</v>
      </c>
      <c r="F422">
        <f t="shared" si="111"/>
        <v>18</v>
      </c>
      <c r="G422" t="str">
        <f t="shared" si="127"/>
        <v>Rural</v>
      </c>
      <c r="H422" s="9" t="str">
        <f t="shared" si="112"/>
        <v>Bachiller</v>
      </c>
      <c r="I422" s="9" t="str">
        <f t="shared" si="113"/>
        <v>Busco mi primer empleo</v>
      </c>
      <c r="J422" s="13" t="str">
        <f>IF(I422="Trabajo actualmente como empleado",IF(MOD((COUNTIF($I$2:I422,"Trabajo actualmente como empleado")-1)*37,150)&lt;100,"Empleado con contrato","Empleado sin contrato formal"),IF(I422="Trabajo de manera independiente","Trabajo independiente",""))</f>
        <v/>
      </c>
      <c r="K422" s="9" t="str">
        <f>IF(OR(I422="Trabajo actualmente como empleado",I422="Trabajo de manera independiente"),CHOOSE(MOD(COUNTIF($I$2:I422,I422)-1,4)+1,"Menos de 3 meses","De 3 a 6 meses","De 7 a 12 meses","Más de un año"),"")</f>
        <v/>
      </c>
      <c r="L422" t="str">
        <f>IF(OR(I422="Trabajo actualmente como empleado",I422="Trabajo de manera independiente"),CHOOSE(MOD(COUNTIF($I$2:I422,I422)-1,3)+1,"Sí, completamente","Parcialmente","No"),"")</f>
        <v/>
      </c>
      <c r="M422" t="str">
        <f>IF(OR(I422="Trabajo actualmente como empleado",I422="Trabajo de manera independiente"),CHOOSE(MOD(INT((COUNTIF($I$2:I422,I422)-1)/3),4)+1,"1- Muy satisfecho/a","2- Satisfecho/a","3- Insatisfecho/a","4- Muy insatisfecho/a"),"")</f>
        <v/>
      </c>
      <c r="N422" t="str">
        <f>IF(OR(I422="Trabajo actualmente como empleado",I422="Trabajo de manera independiente"),_xlfn.LET(_xlpm.opcion,MOD(INT((COUNTIF($I$2:I422,I422)-1)/5),6)+1,CHOOSE(IF(AND(_xlpm.opcion=6,L422="Sí, completamente"),5,_xlpm.opcion),"Salario","Estabilidad laboral","Horario","Acceso a prestaciones","Oportunidades de crecimiento","Trabajar en un área relacionada con mi formación")),"")</f>
        <v/>
      </c>
      <c r="O422" s="9" t="str">
        <f>IF(OR(I422="Trabajo actualmente como empleado",I422="Trabajo de manera independiente"),_xlfn.LET(_xlpm.turno,MOD(COUNTIF($I$2:I422,I422)-1,5),_xlpm.nivel,VALUE(LEFT(M422,1)),IF(_xlpm.turno=4,"No estoy seguro/a",IF(_xlpm.turno&lt;IF(_xlpm.nivel&lt;=2,1,3),"Sí","No"))),"")</f>
        <v/>
      </c>
      <c r="P422" s="9" t="str">
        <f>_xlfn.LET(_xlpm.perfil,I422,_xlpm.turno,COUNTIF($I$2:I422,_xlpm.perfil)-1,_xlpm.busca,OR(_xlpm.perfil="Actualmente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trabajar"),IF(AND(_xlpm.trabaja,O422="No"),"Todavía no he iniciado una búsqueda activa",CHOOSE(MOD(_xlpm.turno*3,5)+1,"Menos de 1 mes","Entre 1 y 3 meses","Entre 4 y 6 meses","Más de 6 meses","Todavía no he iniciado una búsqueda activa")),"")))</f>
        <v>Más de 6 meses</v>
      </c>
      <c r="Q422" t="str">
        <f>IF(I422="Tengo un emprendimiento o quiero iniciar uno","",CHOOSE(MOD(INT((COUNTIF($I$2:I422,I422)-1)/7),3)+1,"Sí","No","Tengo una pero necesito actualizarla"))</f>
        <v>No</v>
      </c>
      <c r="R422" s="9" t="str">
        <f>IF(I422="Tengo un emprendimiento o quiero iniciar uno","",IF(I422="Busco mi primer empleo","No",IF(MOD(COUNTIF($I$2:I422,I422)-1,2)=0,"Sí","No")))</f>
        <v>No</v>
      </c>
      <c r="S422" t="str">
        <f>IF(I422="Tengo un emprendimiento o quiero iniciar uno","",CHOOSE(MOD(INT((COUNTIF($I$2:I422,I422)-1)/3),10)+1,"Portales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22" t="str">
        <f>IF(I422="Tengo un emprendimiento o quiero iniciar uno","",_xlfn.LET(_xlpm.opcion,MOD(INT((COUNTIF($I$2:I422,I422)-1)/4),6)+1,CHOOSE(IF(AND(_xlpm.opcion=3,Q422="Sí"),1,_xlpm.opcion),"Falta de experiencia","Falta de formación","Dificultades con la hoja de vida","Horarios disponibles","Transporte","Internet")))</f>
        <v>Falta de formación</v>
      </c>
      <c r="U422" s="9" t="str">
        <f>IF(I422="Tengo un emprendimiento o quiero iniciar uno","",IF(MOD(INT((COUNTIF($I$2:I422,I422)-1)/3),2)=0,"Sí","No"))</f>
        <v>No</v>
      </c>
      <c r="V422" s="9" t="str">
        <f>IF(I422="Tengo un emprendimiento o quiero iniciar uno",CHOOSE(MOD(COUNTIF($I$2:I422,I422)-1,3)+1,"Tengo un emprendimiento","Estoy iniciando un emprendimiento","Me interesa emprender"),"")</f>
        <v/>
      </c>
      <c r="W422" t="str">
        <f t="shared" si="114"/>
        <v/>
      </c>
      <c r="X422" s="9" t="str">
        <f>IF(I422="Tengo un emprendimiento o quiero iniciar uno",CHOOSE(MOD(COUNTIF($I$2:I422,I422)-1,5)+1,"Falta de financiación","Falta de conocimientos administrativos","Falta de conocimientos financieros","Falta de tiempo","Falta de herramientas"),"")</f>
        <v/>
      </c>
      <c r="Y422" s="9" t="str">
        <f t="shared" si="115"/>
        <v/>
      </c>
      <c r="Z422" t="str">
        <f>IF(I422="Tengo un emprendimiento o quiero iniciar uno",CHOOSE(INT(MOD((COUNTIF($I$2:I422,I422)-1)*7,39)/13)+1,"Sí","No","No conozco programas de ese tipo"),"")</f>
        <v/>
      </c>
      <c r="AA422" t="str">
        <f t="shared" si="116"/>
        <v>Puedo hacerlo con ayuda</v>
      </c>
      <c r="AB422" t="str">
        <f t="shared" si="116"/>
        <v>Puedo hacerlo con ayuda</v>
      </c>
      <c r="AC422" t="str">
        <f t="shared" si="117"/>
        <v>Puedo hacerlo sin ayuda</v>
      </c>
      <c r="AD422" s="9" t="str">
        <f t="shared" si="118"/>
        <v>Puedo hacerlo con ayuda</v>
      </c>
      <c r="AE422" t="str">
        <f t="shared" si="119"/>
        <v>Puedo hacerlo con ayuda</v>
      </c>
      <c r="AF422" s="9" t="str">
        <f t="shared" si="120"/>
        <v>Liderazgo</v>
      </c>
      <c r="AG422" s="9" t="str">
        <f t="shared" si="121"/>
        <v>Falta de experiencia;Falta de información</v>
      </c>
      <c r="AH422" t="str">
        <f t="shared" si="122"/>
        <v>Programas de emprendimiento</v>
      </c>
      <c r="AI422" s="9" t="str">
        <f t="shared" si="123"/>
        <v>Presencial y virtual</v>
      </c>
      <c r="AJ422" s="9" t="str">
        <f t="shared" si="124"/>
        <v>Diurno</v>
      </c>
      <c r="AK422" s="9" t="str">
        <f t="shared" si="125"/>
        <v>Celular</v>
      </c>
    </row>
    <row r="423" spans="1:37">
      <c r="A423" t="str">
        <f t="shared" si="126"/>
        <v>SG422</v>
      </c>
      <c r="B423" t="s">
        <v>57</v>
      </c>
      <c r="C423" s="9" t="s">
        <v>427</v>
      </c>
      <c r="D423" t="str">
        <f t="shared" si="109"/>
        <v>Masculino</v>
      </c>
      <c r="E423" t="str">
        <f t="shared" si="110"/>
        <v>De 20 a 22 años</v>
      </c>
      <c r="F423">
        <f t="shared" si="111"/>
        <v>20</v>
      </c>
      <c r="G423" t="str">
        <f t="shared" si="127"/>
        <v>Centro poblado</v>
      </c>
      <c r="H423" s="9" t="str">
        <f t="shared" si="112"/>
        <v>Técnico</v>
      </c>
      <c r="I423" s="9" t="str">
        <f t="shared" si="113"/>
        <v>Trabajo actualmente como empleado</v>
      </c>
      <c r="J423" s="13" t="str">
        <f>IF(I423="Trabajo actualmente como empleado",IF(MOD((COUNTIF($I$2:I423,"Trabajo actualmente como empleado")-1)*37,150)&lt;100,"Empleado con contrato","Empleado sin contrato formal"),IF(I423="Trabajo de manera independiente","Trabajo independiente",""))</f>
        <v>Empleado con contrato</v>
      </c>
      <c r="K423" s="9" t="str">
        <f>IF(OR(I423="Trabajo actualmente como empleado",I423="Trabajo de manera independiente"),CHOOSE(MOD(COUNTIF($I$2:I423,I423)-1,4)+1,"Menos de 3 meses","De 3 a 6 meses","De 7 a 12 meses","Más de un año"),"")</f>
        <v>Más de un año</v>
      </c>
      <c r="L423" t="str">
        <f>IF(OR(I423="Trabajo actualmente como empleado",I423="Trabajo de manera independiente"),CHOOSE(MOD(COUNTIF($I$2:I423,I423)-1,3)+1,"Sí, completamente","Parcialmente","No"),"")</f>
        <v>No</v>
      </c>
      <c r="M423" t="str">
        <f>IF(OR(I423="Trabajo actualmente como empleado",I423="Trabajo de manera independiente"),CHOOSE(MOD(INT((COUNTIF($I$2:I423,I423)-1)/3),4)+1,"1- Muy satisfecho/a","2- Satisfecho/a","3- Insatisfecho/a","4- Muy insatisfecho/a"),"")</f>
        <v>4- Muy insatisfecho/a</v>
      </c>
      <c r="N423" t="str">
        <f>IF(OR(I423="Trabajo actualmente como empleado",I423="Trabajo de manera independiente"),_xlfn.LET(_xlpm.opcion,MOD(INT((COUNTIF($I$2:I423,I423)-1)/5),6)+1,CHOOSE(IF(AND(_xlpm.opcion=6,L423="Sí, completamente"),5,_xlpm.opcion),"Salario","Estabilidad laboral","Horario","Acceso a prestaciones","Oportunidades de crecimiento","Trabajar en un área relacionada con mi formación")),"")</f>
        <v>Horario</v>
      </c>
      <c r="O423" s="9" t="str">
        <f>IF(OR(I423="Trabajo actualmente como empleado",I423="Trabajo de manera independiente"),_xlfn.LET(_xlpm.turno,MOD(COUNTIF($I$2:I423,I423)-1,5),_xlpm.nivel,VALUE(LEFT(M423,1)),IF(_xlpm.turno=4,"No estoy seguro/a",IF(_xlpm.turno&lt;IF(_xlpm.nivel&lt;=2,1,3),"Sí","No"))),"")</f>
        <v>Sí</v>
      </c>
      <c r="P423" s="9" t="str">
        <f>_xlfn.LET(_xlpm.perfil,I423,_xlpm.turno,COUNTIF($I$2:I423,_xlpm.perfil)-1,_xlpm.busca,OR(_xlpm.perfil="Actualmente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trabajar"),IF(AND(_xlpm.trabaja,O423="No"),"Todavía no he iniciado una búsqueda activa",CHOOSE(MOD(_xlpm.turno*3,5)+1,"Menos de 1 mes","Entre 1 y 3 meses","Entre 4 y 6 meses","Más de 6 meses","Todavía no he iniciado una búsqueda activa")),"")))</f>
        <v>Más de 6 meses</v>
      </c>
      <c r="Q423" t="str">
        <f>IF(I423="Tengo un emprendimiento o quiero iniciar uno","",CHOOSE(MOD(INT((COUNTIF($I$2:I423,I423)-1)/7),3)+1,"Sí","No","Tengo una pero necesito actualizarla"))</f>
        <v>Sí</v>
      </c>
      <c r="R423" s="9" t="str">
        <f>IF(I423="Tengo un emprendimiento o quiero iniciar uno","",IF(I423="Busco mi primer empleo","No",IF(MOD(COUNTIF($I$2:I423,I423)-1,2)=0,"Sí","No")))</f>
        <v>No</v>
      </c>
      <c r="S423" t="str">
        <f>IF(I423="Tengo un emprendimiento o quiero iniciar uno","",CHOOSE(MOD(INT((COUNTIF($I$2:I423,I423)-1)/3),10)+1,"Portales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423" t="str">
        <f>IF(I423="Tengo un emprendimiento o quiero iniciar uno","",_xlfn.LET(_xlpm.opcion,MOD(INT((COUNTIF($I$2:I423,I423)-1)/4),6)+1,CHOOSE(IF(AND(_xlpm.opcion=3,Q423="Sí"),1,_xlpm.opcion),"Falta de experiencia","Falta de formación","Dificultades con la hoja de vida","Horarios disponibles","Transporte","Internet")))</f>
        <v>Falta de experiencia</v>
      </c>
      <c r="U423" s="9" t="str">
        <f>IF(I423="Tengo un emprendimiento o quiero iniciar uno","",IF(MOD(INT((COUNTIF($I$2:I423,I423)-1)/3),2)=0,"Sí","No"))</f>
        <v>No</v>
      </c>
      <c r="V423" s="9" t="str">
        <f>IF(I423="Tengo un emprendimiento o quiero iniciar uno",CHOOSE(MOD(COUNTIF($I$2:I423,I423)-1,3)+1,"Tengo un emprendimiento","Estoy iniciando un emprendimiento","Me interesa emprender"),"")</f>
        <v/>
      </c>
      <c r="W423" t="str">
        <f t="shared" si="114"/>
        <v/>
      </c>
      <c r="X423" s="9" t="str">
        <f>IF(I423="Tengo un emprendimiento o quiero iniciar uno",CHOOSE(MOD(COUNTIF($I$2:I423,I423)-1,5)+1,"Falta de financiación","Falta de conocimientos administrativos","Falta de conocimientos financieros","Falta de tiempo","Falta de herramientas"),"")</f>
        <v/>
      </c>
      <c r="Y423" s="9" t="str">
        <f t="shared" si="115"/>
        <v/>
      </c>
      <c r="Z423" t="str">
        <f>IF(I423="Tengo un emprendimiento o quiero iniciar uno",CHOOSE(INT(MOD((COUNTIF($I$2:I423,I423)-1)*7,39)/13)+1,"Sí","No","No conozco programas de ese tipo"),"")</f>
        <v/>
      </c>
      <c r="AA423" t="str">
        <f t="shared" si="116"/>
        <v>Puedo hacerlo sin ayuda</v>
      </c>
      <c r="AB423" t="str">
        <f t="shared" si="116"/>
        <v>Puedo hacerlo sin ayuda</v>
      </c>
      <c r="AC423" t="str">
        <f t="shared" si="117"/>
        <v>No puedo hacerlo</v>
      </c>
      <c r="AD423" s="9" t="str">
        <f t="shared" si="118"/>
        <v>Puedo hacerlo con ayuda</v>
      </c>
      <c r="AE423" t="str">
        <f t="shared" si="119"/>
        <v>Puedo hacerlo con dificultad</v>
      </c>
      <c r="AF423" s="9" t="str">
        <f t="shared" si="120"/>
        <v>Emprendimiento</v>
      </c>
      <c r="AG423" s="9" t="str">
        <f t="shared" si="121"/>
        <v>Falta de experiencia;Falta de información</v>
      </c>
      <c r="AH423" t="str">
        <f t="shared" si="122"/>
        <v>Oficina de orientación laboral</v>
      </c>
      <c r="AI423" s="9" t="str">
        <f t="shared" si="123"/>
        <v>Me es indiferente</v>
      </c>
      <c r="AJ423" s="9" t="str">
        <f t="shared" si="124"/>
        <v>Nocturno</v>
      </c>
      <c r="AK423" s="9" t="str">
        <f t="shared" si="125"/>
        <v>Correo electrónico</v>
      </c>
    </row>
    <row r="424" spans="1:37">
      <c r="A424" t="str">
        <f t="shared" si="126"/>
        <v>SG423</v>
      </c>
      <c r="B424" t="s">
        <v>57</v>
      </c>
      <c r="C424" s="9" t="s">
        <v>427</v>
      </c>
      <c r="D424" t="str">
        <f t="shared" si="109"/>
        <v>Femenino</v>
      </c>
      <c r="E424" t="str">
        <f t="shared" si="110"/>
        <v>De 22 a 24 años</v>
      </c>
      <c r="F424">
        <f t="shared" si="111"/>
        <v>22</v>
      </c>
      <c r="G424" t="str">
        <f t="shared" si="127"/>
        <v>Rural</v>
      </c>
      <c r="H424" s="9" t="str">
        <f t="shared" si="112"/>
        <v>Técnico</v>
      </c>
      <c r="I424" s="9" t="str">
        <f t="shared" si="113"/>
        <v>Trabajo de manera independiente</v>
      </c>
      <c r="J424" s="13" t="str">
        <f>IF(I424="Trabajo actualmente como empleado",IF(MOD((COUNTIF($I$2:I424,"Trabajo actualmente como empleado")-1)*37,150)&lt;100,"Empleado con contrato","Empleado sin contrato formal"),IF(I424="Trabajo de manera independiente","Trabajo independiente",""))</f>
        <v>Trabajo independiente</v>
      </c>
      <c r="K424" s="9" t="str">
        <f>IF(OR(I424="Trabajo actualmente como empleado",I424="Trabajo de manera independiente"),CHOOSE(MOD(COUNTIF($I$2:I424,I424)-1,4)+1,"Menos de 3 meses","De 3 a 6 meses","De 7 a 12 meses","Más de un año"),"")</f>
        <v>Más de un año</v>
      </c>
      <c r="L424" t="str">
        <f>IF(OR(I424="Trabajo actualmente como empleado",I424="Trabajo de manera independiente"),CHOOSE(MOD(COUNTIF($I$2:I424,I424)-1,3)+1,"Sí, completamente","Parcialmente","No"),"")</f>
        <v>No</v>
      </c>
      <c r="M424" t="str">
        <f>IF(OR(I424="Trabajo actualmente como empleado",I424="Trabajo de manera independiente"),CHOOSE(MOD(INT((COUNTIF($I$2:I424,I424)-1)/3),4)+1,"1- Muy satisfecho/a","2- Satisfecho/a","3- Insatisfecho/a","4- Muy insatisfecho/a"),"")</f>
        <v>4- Muy insatisfecho/a</v>
      </c>
      <c r="N424" t="str">
        <f>IF(OR(I424="Trabajo actualmente como empleado",I424="Trabajo de manera independiente"),_xlfn.LET(_xlpm.opcion,MOD(INT((COUNTIF($I$2:I424,I424)-1)/5),6)+1,CHOOSE(IF(AND(_xlpm.opcion=6,L424="Sí, completamente"),5,_xlpm.opcion),"Salario","Estabilidad laboral","Horario","Acceso a prestaciones","Oportunidades de crecimiento","Trabajar en un área relacionada con mi formación")),"")</f>
        <v>Horario</v>
      </c>
      <c r="O424" s="9" t="str">
        <f>IF(OR(I424="Trabajo actualmente como empleado",I424="Trabajo de manera independiente"),_xlfn.LET(_xlpm.turno,MOD(COUNTIF($I$2:I424,I424)-1,5),_xlpm.nivel,VALUE(LEFT(M424,1)),IF(_xlpm.turno=4,"No estoy seguro/a",IF(_xlpm.turno&lt;IF(_xlpm.nivel&lt;=2,1,3),"Sí","No"))),"")</f>
        <v>Sí</v>
      </c>
      <c r="P424" s="9" t="str">
        <f>_xlfn.LET(_xlpm.perfil,I424,_xlpm.turno,COUNTIF($I$2:I424,_xlpm.perfil)-1,_xlpm.busca,OR(_xlpm.perfil="Actualmente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trabajar"),IF(AND(_xlpm.trabaja,O424="No"),"Todavía no he iniciado una búsqueda activa",CHOOSE(MOD(_xlpm.turno*3,5)+1,"Menos de 1 mes","Entre 1 y 3 meses","Entre 4 y 6 meses","Más de 6 meses","Todavía no he iniciado una búsqueda activa")),"")))</f>
        <v>Más de 6 meses</v>
      </c>
      <c r="Q424" t="str">
        <f>IF(I424="Tengo un emprendimiento o quiero iniciar uno","",CHOOSE(MOD(INT((COUNTIF($I$2:I424,I424)-1)/7),3)+1,"Sí","No","Tengo una pero necesito actualizarla"))</f>
        <v>No</v>
      </c>
      <c r="R424" s="9" t="str">
        <f>IF(I424="Tengo un emprendimiento o quiero iniciar uno","",IF(I424="Busco mi primer empleo","No",IF(MOD(COUNTIF($I$2:I424,I424)-1,2)=0,"Sí","No")))</f>
        <v>No</v>
      </c>
      <c r="S424" t="str">
        <f>IF(I424="Tengo un emprendimiento o quiero iniciar uno","",CHOOSE(MOD(INT((COUNTIF($I$2:I424,I424)-1)/3),10)+1,"Portales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Empresas directamente</v>
      </c>
      <c r="T424" t="str">
        <f>IF(I424="Tengo un emprendimiento o quiero iniciar uno","",_xlfn.LET(_xlpm.opcion,MOD(INT((COUNTIF($I$2:I424,I424)-1)/4),6)+1,CHOOSE(IF(AND(_xlpm.opcion=3,Q424="Sí"),1,_xlpm.opcion),"Falta de experiencia","Falta de formación","Dificultades con la hoja de vida","Horarios disponibles","Transporte","Internet")))</f>
        <v>Internet</v>
      </c>
      <c r="U424" s="9" t="str">
        <f>IF(I424="Tengo un emprendimiento o quiero iniciar uno","",IF(MOD(INT((COUNTIF($I$2:I424,I424)-1)/3),2)=0,"Sí","No"))</f>
        <v>No</v>
      </c>
      <c r="V424" s="9" t="str">
        <f>IF(I424="Tengo un emprendimiento o quiero iniciar uno",CHOOSE(MOD(COUNTIF($I$2:I424,I424)-1,3)+1,"Tengo un emprendimiento","Estoy iniciando un emprendimiento","Me interesa emprender"),"")</f>
        <v/>
      </c>
      <c r="W424" t="str">
        <f t="shared" si="114"/>
        <v/>
      </c>
      <c r="X424" s="9" t="str">
        <f>IF(I424="Tengo un emprendimiento o quiero iniciar uno",CHOOSE(MOD(COUNTIF($I$2:I424,I424)-1,5)+1,"Falta de financiación","Falta de conocimientos administrativos","Falta de conocimientos financieros","Falta de tiempo","Falta de herramientas"),"")</f>
        <v/>
      </c>
      <c r="Y424" s="9" t="str">
        <f t="shared" si="115"/>
        <v/>
      </c>
      <c r="Z424" t="str">
        <f>IF(I424="Tengo un emprendimiento o quiero iniciar uno",CHOOSE(INT(MOD((COUNTIF($I$2:I424,I424)-1)*7,39)/13)+1,"Sí","No","No conozco programas de ese tipo"),"")</f>
        <v/>
      </c>
      <c r="AA424" t="str">
        <f t="shared" si="116"/>
        <v>Puedo hacerlo con ayuda</v>
      </c>
      <c r="AB424" t="str">
        <f t="shared" si="116"/>
        <v>Puedo hacerlo con ayuda</v>
      </c>
      <c r="AC424" t="str">
        <f t="shared" si="117"/>
        <v>Puedo hacerlo con ayuda</v>
      </c>
      <c r="AD424" s="9" t="str">
        <f t="shared" si="118"/>
        <v>Puedo hacerlo con dificultad</v>
      </c>
      <c r="AE424" t="str">
        <f t="shared" si="119"/>
        <v>Puedo hacerlo con dificultad</v>
      </c>
      <c r="AF424" s="9" t="str">
        <f t="shared" si="120"/>
        <v>Herramientas digitales</v>
      </c>
      <c r="AG424" s="9" t="str">
        <f t="shared" si="121"/>
        <v>Falta de experiencia;Falta de información</v>
      </c>
      <c r="AH424" t="str">
        <f t="shared" si="122"/>
        <v>Ferias de empleo</v>
      </c>
      <c r="AI424" s="9" t="str">
        <f t="shared" si="123"/>
        <v>Presencial</v>
      </c>
      <c r="AJ424" s="9" t="str">
        <f t="shared" si="124"/>
        <v>Fines de semana</v>
      </c>
      <c r="AK424" s="9" t="str">
        <f t="shared" si="125"/>
        <v>Redes sociales</v>
      </c>
    </row>
    <row r="425" spans="1:37">
      <c r="A425" t="str">
        <f t="shared" si="126"/>
        <v>SG424</v>
      </c>
      <c r="B425" t="s">
        <v>57</v>
      </c>
      <c r="C425" s="9" t="s">
        <v>427</v>
      </c>
      <c r="D425" t="str">
        <f t="shared" si="109"/>
        <v>No quiero responder</v>
      </c>
      <c r="E425" t="str">
        <f t="shared" si="110"/>
        <v>De 24 a 26 años</v>
      </c>
      <c r="F425">
        <f t="shared" si="111"/>
        <v>24</v>
      </c>
      <c r="G425" t="str">
        <f t="shared" si="127"/>
        <v>Centro poblado</v>
      </c>
      <c r="H425" s="9" t="str">
        <f t="shared" si="112"/>
        <v>Tecnólogo</v>
      </c>
      <c r="I425" s="9" t="str">
        <f t="shared" si="113"/>
        <v>Busco mi primer empleo</v>
      </c>
      <c r="J425" s="13" t="str">
        <f>IF(I425="Trabajo actualmente como empleado",IF(MOD((COUNTIF($I$2:I425,"Trabajo actualmente como empleado")-1)*37,150)&lt;100,"Empleado con contrato","Empleado sin contrato formal"),IF(I425="Trabajo de manera independiente","Trabajo independiente",""))</f>
        <v/>
      </c>
      <c r="K425" s="9" t="str">
        <f>IF(OR(I425="Trabajo actualmente como empleado",I425="Trabajo de manera independiente"),CHOOSE(MOD(COUNTIF($I$2:I425,I425)-1,4)+1,"Menos de 3 meses","De 3 a 6 meses","De 7 a 12 meses","Más de un año"),"")</f>
        <v/>
      </c>
      <c r="L425" t="str">
        <f>IF(OR(I425="Trabajo actualmente como empleado",I425="Trabajo de manera independiente"),CHOOSE(MOD(COUNTIF($I$2:I425,I425)-1,3)+1,"Sí, completamente","Parcialmente","No"),"")</f>
        <v/>
      </c>
      <c r="M425" t="str">
        <f>IF(OR(I425="Trabajo actualmente como empleado",I425="Trabajo de manera independiente"),CHOOSE(MOD(INT((COUNTIF($I$2:I425,I425)-1)/3),4)+1,"1- Muy satisfecho/a","2- Satisfecho/a","3- Insatisfecho/a","4- Muy insatisfecho/a"),"")</f>
        <v/>
      </c>
      <c r="N425" t="str">
        <f>IF(OR(I425="Trabajo actualmente como empleado",I425="Trabajo de manera independiente"),_xlfn.LET(_xlpm.opcion,MOD(INT((COUNTIF($I$2:I425,I425)-1)/5),6)+1,CHOOSE(IF(AND(_xlpm.opcion=6,L425="Sí, completamente"),5,_xlpm.opcion),"Salario","Estabilidad laboral","Horario","Acceso a prestaciones","Oportunidades de crecimiento","Trabajar en un área relacionada con mi formación")),"")</f>
        <v/>
      </c>
      <c r="O425" s="9" t="str">
        <f>IF(OR(I425="Trabajo actualmente como empleado",I425="Trabajo de manera independiente"),_xlfn.LET(_xlpm.turno,MOD(COUNTIF($I$2:I425,I425)-1,5),_xlpm.nivel,VALUE(LEFT(M425,1)),IF(_xlpm.turno=4,"No estoy seguro/a",IF(_xlpm.turno&lt;IF(_xlpm.nivel&lt;=2,1,3),"Sí","No"))),"")</f>
        <v/>
      </c>
      <c r="P425" s="9" t="str">
        <f>_xlfn.LET(_xlpm.perfil,I425,_xlpm.turno,COUNTIF($I$2:I425,_xlpm.perfil)-1,_xlpm.busca,OR(_xlpm.perfil="Actualmente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trabajar"),IF(AND(_xlpm.trabaja,O425="No"),"Todavía no he iniciado una búsqueda activa",CHOOSE(MOD(_xlpm.turno*3,5)+1,"Menos de 1 mes","Entre 1 y 3 meses","Entre 4 y 6 meses","Más de 6 meses","Todavía no he iniciado una búsqueda activa")),"")))</f>
        <v>Entre 4 y 6 meses</v>
      </c>
      <c r="Q425" t="str">
        <f>IF(I425="Tengo un emprendimiento o quiero iniciar uno","",CHOOSE(MOD(INT((COUNTIF($I$2:I425,I425)-1)/7),3)+1,"Sí","No","Tengo una pero necesito actualizarla"))</f>
        <v>No</v>
      </c>
      <c r="R425" s="9" t="str">
        <f>IF(I425="Tengo un emprendimiento o quiero iniciar uno","",IF(I425="Busco mi primer empleo","No",IF(MOD(COUNTIF($I$2:I425,I425)-1,2)=0,"Sí","No")))</f>
        <v>No</v>
      </c>
      <c r="S425" t="str">
        <f>IF(I425="Tengo un emprendimiento o quiero iniciar uno","",CHOOSE(MOD(INT((COUNTIF($I$2:I425,I425)-1)/3),10)+1,"Portales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25" t="str">
        <f>IF(I425="Tengo un emprendimiento o quiero iniciar uno","",_xlfn.LET(_xlpm.opcion,MOD(INT((COUNTIF($I$2:I425,I425)-1)/4),6)+1,CHOOSE(IF(AND(_xlpm.opcion=3,Q425="Sí"),1,_xlpm.opcion),"Falta de experiencia","Falta de formación","Dificultades con la hoja de vida","Horarios disponibles","Transporte","Internet")))</f>
        <v>Falta de formación</v>
      </c>
      <c r="U425" s="9" t="str">
        <f>IF(I425="Tengo un emprendimiento o quiero iniciar uno","",IF(MOD(INT((COUNTIF($I$2:I425,I425)-1)/3),2)=0,"Sí","No"))</f>
        <v>Sí</v>
      </c>
      <c r="V425" s="9" t="str">
        <f>IF(I425="Tengo un emprendimiento o quiero iniciar uno",CHOOSE(MOD(COUNTIF($I$2:I425,I425)-1,3)+1,"Tengo un emprendimiento","Estoy iniciando un emprendimiento","Me interesa emprender"),"")</f>
        <v/>
      </c>
      <c r="W425" t="str">
        <f t="shared" si="114"/>
        <v/>
      </c>
      <c r="X425" s="9" t="str">
        <f>IF(I425="Tengo un emprendimiento o quiero iniciar uno",CHOOSE(MOD(COUNTIF($I$2:I425,I425)-1,5)+1,"Falta de financiación","Falta de conocimientos administrativos","Falta de conocimientos financieros","Falta de tiempo","Falta de herramientas"),"")</f>
        <v/>
      </c>
      <c r="Y425" s="9" t="str">
        <f t="shared" si="115"/>
        <v/>
      </c>
      <c r="Z425" t="str">
        <f>IF(I425="Tengo un emprendimiento o quiero iniciar uno",CHOOSE(INT(MOD((COUNTIF($I$2:I425,I425)-1)*7,39)/13)+1,"Sí","No","No conozco programas de ese tipo"),"")</f>
        <v/>
      </c>
      <c r="AA425" t="str">
        <f t="shared" si="116"/>
        <v>Puedo hacerlo con dificultad</v>
      </c>
      <c r="AB425" t="str">
        <f t="shared" si="116"/>
        <v>Puedo hacerlo con dificultad</v>
      </c>
      <c r="AC425" t="str">
        <f t="shared" si="117"/>
        <v>Puedo hacerlo sin ayuda</v>
      </c>
      <c r="AD425" s="9" t="str">
        <f t="shared" si="118"/>
        <v>Puedo hacerlo sin ayuda</v>
      </c>
      <c r="AE425" t="str">
        <f t="shared" si="119"/>
        <v>Puedo hacerlo sin ayuda</v>
      </c>
      <c r="AF425" s="9" t="str">
        <f t="shared" si="120"/>
        <v>Educación financiera</v>
      </c>
      <c r="AG425" s="9" t="str">
        <f t="shared" si="121"/>
        <v>Costos de transporte;Distancia</v>
      </c>
      <c r="AH425" t="str">
        <f t="shared" si="122"/>
        <v>No conozco ninguno</v>
      </c>
      <c r="AI425" s="9" t="str">
        <f t="shared" si="123"/>
        <v>Virtual</v>
      </c>
      <c r="AJ425" s="9" t="str">
        <f t="shared" si="124"/>
        <v>Diurno</v>
      </c>
      <c r="AK425" s="9" t="str">
        <f t="shared" si="125"/>
        <v>WhatsApp</v>
      </c>
    </row>
    <row r="426" spans="1:37">
      <c r="A426" t="str">
        <f t="shared" si="126"/>
        <v>SG425</v>
      </c>
      <c r="B426" t="s">
        <v>57</v>
      </c>
      <c r="C426" s="9" t="s">
        <v>427</v>
      </c>
      <c r="D426" t="str">
        <f t="shared" si="109"/>
        <v>Masculino</v>
      </c>
      <c r="E426" t="str">
        <f t="shared" si="110"/>
        <v>De 26 a 28 años</v>
      </c>
      <c r="F426">
        <f t="shared" si="111"/>
        <v>26</v>
      </c>
      <c r="G426" t="str">
        <f t="shared" si="127"/>
        <v>Rural</v>
      </c>
      <c r="H426" s="9" t="str">
        <f t="shared" si="112"/>
        <v>Profesional</v>
      </c>
      <c r="I426" s="9" t="str">
        <f t="shared" si="113"/>
        <v>Trabajo actualmente como empleado</v>
      </c>
      <c r="J426" s="13" t="str">
        <f>IF(I426="Trabajo actualmente como empleado",IF(MOD((COUNTIF($I$2:I426,"Trabajo actualmente como empleado")-1)*37,150)&lt;100,"Empleado con contrato","Empleado sin contrato formal"),IF(I426="Trabajo de manera independiente","Trabajo independiente",""))</f>
        <v>Empleado con contrato</v>
      </c>
      <c r="K426" s="9" t="str">
        <f>IF(OR(I426="Trabajo actualmente como empleado",I426="Trabajo de manera independiente"),CHOOSE(MOD(COUNTIF($I$2:I426,I426)-1,4)+1,"Menos de 3 meses","De 3 a 6 meses","De 7 a 12 meses","Más de un año"),"")</f>
        <v>Menos de 3 meses</v>
      </c>
      <c r="L426" t="str">
        <f>IF(OR(I426="Trabajo actualmente como empleado",I426="Trabajo de manera independiente"),CHOOSE(MOD(COUNTIF($I$2:I426,I426)-1,3)+1,"Sí, completamente","Parcialmente","No"),"")</f>
        <v>Sí, completamente</v>
      </c>
      <c r="M426" t="str">
        <f>IF(OR(I426="Trabajo actualmente como empleado",I426="Trabajo de manera independiente"),CHOOSE(MOD(INT((COUNTIF($I$2:I426,I426)-1)/3),4)+1,"1- Muy satisfecho/a","2- Satisfecho/a","3- Insatisfecho/a","4- Muy insatisfecho/a"),"")</f>
        <v>1- Muy satisfecho/a</v>
      </c>
      <c r="N426" t="str">
        <f>IF(OR(I426="Trabajo actualmente como empleado",I426="Trabajo de manera independiente"),_xlfn.LET(_xlpm.opcion,MOD(INT((COUNTIF($I$2:I426,I426)-1)/5),6)+1,CHOOSE(IF(AND(_xlpm.opcion=6,L426="Sí, completamente"),5,_xlpm.opcion),"Salario","Estabilidad laboral","Horario","Acceso a prestaciones","Oportunidades de crecimiento","Trabajar en un área relacionada con mi formación")),"")</f>
        <v>Horario</v>
      </c>
      <c r="O426" s="9" t="str">
        <f>IF(OR(I426="Trabajo actualmente como empleado",I426="Trabajo de manera independiente"),_xlfn.LET(_xlpm.turno,MOD(COUNTIF($I$2:I426,I426)-1,5),_xlpm.nivel,VALUE(LEFT(M426,1)),IF(_xlpm.turno=4,"No estoy seguro/a",IF(_xlpm.turno&lt;IF(_xlpm.nivel&lt;=2,1,3),"Sí","No"))),"")</f>
        <v>No</v>
      </c>
      <c r="P426" s="9" t="str">
        <f>_xlfn.LET(_xlpm.perfil,I426,_xlpm.turno,COUNTIF($I$2:I426,_xlpm.perfil)-1,_xlpm.busca,OR(_xlpm.perfil="Actualmente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26" t="str">
        <f>IF(I426="Tengo un emprendimiento o quiero iniciar uno","",CHOOSE(MOD(INT((COUNTIF($I$2:I426,I426)-1)/7),3)+1,"Sí","No","Tengo una pero necesito actualizarla"))</f>
        <v>Sí</v>
      </c>
      <c r="R426" s="9" t="str">
        <f>IF(I426="Tengo un emprendimiento o quiero iniciar uno","",IF(I426="Busco mi primer empleo","No",IF(MOD(COUNTIF($I$2:I426,I426)-1,2)=0,"Sí","No")))</f>
        <v>Sí</v>
      </c>
      <c r="S426" t="str">
        <f>IF(I426="Tengo un emprendimiento o quiero iniciar uno","",CHOOSE(MOD(INT((COUNTIF($I$2:I426,I426)-1)/3),10)+1,"Portales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26" t="str">
        <f>IF(I426="Tengo un emprendimiento o quiero iniciar uno","",_xlfn.LET(_xlpm.opcion,MOD(INT((COUNTIF($I$2:I426,I426)-1)/4),6)+1,CHOOSE(IF(AND(_xlpm.opcion=3,Q426="Sí"),1,_xlpm.opcion),"Falta de experiencia","Falta de formación","Dificultades con la hoja de vida","Horarios disponibles","Transporte","Internet")))</f>
        <v>Horarios disponibles</v>
      </c>
      <c r="U426" s="9" t="str">
        <f>IF(I426="Tengo un emprendimiento o quiero iniciar uno","",IF(MOD(INT((COUNTIF($I$2:I426,I426)-1)/3),2)=0,"Sí","No"))</f>
        <v>Sí</v>
      </c>
      <c r="V426" s="9" t="str">
        <f>IF(I426="Tengo un emprendimiento o quiero iniciar uno",CHOOSE(MOD(COUNTIF($I$2:I426,I426)-1,3)+1,"Tengo un emprendimiento","Estoy iniciando un emprendimiento","Me interesa emprender"),"")</f>
        <v/>
      </c>
      <c r="W426" t="str">
        <f t="shared" si="114"/>
        <v/>
      </c>
      <c r="X426" s="9" t="str">
        <f>IF(I426="Tengo un emprendimiento o quiero iniciar uno",CHOOSE(MOD(COUNTIF($I$2:I426,I426)-1,5)+1,"Falta de financiación","Falta de conocimientos administrativos","Falta de conocimientos financieros","Falta de tiempo","Falta de herramientas"),"")</f>
        <v/>
      </c>
      <c r="Y426" s="9" t="str">
        <f t="shared" si="115"/>
        <v/>
      </c>
      <c r="Z426" t="str">
        <f>IF(I426="Tengo un emprendimiento o quiero iniciar uno",CHOOSE(INT(MOD((COUNTIF($I$2:I426,I426)-1)*7,39)/13)+1,"Sí","No","No conozco programas de ese tipo"),"")</f>
        <v/>
      </c>
      <c r="AA426" t="str">
        <f t="shared" si="116"/>
        <v>No puedo hacerlo</v>
      </c>
      <c r="AB426" t="str">
        <f t="shared" si="116"/>
        <v>No puedo hacerlo</v>
      </c>
      <c r="AC426" t="str">
        <f t="shared" si="117"/>
        <v>No puedo hacerlo</v>
      </c>
      <c r="AD426" s="9" t="str">
        <f t="shared" si="118"/>
        <v>No puedo hacerlo</v>
      </c>
      <c r="AE426" t="str">
        <f t="shared" si="119"/>
        <v>Puedo hacerlo sin ayuda</v>
      </c>
      <c r="AF426" s="9" t="str">
        <f t="shared" si="120"/>
        <v>Crear una hoja de vida;Preparación para entrevista</v>
      </c>
      <c r="AG426" s="9" t="str">
        <f t="shared" si="121"/>
        <v>Costos de transporte;Distancia</v>
      </c>
      <c r="AH426" t="str">
        <f t="shared" si="122"/>
        <v>Ferias de empleo</v>
      </c>
      <c r="AI426" s="9" t="str">
        <f t="shared" si="123"/>
        <v>Presencial y virtual</v>
      </c>
      <c r="AJ426" s="9" t="str">
        <f t="shared" si="124"/>
        <v>Nocturno</v>
      </c>
      <c r="AK426" s="9" t="str">
        <f t="shared" si="125"/>
        <v>Correo electrónico</v>
      </c>
    </row>
    <row r="427" spans="1:37">
      <c r="A427" t="str">
        <f t="shared" si="126"/>
        <v>SG426</v>
      </c>
      <c r="B427" t="s">
        <v>57</v>
      </c>
      <c r="C427" s="9" t="s">
        <v>427</v>
      </c>
      <c r="D427" t="str">
        <f t="shared" si="109"/>
        <v>Femenino</v>
      </c>
      <c r="E427" t="str">
        <f t="shared" si="110"/>
        <v>De 18 a 20 años</v>
      </c>
      <c r="F427">
        <f t="shared" si="111"/>
        <v>19</v>
      </c>
      <c r="G427" t="str">
        <f t="shared" si="127"/>
        <v>Centro poblado</v>
      </c>
      <c r="H427" s="9" t="str">
        <f t="shared" si="112"/>
        <v>Técnico</v>
      </c>
      <c r="I427" s="9" t="str">
        <f t="shared" si="113"/>
        <v>Actualmente no trabajo y estoy buscando empleo</v>
      </c>
      <c r="J427" s="13" t="str">
        <f>IF(I427="Trabajo actualmente como empleado",IF(MOD((COUNTIF($I$2:I427,"Trabajo actualmente como empleado")-1)*37,150)&lt;100,"Empleado con contrato","Empleado sin contrato formal"),IF(I427="Trabajo de manera independiente","Trabajo independiente",""))</f>
        <v/>
      </c>
      <c r="K427" s="9" t="str">
        <f>IF(OR(I427="Trabajo actualmente como empleado",I427="Trabajo de manera independiente"),CHOOSE(MOD(COUNTIF($I$2:I427,I427)-1,4)+1,"Menos de 3 meses","De 3 a 6 meses","De 7 a 12 meses","Más de un año"),"")</f>
        <v/>
      </c>
      <c r="L427" t="str">
        <f>IF(OR(I427="Trabajo actualmente como empleado",I427="Trabajo de manera independiente"),CHOOSE(MOD(COUNTIF($I$2:I427,I427)-1,3)+1,"Sí, completamente","Parcialmente","No"),"")</f>
        <v/>
      </c>
      <c r="M427" t="str">
        <f>IF(OR(I427="Trabajo actualmente como empleado",I427="Trabajo de manera independiente"),CHOOSE(MOD(INT((COUNTIF($I$2:I427,I427)-1)/3),4)+1,"1- Muy satisfecho/a","2- Satisfecho/a","3- Insatisfecho/a","4- Muy insatisfecho/a"),"")</f>
        <v/>
      </c>
      <c r="N427" t="str">
        <f>IF(OR(I427="Trabajo actualmente como empleado",I427="Trabajo de manera independiente"),_xlfn.LET(_xlpm.opcion,MOD(INT((COUNTIF($I$2:I427,I427)-1)/5),6)+1,CHOOSE(IF(AND(_xlpm.opcion=6,L427="Sí, completamente"),5,_xlpm.opcion),"Salario","Estabilidad laboral","Horario","Acceso a prestaciones","Oportunidades de crecimiento","Trabajar en un área relacionada con mi formación")),"")</f>
        <v/>
      </c>
      <c r="O427" s="9" t="str">
        <f>IF(OR(I427="Trabajo actualmente como empleado",I427="Trabajo de manera independiente"),_xlfn.LET(_xlpm.turno,MOD(COUNTIF($I$2:I427,I427)-1,5),_xlpm.nivel,VALUE(LEFT(M427,1)),IF(_xlpm.turno=4,"No estoy seguro/a",IF(_xlpm.turno&lt;IF(_xlpm.nivel&lt;=2,1,3),"Sí","No"))),"")</f>
        <v/>
      </c>
      <c r="P427" s="9" t="str">
        <f>_xlfn.LET(_xlpm.perfil,I427,_xlpm.turno,COUNTIF($I$2:I427,_xlpm.perfil)-1,_xlpm.busca,OR(_xlpm.perfil="Actualmente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trabajar"),IF(AND(_xlpm.trabaja,O427="No"),"Todavía no he iniciado una búsqueda activa",CHOOSE(MOD(_xlpm.turno*3,5)+1,"Menos de 1 mes","Entre 1 y 3 meses","Entre 4 y 6 meses","Más de 6 meses","Todavía no he iniciado una búsqueda activa")),"")))</f>
        <v>Entre 4 y 6 meses</v>
      </c>
      <c r="Q427" t="str">
        <f>IF(I427="Tengo un emprendimiento o quiero iniciar uno","",CHOOSE(MOD(INT((COUNTIF($I$2:I427,I427)-1)/7),3)+1,"Sí","No","Tengo una pero necesito actualizarla"))</f>
        <v>Tengo una pero necesito actualizarla</v>
      </c>
      <c r="R427" s="9" t="str">
        <f>IF(I427="Tengo un emprendimiento o quiero iniciar uno","",IF(I427="Busco mi primer empleo","No",IF(MOD(COUNTIF($I$2:I427,I427)-1,2)=0,"Sí","No")))</f>
        <v>Sí</v>
      </c>
      <c r="S427" t="str">
        <f>IF(I427="Tengo un emprendimiento o quiero iniciar uno","",CHOOSE(MOD(INT((COUNTIF($I$2:I427,I427)-1)/3),10)+1,"Portales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27" t="str">
        <f>IF(I427="Tengo un emprendimiento o quiero iniciar uno","",_xlfn.LET(_xlpm.opcion,MOD(INT((COUNTIF($I$2:I427,I427)-1)/4),6)+1,CHOOSE(IF(AND(_xlpm.opcion=3,Q427="Sí"),1,_xlpm.opcion),"Falta de experiencia","Falta de formación","Dificultades con la hoja de vida","Horarios disponibles","Transporte","Internet")))</f>
        <v>Falta de formación</v>
      </c>
      <c r="U427" s="9" t="str">
        <f>IF(I427="Tengo un emprendimiento o quiero iniciar uno","",IF(MOD(INT((COUNTIF($I$2:I427,I427)-1)/3),2)=0,"Sí","No"))</f>
        <v>Sí</v>
      </c>
      <c r="V427" s="9" t="str">
        <f>IF(I427="Tengo un emprendimiento o quiero iniciar uno",CHOOSE(MOD(COUNTIF($I$2:I427,I427)-1,3)+1,"Tengo un emprendimiento","Estoy iniciando un emprendimiento","Me interesa emprender"),"")</f>
        <v/>
      </c>
      <c r="W427" t="str">
        <f t="shared" si="114"/>
        <v/>
      </c>
      <c r="X427" s="9" t="str">
        <f>IF(I427="Tengo un emprendimiento o quiero iniciar uno",CHOOSE(MOD(COUNTIF($I$2:I427,I427)-1,5)+1,"Falta de financiación","Falta de conocimientos administrativos","Falta de conocimientos financieros","Falta de tiempo","Falta de herramientas"),"")</f>
        <v/>
      </c>
      <c r="Y427" s="9" t="str">
        <f t="shared" si="115"/>
        <v/>
      </c>
      <c r="Z427" t="str">
        <f>IF(I427="Tengo un emprendimiento o quiero iniciar uno",CHOOSE(INT(MOD((COUNTIF($I$2:I427,I427)-1)*7,39)/13)+1,"Sí","No","No conozco programas de ese tipo"),"")</f>
        <v/>
      </c>
      <c r="AA427" t="str">
        <f t="shared" si="116"/>
        <v>Puedo hacerlo con ayuda</v>
      </c>
      <c r="AB427" t="str">
        <f t="shared" si="116"/>
        <v>Puedo hacerlo con ayuda</v>
      </c>
      <c r="AC427" t="str">
        <f t="shared" si="117"/>
        <v>Puedo hacerlo con ayuda</v>
      </c>
      <c r="AD427" s="9" t="str">
        <f t="shared" si="118"/>
        <v>No puedo hacerlo</v>
      </c>
      <c r="AE427" t="str">
        <f t="shared" si="119"/>
        <v>No puedo hacerlo</v>
      </c>
      <c r="AF427" s="9" t="str">
        <f t="shared" si="120"/>
        <v>Comunicación;Liderazgo</v>
      </c>
      <c r="AG427" s="9" t="str">
        <f t="shared" si="121"/>
        <v>Costos de transporte;Distancia</v>
      </c>
      <c r="AH427" t="str">
        <f t="shared" si="122"/>
        <v>Programas de emprendimiento</v>
      </c>
      <c r="AI427" s="9" t="str">
        <f t="shared" si="123"/>
        <v>Me es indiferente</v>
      </c>
      <c r="AJ427" s="9" t="str">
        <f t="shared" si="124"/>
        <v>Fines de semana</v>
      </c>
      <c r="AK427" s="9" t="str">
        <f t="shared" si="125"/>
        <v>Celular</v>
      </c>
    </row>
    <row r="428" spans="1:37">
      <c r="A428" t="str">
        <f t="shared" si="126"/>
        <v>SG427</v>
      </c>
      <c r="B428" t="s">
        <v>57</v>
      </c>
      <c r="C428" s="9" t="s">
        <v>427</v>
      </c>
      <c r="D428" t="str">
        <f t="shared" si="109"/>
        <v>Femenino</v>
      </c>
      <c r="E428" t="str">
        <f t="shared" si="110"/>
        <v>De 20 a 22 años</v>
      </c>
      <c r="F428">
        <f t="shared" si="111"/>
        <v>21</v>
      </c>
      <c r="G428" t="str">
        <f t="shared" si="127"/>
        <v>Rural</v>
      </c>
      <c r="H428" s="9" t="str">
        <f t="shared" si="112"/>
        <v>Tecnólogo</v>
      </c>
      <c r="I428" s="9" t="str">
        <f t="shared" si="113"/>
        <v>Estudio y quiero comenzar a trabajar</v>
      </c>
      <c r="J428" s="13" t="str">
        <f>IF(I428="Trabajo actualmente como empleado",IF(MOD((COUNTIF($I$2:I428,"Trabajo actualmente como empleado")-1)*37,150)&lt;100,"Empleado con contrato","Empleado sin contrato formal"),IF(I428="Trabajo de manera independiente","Trabajo independiente",""))</f>
        <v/>
      </c>
      <c r="K428" s="9" t="str">
        <f>IF(OR(I428="Trabajo actualmente como empleado",I428="Trabajo de manera independiente"),CHOOSE(MOD(COUNTIF($I$2:I428,I428)-1,4)+1,"Menos de 3 meses","De 3 a 6 meses","De 7 a 12 meses","Más de un año"),"")</f>
        <v/>
      </c>
      <c r="L428" t="str">
        <f>IF(OR(I428="Trabajo actualmente como empleado",I428="Trabajo de manera independiente"),CHOOSE(MOD(COUNTIF($I$2:I428,I428)-1,3)+1,"Sí, completamente","Parcialmente","No"),"")</f>
        <v/>
      </c>
      <c r="M428" t="str">
        <f>IF(OR(I428="Trabajo actualmente como empleado",I428="Trabajo de manera independiente"),CHOOSE(MOD(INT((COUNTIF($I$2:I428,I428)-1)/3),4)+1,"1- Muy satisfecho/a","2- Satisfecho/a","3- Insatisfecho/a","4- Muy insatisfecho/a"),"")</f>
        <v/>
      </c>
      <c r="N428" t="str">
        <f>IF(OR(I428="Trabajo actualmente como empleado",I428="Trabajo de manera independiente"),_xlfn.LET(_xlpm.opcion,MOD(INT((COUNTIF($I$2:I428,I428)-1)/5),6)+1,CHOOSE(IF(AND(_xlpm.opcion=6,L428="Sí, completamente"),5,_xlpm.opcion),"Salario","Estabilidad laboral","Horario","Acceso a prestaciones","Oportunidades de crecimiento","Trabajar en un área relacionada con mi formación")),"")</f>
        <v/>
      </c>
      <c r="O428" s="9" t="str">
        <f>IF(OR(I428="Trabajo actualmente como empleado",I428="Trabajo de manera independiente"),_xlfn.LET(_xlpm.turno,MOD(COUNTIF($I$2:I428,I428)-1,5),_xlpm.nivel,VALUE(LEFT(M428,1)),IF(_xlpm.turno=4,"No estoy seguro/a",IF(_xlpm.turno&lt;IF(_xlpm.nivel&lt;=2,1,3),"Sí","No"))),"")</f>
        <v/>
      </c>
      <c r="P428" s="9" t="str">
        <f>_xlfn.LET(_xlpm.perfil,I428,_xlpm.turno,COUNTIF($I$2:I428,_xlpm.perfil)-1,_xlpm.busca,OR(_xlpm.perfil="Actualmente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trabajar"),IF(AND(_xlpm.trabaja,O428="No"),"Todavía no he iniciado una búsqueda activa",CHOOSE(MOD(_xlpm.turno*3,5)+1,"Menos de 1 mes","Entre 1 y 3 meses","Entre 4 y 6 meses","Más de 6 meses","Todavía no he iniciado una búsqueda activa")),"")))</f>
        <v>Entre 1 y 3 meses</v>
      </c>
      <c r="Q428" t="str">
        <f>IF(I428="Tengo un emprendimiento o quiero iniciar uno","",CHOOSE(MOD(INT((COUNTIF($I$2:I428,I428)-1)/7),3)+1,"Sí","No","Tengo una pero necesito actualizarla"))</f>
        <v>No</v>
      </c>
      <c r="R428" s="9" t="str">
        <f>IF(I428="Tengo un emprendimiento o quiero iniciar uno","",IF(I428="Busco mi primer empleo","No",IF(MOD(COUNTIF($I$2:I428,I428)-1,2)=0,"Sí","No")))</f>
        <v>Sí</v>
      </c>
      <c r="S428" t="str">
        <f>IF(I428="Tengo un emprendimiento o quiero iniciar uno","",CHOOSE(MOD(INT((COUNTIF($I$2:I428,I428)-1)/3),10)+1,"Portales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28" t="str">
        <f>IF(I428="Tengo un emprendimiento o quiero iniciar uno","",_xlfn.LET(_xlpm.opcion,MOD(INT((COUNTIF($I$2:I428,I428)-1)/4),6)+1,CHOOSE(IF(AND(_xlpm.opcion=3,Q428="Sí"),1,_xlpm.opcion),"Falta de experiencia","Falta de formación","Dificultades con la hoja de vida","Horarios disponibles","Transporte","Internet")))</f>
        <v>Falta de formación</v>
      </c>
      <c r="U428" s="9" t="str">
        <f>IF(I428="Tengo un emprendimiento o quiero iniciar uno","",IF(MOD(INT((COUNTIF($I$2:I428,I428)-1)/3),2)=0,"Sí","No"))</f>
        <v>No</v>
      </c>
      <c r="V428" s="9" t="str">
        <f>IF(I428="Tengo un emprendimiento o quiero iniciar uno",CHOOSE(MOD(COUNTIF($I$2:I428,I428)-1,3)+1,"Tengo un emprendimiento","Estoy iniciando un emprendimiento","Me interesa emprender"),"")</f>
        <v/>
      </c>
      <c r="W428" t="str">
        <f t="shared" si="114"/>
        <v/>
      </c>
      <c r="X428" s="9" t="str">
        <f>IF(I428="Tengo un emprendimiento o quiero iniciar uno",CHOOSE(MOD(COUNTIF($I$2:I428,I428)-1,5)+1,"Falta de financiación","Falta de conocimientos administrativos","Falta de conocimientos financieros","Falta de tiempo","Falta de herramientas"),"")</f>
        <v/>
      </c>
      <c r="Y428" s="9" t="str">
        <f t="shared" si="115"/>
        <v/>
      </c>
      <c r="Z428" t="str">
        <f>IF(I428="Tengo un emprendimiento o quiero iniciar uno",CHOOSE(INT(MOD((COUNTIF($I$2:I428,I428)-1)*7,39)/13)+1,"Sí","No","No conozco programas de ese tipo"),"")</f>
        <v/>
      </c>
      <c r="AA428" t="str">
        <f t="shared" si="116"/>
        <v>Puedo hacerlo sin ayuda</v>
      </c>
      <c r="AB428" t="str">
        <f t="shared" si="116"/>
        <v>Puedo hacerlo sin ayuda</v>
      </c>
      <c r="AC428" t="str">
        <f t="shared" si="117"/>
        <v>Puedo hacerlo sin ayuda</v>
      </c>
      <c r="AD428" s="9" t="str">
        <f t="shared" si="118"/>
        <v>Puedo hacerlo con ayuda</v>
      </c>
      <c r="AE428" t="str">
        <f t="shared" si="119"/>
        <v>Puedo hacerlo con ayuda</v>
      </c>
      <c r="AF428" s="9" t="str">
        <f t="shared" si="120"/>
        <v>Herramientas digitales;Educación financiera</v>
      </c>
      <c r="AG428" s="9" t="str">
        <f t="shared" si="121"/>
        <v>Falta de información</v>
      </c>
      <c r="AH428" t="str">
        <f t="shared" si="122"/>
        <v>Oficina de orientación laboral</v>
      </c>
      <c r="AI428" s="9" t="str">
        <f t="shared" si="123"/>
        <v>Presencial</v>
      </c>
      <c r="AJ428" s="9" t="str">
        <f t="shared" si="124"/>
        <v>Diurno</v>
      </c>
      <c r="AK428" s="9" t="str">
        <f t="shared" si="125"/>
        <v>WhatsApp</v>
      </c>
    </row>
    <row r="429" spans="1:37">
      <c r="A429" t="str">
        <f t="shared" si="126"/>
        <v>SG428</v>
      </c>
      <c r="B429" t="s">
        <v>57</v>
      </c>
      <c r="C429" s="9" t="s">
        <v>427</v>
      </c>
      <c r="D429" t="str">
        <f t="shared" si="109"/>
        <v>Masculino</v>
      </c>
      <c r="E429" t="str">
        <f t="shared" si="110"/>
        <v>De 22 a 24 años</v>
      </c>
      <c r="F429">
        <f t="shared" si="111"/>
        <v>23</v>
      </c>
      <c r="G429" t="str">
        <f t="shared" si="127"/>
        <v>Centro poblado</v>
      </c>
      <c r="H429" s="9" t="str">
        <f t="shared" si="112"/>
        <v>Profesional</v>
      </c>
      <c r="I429" s="9" t="str">
        <f t="shared" si="113"/>
        <v>Trabajo actualmente como empleado</v>
      </c>
      <c r="J429" s="13" t="str">
        <f>IF(I429="Trabajo actualmente como empleado",IF(MOD((COUNTIF($I$2:I429,"Trabajo actualmente como empleado")-1)*37,150)&lt;100,"Empleado con contrato","Empleado sin contrato formal"),IF(I429="Trabajo de manera independiente","Trabajo independiente",""))</f>
        <v>Empleado sin contrato formal</v>
      </c>
      <c r="K429" s="9" t="str">
        <f>IF(OR(I429="Trabajo actualmente como empleado",I429="Trabajo de manera independiente"),CHOOSE(MOD(COUNTIF($I$2:I429,I429)-1,4)+1,"Menos de 3 meses","De 3 a 6 meses","De 7 a 12 meses","Más de un año"),"")</f>
        <v>De 3 a 6 meses</v>
      </c>
      <c r="L429" t="str">
        <f>IF(OR(I429="Trabajo actualmente como empleado",I429="Trabajo de manera independiente"),CHOOSE(MOD(COUNTIF($I$2:I429,I429)-1,3)+1,"Sí, completamente","Parcialmente","No"),"")</f>
        <v>Parcialmente</v>
      </c>
      <c r="M429" t="str">
        <f>IF(OR(I429="Trabajo actualmente como empleado",I429="Trabajo de manera independiente"),CHOOSE(MOD(INT((COUNTIF($I$2:I429,I429)-1)/3),4)+1,"1- Muy satisfecho/a","2- Satisfecho/a","3- Insatisfecho/a","4- Muy insatisfecho/a"),"")</f>
        <v>1- Muy satisfecho/a</v>
      </c>
      <c r="N429" t="str">
        <f>IF(OR(I429="Trabajo actualmente como empleado",I429="Trabajo de manera independiente"),_xlfn.LET(_xlpm.opcion,MOD(INT((COUNTIF($I$2:I429,I429)-1)/5),6)+1,CHOOSE(IF(AND(_xlpm.opcion=6,L429="Sí, completamente"),5,_xlpm.opcion),"Salario","Estabilidad laboral","Horario","Acceso a prestaciones","Oportunidades de crecimiento","Trabajar en un área relacionada con mi formación")),"")</f>
        <v>Horario</v>
      </c>
      <c r="O429" s="9" t="str">
        <f>IF(OR(I429="Trabajo actualmente como empleado",I429="Trabajo de manera independiente"),_xlfn.LET(_xlpm.turno,MOD(COUNTIF($I$2:I429,I429)-1,5),_xlpm.nivel,VALUE(LEFT(M429,1)),IF(_xlpm.turno=4,"No estoy seguro/a",IF(_xlpm.turno&lt;IF(_xlpm.nivel&lt;=2,1,3),"Sí","No"))),"")</f>
        <v>No</v>
      </c>
      <c r="P429" s="9" t="str">
        <f>_xlfn.LET(_xlpm.perfil,I429,_xlpm.turno,COUNTIF($I$2:I429,_xlpm.perfil)-1,_xlpm.busca,OR(_xlpm.perfil="Actualmente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trabajar"),IF(AND(_xlpm.trabaja,O429="No"),"Todavía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29" t="str">
        <f>IF(I429="Tengo un emprendimiento o quiero iniciar uno","",CHOOSE(MOD(INT((COUNTIF($I$2:I429,I429)-1)/7),3)+1,"Sí","No","Tengo una pero necesito actualizarla"))</f>
        <v>No</v>
      </c>
      <c r="R429" s="9" t="str">
        <f>IF(I429="Tengo un emprendimiento o quiero iniciar uno","",IF(I429="Busco mi primer empleo","No",IF(MOD(COUNTIF($I$2:I429,I429)-1,2)=0,"Sí","No")))</f>
        <v>No</v>
      </c>
      <c r="S429" t="str">
        <f>IF(I429="Tengo un emprendimiento o quiero iniciar uno","",CHOOSE(MOD(INT((COUNTIF($I$2:I429,I429)-1)/3),10)+1,"Portales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29" t="str">
        <f>IF(I429="Tengo un emprendimiento o quiero iniciar uno","",_xlfn.LET(_xlpm.opcion,MOD(INT((COUNTIF($I$2:I429,I429)-1)/4),6)+1,CHOOSE(IF(AND(_xlpm.opcion=3,Q429="Sí"),1,_xlpm.opcion),"Falta de experiencia","Falta de formación","Dificultades con la hoja de vida","Horarios disponibles","Transporte","Internet")))</f>
        <v>Horarios disponibles</v>
      </c>
      <c r="U429" s="9" t="str">
        <f>IF(I429="Tengo un emprendimiento o quiero iniciar uno","",IF(MOD(INT((COUNTIF($I$2:I429,I429)-1)/3),2)=0,"Sí","No"))</f>
        <v>Sí</v>
      </c>
      <c r="V429" s="9" t="str">
        <f>IF(I429="Tengo un emprendimiento o quiero iniciar uno",CHOOSE(MOD(COUNTIF($I$2:I429,I429)-1,3)+1,"Tengo un emprendimiento","Estoy iniciando un emprendimiento","Me interesa emprender"),"")</f>
        <v/>
      </c>
      <c r="W429" t="str">
        <f t="shared" si="114"/>
        <v/>
      </c>
      <c r="X429" s="9" t="str">
        <f>IF(I429="Tengo un emprendimiento o quiero iniciar uno",CHOOSE(MOD(COUNTIF($I$2:I429,I429)-1,5)+1,"Falta de financiación","Falta de conocimientos administrativos","Falta de conocimientos financieros","Falta de tiempo","Falta de herramientas"),"")</f>
        <v/>
      </c>
      <c r="Y429" s="9" t="str">
        <f t="shared" si="115"/>
        <v/>
      </c>
      <c r="Z429" t="str">
        <f>IF(I429="Tengo un emprendimiento o quiero iniciar uno",CHOOSE(INT(MOD((COUNTIF($I$2:I429,I429)-1)*7,39)/13)+1,"Sí","No","No conozco programas de ese tipo"),"")</f>
        <v/>
      </c>
      <c r="AA429" t="str">
        <f t="shared" si="116"/>
        <v>Puedo hacerlo con ayuda</v>
      </c>
      <c r="AB429" t="str">
        <f t="shared" si="116"/>
        <v>Puedo hacerlo con ayuda</v>
      </c>
      <c r="AC429" t="str">
        <f t="shared" si="117"/>
        <v>No puedo hacerlo</v>
      </c>
      <c r="AD429" s="9" t="str">
        <f t="shared" si="118"/>
        <v>Puedo hacerlo con dificultad</v>
      </c>
      <c r="AE429" t="str">
        <f t="shared" si="119"/>
        <v>Puedo hacerlo con ayuda</v>
      </c>
      <c r="AF429" s="9" t="str">
        <f t="shared" si="120"/>
        <v>Crear una hoja de vida</v>
      </c>
      <c r="AG429" s="9" t="str">
        <f t="shared" si="121"/>
        <v>Falta de información</v>
      </c>
      <c r="AH429" t="str">
        <f t="shared" si="122"/>
        <v>Programas de emprendimiento</v>
      </c>
      <c r="AI429" s="9" t="str">
        <f t="shared" si="123"/>
        <v>Virtual</v>
      </c>
      <c r="AJ429" s="9" t="str">
        <f t="shared" si="124"/>
        <v>Mañana entre semana</v>
      </c>
      <c r="AK429" s="9" t="str">
        <f t="shared" si="125"/>
        <v>Redes sociales</v>
      </c>
    </row>
    <row r="430" spans="1:37">
      <c r="A430" t="str">
        <f t="shared" si="126"/>
        <v>SG429</v>
      </c>
      <c r="B430" t="s">
        <v>57</v>
      </c>
      <c r="C430" s="9" t="s">
        <v>427</v>
      </c>
      <c r="D430" t="str">
        <f t="shared" si="109"/>
        <v>Masculino</v>
      </c>
      <c r="E430" t="str">
        <f t="shared" si="110"/>
        <v>De 24 a 26 años</v>
      </c>
      <c r="F430">
        <f t="shared" si="111"/>
        <v>25</v>
      </c>
      <c r="G430" t="str">
        <f t="shared" si="127"/>
        <v>Rural</v>
      </c>
      <c r="H430" s="9" t="str">
        <f t="shared" si="112"/>
        <v>Profesional</v>
      </c>
      <c r="I430" s="9" t="str">
        <f t="shared" si="113"/>
        <v>Actualmente no trabajo y estoy buscando empleo</v>
      </c>
      <c r="J430" s="13" t="str">
        <f>IF(I430="Trabajo actualmente como empleado",IF(MOD((COUNTIF($I$2:I430,"Trabajo actualmente como empleado")-1)*37,150)&lt;100,"Empleado con contrato","Empleado sin contrato formal"),IF(I430="Trabajo de manera independiente","Trabajo independiente",""))</f>
        <v/>
      </c>
      <c r="K430" s="9" t="str">
        <f>IF(OR(I430="Trabajo actualmente como empleado",I430="Trabajo de manera independiente"),CHOOSE(MOD(COUNTIF($I$2:I430,I430)-1,4)+1,"Menos de 3 meses","De 3 a 6 meses","De 7 a 12 meses","Más de un año"),"")</f>
        <v/>
      </c>
      <c r="L430" t="str">
        <f>IF(OR(I430="Trabajo actualmente como empleado",I430="Trabajo de manera independiente"),CHOOSE(MOD(COUNTIF($I$2:I430,I430)-1,3)+1,"Sí, completamente","Parcialmente","No"),"")</f>
        <v/>
      </c>
      <c r="M430" t="str">
        <f>IF(OR(I430="Trabajo actualmente como empleado",I430="Trabajo de manera independiente"),CHOOSE(MOD(INT((COUNTIF($I$2:I430,I430)-1)/3),4)+1,"1- Muy satisfecho/a","2- Satisfecho/a","3- Insatisfecho/a","4- Muy insatisfecho/a"),"")</f>
        <v/>
      </c>
      <c r="N430" t="str">
        <f>IF(OR(I430="Trabajo actualmente como empleado",I430="Trabajo de manera independiente"),_xlfn.LET(_xlpm.opcion,MOD(INT((COUNTIF($I$2:I430,I430)-1)/5),6)+1,CHOOSE(IF(AND(_xlpm.opcion=6,L430="Sí, completamente"),5,_xlpm.opcion),"Salario","Estabilidad laboral","Horario","Acceso a prestaciones","Oportunidades de crecimiento","Trabajar en un área relacionada con mi formación")),"")</f>
        <v/>
      </c>
      <c r="O430" s="9" t="str">
        <f>IF(OR(I430="Trabajo actualmente como empleado",I430="Trabajo de manera independiente"),_xlfn.LET(_xlpm.turno,MOD(COUNTIF($I$2:I430,I430)-1,5),_xlpm.nivel,VALUE(LEFT(M430,1)),IF(_xlpm.turno=4,"No estoy seguro/a",IF(_xlpm.turno&lt;IF(_xlpm.nivel&lt;=2,1,3),"Sí","No"))),"")</f>
        <v/>
      </c>
      <c r="P430" s="9" t="str">
        <f>_xlfn.LET(_xlpm.perfil,I430,_xlpm.turno,COUNTIF($I$2:I430,_xlpm.perfil)-1,_xlpm.busca,OR(_xlpm.perfil="Actualmente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trabajar"),IF(AND(_xlpm.trabaja,O430="No"),"Todavía no he iniciado una búsqueda activa",CHOOSE(MOD(_xlpm.turno*3,5)+1,"Menos de 1 mes","Entre 1 y 3 meses","Entre 4 y 6 meses","Más de 6 meses","Todavía no he iniciado una búsqueda activa")),"")))</f>
        <v>Entre 1 y 3 meses</v>
      </c>
      <c r="Q430" t="str">
        <f>IF(I430="Tengo un emprendimiento o quiero iniciar uno","",CHOOSE(MOD(INT((COUNTIF($I$2:I430,I430)-1)/7),3)+1,"Sí","No","Tengo una pero necesito actualizarla"))</f>
        <v>Tengo una pero necesito actualizarla</v>
      </c>
      <c r="R430" s="9" t="str">
        <f>IF(I430="Tengo un emprendimiento o quiero iniciar uno","",IF(I430="Busco mi primer empleo","No",IF(MOD(COUNTIF($I$2:I430,I430)-1,2)=0,"Sí","No")))</f>
        <v>No</v>
      </c>
      <c r="S430" t="str">
        <f>IF(I430="Tengo un emprendimiento o quiero iniciar uno","",CHOOSE(MOD(INT((COUNTIF($I$2:I430,I430)-1)/3),10)+1,"Portales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30" t="str">
        <f>IF(I430="Tengo un emprendimiento o quiero iniciar uno","",_xlfn.LET(_xlpm.opcion,MOD(INT((COUNTIF($I$2:I430,I430)-1)/4),6)+1,CHOOSE(IF(AND(_xlpm.opcion=3,Q430="Sí"),1,_xlpm.opcion),"Falta de experiencia","Falta de formación","Dificultades con la hoja de vida","Horarios disponibles","Transporte","Internet")))</f>
        <v>Falta de formación</v>
      </c>
      <c r="U430" s="9" t="str">
        <f>IF(I430="Tengo un emprendimiento o quiero iniciar uno","",IF(MOD(INT((COUNTIF($I$2:I430,I430)-1)/3),2)=0,"Sí","No"))</f>
        <v>Sí</v>
      </c>
      <c r="V430" s="9" t="str">
        <f>IF(I430="Tengo un emprendimiento o quiero iniciar uno",CHOOSE(MOD(COUNTIF($I$2:I430,I430)-1,3)+1,"Tengo un emprendimiento","Estoy iniciando un emprendimiento","Me interesa emprender"),"")</f>
        <v/>
      </c>
      <c r="W430" t="str">
        <f t="shared" si="114"/>
        <v/>
      </c>
      <c r="X430" s="9" t="str">
        <f>IF(I430="Tengo un emprendimiento o quiero iniciar uno",CHOOSE(MOD(COUNTIF($I$2:I430,I430)-1,5)+1,"Falta de financiación","Falta de conocimientos administrativos","Falta de conocimientos financieros","Falta de tiempo","Falta de herramientas"),"")</f>
        <v/>
      </c>
      <c r="Y430" s="9" t="str">
        <f t="shared" si="115"/>
        <v/>
      </c>
      <c r="Z430" t="str">
        <f>IF(I430="Tengo un emprendimiento o quiero iniciar uno",CHOOSE(INT(MOD((COUNTIF($I$2:I430,I430)-1)*7,39)/13)+1,"Sí","No","No conozco programas de ese tipo"),"")</f>
        <v/>
      </c>
      <c r="AA430" t="str">
        <f t="shared" si="116"/>
        <v>Puedo hacerlo con dificultad</v>
      </c>
      <c r="AB430" t="str">
        <f t="shared" si="116"/>
        <v>Puedo hacerlo con dificultad</v>
      </c>
      <c r="AC430" t="str">
        <f t="shared" si="117"/>
        <v>Puedo hacerlo con ayuda</v>
      </c>
      <c r="AD430" s="9" t="str">
        <f t="shared" si="118"/>
        <v>Puedo hacerlo sin ayuda</v>
      </c>
      <c r="AE430" t="str">
        <f t="shared" si="119"/>
        <v>Puedo hacerlo con dificultad</v>
      </c>
      <c r="AF430" s="9" t="str">
        <f t="shared" si="120"/>
        <v>Preparación para entrevista</v>
      </c>
      <c r="AG430" s="9" t="str">
        <f t="shared" si="121"/>
        <v>Falta de información</v>
      </c>
      <c r="AH430" t="str">
        <f t="shared" si="122"/>
        <v>No conozco ninguno</v>
      </c>
      <c r="AI430" s="9" t="str">
        <f t="shared" si="123"/>
        <v>Presencial y virtual</v>
      </c>
      <c r="AJ430" s="9" t="str">
        <f t="shared" si="124"/>
        <v>Fines de semana</v>
      </c>
      <c r="AK430" s="9" t="str">
        <f t="shared" si="125"/>
        <v>Celular</v>
      </c>
    </row>
    <row r="431" spans="1:37">
      <c r="A431" t="str">
        <f t="shared" si="126"/>
        <v>SG430</v>
      </c>
      <c r="B431" t="s">
        <v>57</v>
      </c>
      <c r="C431" s="9" t="s">
        <v>427</v>
      </c>
      <c r="D431" t="str">
        <f t="shared" si="109"/>
        <v>Femenino</v>
      </c>
      <c r="E431" t="str">
        <f t="shared" si="110"/>
        <v>De 26 a 28 años</v>
      </c>
      <c r="F431">
        <f t="shared" si="111"/>
        <v>27</v>
      </c>
      <c r="G431" t="str">
        <f t="shared" si="127"/>
        <v>Centro poblado</v>
      </c>
      <c r="H431" s="9" t="str">
        <f t="shared" si="112"/>
        <v>Técnico</v>
      </c>
      <c r="I431" s="9" t="str">
        <f t="shared" si="113"/>
        <v>Tengo un emprendimiento o quiero iniciar uno</v>
      </c>
      <c r="J431" s="13" t="str">
        <f>IF(I431="Trabajo actualmente como empleado",IF(MOD((COUNTIF($I$2:I431,"Trabajo actualmente como empleado")-1)*37,150)&lt;100,"Empleado con contrato","Empleado sin contrato formal"),IF(I431="Trabajo de manera independiente","Trabajo independiente",""))</f>
        <v/>
      </c>
      <c r="K431" s="9" t="str">
        <f>IF(OR(I431="Trabajo actualmente como empleado",I431="Trabajo de manera independiente"),CHOOSE(MOD(COUNTIF($I$2:I431,I431)-1,4)+1,"Menos de 3 meses","De 3 a 6 meses","De 7 a 12 meses","Más de un año"),"")</f>
        <v/>
      </c>
      <c r="L431" t="str">
        <f>IF(OR(I431="Trabajo actualmente como empleado",I431="Trabajo de manera independiente"),CHOOSE(MOD(COUNTIF($I$2:I431,I431)-1,3)+1,"Sí, completamente","Parcialmente","No"),"")</f>
        <v/>
      </c>
      <c r="M431" t="str">
        <f>IF(OR(I431="Trabajo actualmente como empleado",I431="Trabajo de manera independiente"),CHOOSE(MOD(INT((COUNTIF($I$2:I431,I431)-1)/3),4)+1,"1- Muy satisfecho/a","2- Satisfecho/a","3- Insatisfecho/a","4- Muy insatisfecho/a"),"")</f>
        <v/>
      </c>
      <c r="N431" t="str">
        <f>IF(OR(I431="Trabajo actualmente como empleado",I431="Trabajo de manera independiente"),_xlfn.LET(_xlpm.opcion,MOD(INT((COUNTIF($I$2:I431,I431)-1)/5),6)+1,CHOOSE(IF(AND(_xlpm.opcion=6,L431="Sí, completamente"),5,_xlpm.opcion),"Salario","Estabilidad laboral","Horario","Acceso a prestaciones","Oportunidades de crecimiento","Trabajar en un área relacionada con mi formación")),"")</f>
        <v/>
      </c>
      <c r="O431" s="9" t="str">
        <f>IF(OR(I431="Trabajo actualmente como empleado",I431="Trabajo de manera independiente"),_xlfn.LET(_xlpm.turno,MOD(COUNTIF($I$2:I431,I431)-1,5),_xlpm.nivel,VALUE(LEFT(M431,1)),IF(_xlpm.turno=4,"No estoy seguro/a",IF(_xlpm.turno&lt;IF(_xlpm.nivel&lt;=2,1,3),"Sí","No"))),"")</f>
        <v/>
      </c>
      <c r="P431" s="9" t="str">
        <f>_xlfn.LET(_xlpm.perfil,I431,_xlpm.turno,COUNTIF($I$2:I431,_xlpm.perfil)-1,_xlpm.busca,OR(_xlpm.perfil="Actualmente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trabajar"),IF(AND(_xlpm.trabaja,O431="No"),"Todavía no he iniciado una búsqueda activa",CHOOSE(MOD(_xlpm.turno*3,5)+1,"Menos de 1 mes","Entre 1 y 3 meses","Entre 4 y 6 meses","Más de 6 meses","Todavía no he iniciado una búsqueda activa")),"")))</f>
        <v/>
      </c>
      <c r="Q431" t="str">
        <f>IF(I431="Tengo un emprendimiento o quiero iniciar uno","",CHOOSE(MOD(INT((COUNTIF($I$2:I431,I431)-1)/7),3)+1,"Sí","No","Tengo una pero necesito actualizarla"))</f>
        <v/>
      </c>
      <c r="R431" s="9" t="str">
        <f>IF(I431="Tengo un emprendimiento o quiero iniciar uno","",IF(I431="Busco mi primer empleo","No",IF(MOD(COUNTIF($I$2:I431,I431)-1,2)=0,"Sí","No")))</f>
        <v/>
      </c>
      <c r="S431" t="str">
        <f>IF(I431="Tengo un emprendimiento o quiero iniciar uno","",CHOOSE(MOD(INT((COUNTIF($I$2:I431,I431)-1)/3),10)+1,"Portales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431" t="str">
        <f>IF(I431="Tengo un emprendimiento o quiero iniciar uno","",_xlfn.LET(_xlpm.opcion,MOD(INT((COUNTIF($I$2:I431,I431)-1)/4),6)+1,CHOOSE(IF(AND(_xlpm.opcion=3,Q431="Sí"),1,_xlpm.opcion),"Falta de experiencia","Falta de formación","Dificultades con la hoja de vida","Horarios disponibles","Transporte","Internet")))</f>
        <v/>
      </c>
      <c r="U431" s="9" t="str">
        <f>IF(I431="Tengo un emprendimiento o quiero iniciar uno","",IF(MOD(INT((COUNTIF($I$2:I431,I431)-1)/3),2)=0,"Sí","No"))</f>
        <v/>
      </c>
      <c r="V431" s="9" t="str">
        <f>IF(I431="Tengo un emprendimiento o quiero iniciar uno",CHOOSE(MOD(COUNTIF($I$2:I431,I431)-1,3)+1,"Tengo un emprendimiento","Estoy iniciando un emprendimiento","Me interesa emprender"),"")</f>
        <v>Me interesa emprender</v>
      </c>
      <c r="W431" t="str">
        <f t="shared" si="114"/>
        <v/>
      </c>
      <c r="X431" s="9" t="str">
        <f>IF(I431="Tengo un emprendimiento o quiero iniciar uno",CHOOSE(MOD(COUNTIF($I$2:I431,I431)-1,5)+1,"Falta de financiación","Falta de conocimientos administrativos","Falta de conocimientos financieros","Falta de tiempo","Falta de herramientas"),"")</f>
        <v>Falta de financiación</v>
      </c>
      <c r="Y431" s="9" t="str">
        <f t="shared" si="115"/>
        <v>Falta de financiación</v>
      </c>
      <c r="Z431" t="str">
        <f>IF(I431="Tengo un emprendimiento o quiero iniciar uno",CHOOSE(INT(MOD((COUNTIF($I$2:I431,I431)-1)*7,39)/13)+1,"Sí","No","No conozco programas de ese tipo"),"")</f>
        <v>Sí</v>
      </c>
      <c r="AA431" t="str">
        <f t="shared" si="116"/>
        <v>No puedo hacerlo</v>
      </c>
      <c r="AB431" t="str">
        <f t="shared" si="116"/>
        <v>No puedo hacerlo</v>
      </c>
      <c r="AC431" t="str">
        <f t="shared" si="117"/>
        <v>Puedo hacerlo sin ayuda</v>
      </c>
      <c r="AD431" s="9" t="str">
        <f t="shared" si="118"/>
        <v>Puedo hacerlo sin ayuda</v>
      </c>
      <c r="AE431" t="str">
        <f t="shared" si="119"/>
        <v>Puedo hacerlo sin ayuda</v>
      </c>
      <c r="AF431" s="9" t="str">
        <f t="shared" si="120"/>
        <v>Comunicación</v>
      </c>
      <c r="AG431" s="9" t="str">
        <f t="shared" si="121"/>
        <v>Horarios</v>
      </c>
      <c r="AH431" t="str">
        <f t="shared" si="122"/>
        <v>Ferias de empleo</v>
      </c>
      <c r="AI431" s="9" t="str">
        <f t="shared" si="123"/>
        <v>Me es indiferente</v>
      </c>
      <c r="AJ431" s="9" t="str">
        <f t="shared" si="124"/>
        <v>Diurno</v>
      </c>
      <c r="AK431" s="9" t="str">
        <f t="shared" si="125"/>
        <v>Correo electrónico</v>
      </c>
    </row>
    <row r="432" spans="1:37">
      <c r="A432" t="str">
        <f t="shared" si="126"/>
        <v>SG431</v>
      </c>
      <c r="B432" t="s">
        <v>57</v>
      </c>
      <c r="C432" s="9" t="s">
        <v>427</v>
      </c>
      <c r="D432" t="str">
        <f t="shared" si="109"/>
        <v>No quiero responder</v>
      </c>
      <c r="E432" t="str">
        <f t="shared" si="110"/>
        <v>De 18 a 20 años</v>
      </c>
      <c r="F432">
        <f t="shared" si="111"/>
        <v>18</v>
      </c>
      <c r="G432" t="str">
        <f t="shared" si="127"/>
        <v>Rural</v>
      </c>
      <c r="H432" s="9" t="str">
        <f t="shared" si="112"/>
        <v>Bachiller</v>
      </c>
      <c r="I432" s="9" t="str">
        <f t="shared" si="113"/>
        <v>Trabajo actualmente como empleado</v>
      </c>
      <c r="J432" s="13" t="str">
        <f>IF(I432="Trabajo actualmente como empleado",IF(MOD((COUNTIF($I$2:I432,"Trabajo actualmente como empleado")-1)*37,150)&lt;100,"Empleado con contrato","Empleado sin contrato formal"),IF(I432="Trabajo de manera independiente","Trabajo independiente",""))</f>
        <v>Empleado con contrato</v>
      </c>
      <c r="K432" s="9" t="str">
        <f>IF(OR(I432="Trabajo actualmente como empleado",I432="Trabajo de manera independiente"),CHOOSE(MOD(COUNTIF($I$2:I432,I432)-1,4)+1,"Menos de 3 meses","De 3 a 6 meses","De 7 a 12 meses","Más de un año"),"")</f>
        <v>De 7 a 12 meses</v>
      </c>
      <c r="L432" t="str">
        <f>IF(OR(I432="Trabajo actualmente como empleado",I432="Trabajo de manera independiente"),CHOOSE(MOD(COUNTIF($I$2:I432,I432)-1,3)+1,"Sí, completamente","Parcialmente","No"),"")</f>
        <v>No</v>
      </c>
      <c r="M432" t="str">
        <f>IF(OR(I432="Trabajo actualmente como empleado",I432="Trabajo de manera independiente"),CHOOSE(MOD(INT((COUNTIF($I$2:I432,I432)-1)/3),4)+1,"1- Muy satisfecho/a","2- Satisfecho/a","3- Insatisfecho/a","4- Muy insatisfecho/a"),"")</f>
        <v>1- Muy satisfecho/a</v>
      </c>
      <c r="N432" t="str">
        <f>IF(OR(I432="Trabajo actualmente como empleado",I432="Trabajo de manera independiente"),_xlfn.LET(_xlpm.opcion,MOD(INT((COUNTIF($I$2:I432,I432)-1)/5),6)+1,CHOOSE(IF(AND(_xlpm.opcion=6,L432="Sí, completamente"),5,_xlpm.opcion),"Salario","Estabilidad laboral","Horario","Acceso a prestaciones","Oportunidades de crecimiento","Trabajar en un área relacionada con mi formación")),"")</f>
        <v>Horario</v>
      </c>
      <c r="O432" s="9" t="str">
        <f>IF(OR(I432="Trabajo actualmente como empleado",I432="Trabajo de manera independiente"),_xlfn.LET(_xlpm.turno,MOD(COUNTIF($I$2:I432,I432)-1,5),_xlpm.nivel,VALUE(LEFT(M432,1)),IF(_xlpm.turno=4,"No estoy seguro/a",IF(_xlpm.turno&lt;IF(_xlpm.nivel&lt;=2,1,3),"Sí","No"))),"")</f>
        <v>No estoy seguro/a</v>
      </c>
      <c r="P432" s="9" t="str">
        <f>_xlfn.LET(_xlpm.perfil,I432,_xlpm.turno,COUNTIF($I$2:I432,_xlpm.perfil)-1,_xlpm.busca,OR(_xlpm.perfil="Actualmente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trabajar"),IF(AND(_xlpm.trabaja,O432="No"),"Todavía no he iniciado una búsqueda activa",CHOOSE(MOD(_xlpm.turno*3,5)+1,"Menos de 1 mes","Entre 1 y 3 meses","Entre 4 y 6 meses","Más de 6 meses","Todavía no he iniciado una búsqueda activa")),"")))</f>
        <v>Entre 4 y 6 meses</v>
      </c>
      <c r="Q432" t="str">
        <f>IF(I432="Tengo un emprendimiento o quiero iniciar uno","",CHOOSE(MOD(INT((COUNTIF($I$2:I432,I432)-1)/7),3)+1,"Sí","No","Tengo una pero necesito actualizarla"))</f>
        <v>No</v>
      </c>
      <c r="R432" s="9" t="str">
        <f>IF(I432="Tengo un emprendimiento o quiero iniciar uno","",IF(I432="Busco mi primer empleo","No",IF(MOD(COUNTIF($I$2:I432,I432)-1,2)=0,"Sí","No")))</f>
        <v>Sí</v>
      </c>
      <c r="S432" t="str">
        <f>IF(I432="Tengo un emprendimiento o quiero iniciar uno","",CHOOSE(MOD(INT((COUNTIF($I$2:I432,I432)-1)/3),10)+1,"Portales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32" t="str">
        <f>IF(I432="Tengo un emprendimiento o quiero iniciar uno","",_xlfn.LET(_xlpm.opcion,MOD(INT((COUNTIF($I$2:I432,I432)-1)/4),6)+1,CHOOSE(IF(AND(_xlpm.opcion=3,Q432="Sí"),1,_xlpm.opcion),"Falta de experiencia","Falta de formación","Dificultades con la hoja de vida","Horarios disponibles","Transporte","Internet")))</f>
        <v>Horarios disponibles</v>
      </c>
      <c r="U432" s="9" t="str">
        <f>IF(I432="Tengo un emprendimiento o quiero iniciar uno","",IF(MOD(INT((COUNTIF($I$2:I432,I432)-1)/3),2)=0,"Sí","No"))</f>
        <v>Sí</v>
      </c>
      <c r="V432" s="9" t="str">
        <f>IF(I432="Tengo un emprendimiento o quiero iniciar uno",CHOOSE(MOD(COUNTIF($I$2:I432,I432)-1,3)+1,"Tengo un emprendimiento","Estoy iniciando un emprendimiento","Me interesa emprender"),"")</f>
        <v/>
      </c>
      <c r="W432" t="str">
        <f t="shared" si="114"/>
        <v/>
      </c>
      <c r="X432" s="9" t="str">
        <f>IF(I432="Tengo un emprendimiento o quiero iniciar uno",CHOOSE(MOD(COUNTIF($I$2:I432,I432)-1,5)+1,"Falta de financiación","Falta de conocimientos administrativos","Falta de conocimientos financieros","Falta de tiempo","Falta de herramientas"),"")</f>
        <v/>
      </c>
      <c r="Y432" s="9" t="str">
        <f t="shared" si="115"/>
        <v/>
      </c>
      <c r="Z432" t="str">
        <f>IF(I432="Tengo un emprendimiento o quiero iniciar uno",CHOOSE(INT(MOD((COUNTIF($I$2:I432,I432)-1)*7,39)/13)+1,"Sí","No","No conozco programas de ese tipo"),"")</f>
        <v/>
      </c>
      <c r="AA432" t="str">
        <f t="shared" si="116"/>
        <v>Puedo hacerlo con ayuda</v>
      </c>
      <c r="AB432" t="str">
        <f t="shared" si="116"/>
        <v>Puedo hacerlo con ayuda</v>
      </c>
      <c r="AC432" t="str">
        <f t="shared" si="117"/>
        <v>No puedo hacerlo</v>
      </c>
      <c r="AD432" s="9" t="str">
        <f t="shared" si="118"/>
        <v>No puedo hacerlo</v>
      </c>
      <c r="AE432" t="str">
        <f t="shared" si="119"/>
        <v>Puedo hacerlo sin ayuda</v>
      </c>
      <c r="AF432" s="9" t="str">
        <f t="shared" si="120"/>
        <v>Liderazgo</v>
      </c>
      <c r="AG432" s="9" t="str">
        <f t="shared" si="121"/>
        <v>Horarios</v>
      </c>
      <c r="AH432" t="str">
        <f t="shared" si="122"/>
        <v>No conozco ninguno</v>
      </c>
      <c r="AI432" s="9" t="str">
        <f t="shared" si="123"/>
        <v>Presencial</v>
      </c>
      <c r="AJ432" s="9" t="str">
        <f t="shared" si="124"/>
        <v>Mañana entre semana</v>
      </c>
      <c r="AK432" s="9" t="str">
        <f t="shared" si="125"/>
        <v>Redes sociales</v>
      </c>
    </row>
    <row r="433" spans="1:37">
      <c r="A433" t="str">
        <f t="shared" si="126"/>
        <v>SG432</v>
      </c>
      <c r="B433" t="s">
        <v>57</v>
      </c>
      <c r="C433" s="9" t="s">
        <v>427</v>
      </c>
      <c r="D433" t="str">
        <f t="shared" si="109"/>
        <v>Masculino</v>
      </c>
      <c r="E433" t="str">
        <f t="shared" si="110"/>
        <v>De 20 a 22 años</v>
      </c>
      <c r="F433">
        <f t="shared" si="111"/>
        <v>20</v>
      </c>
      <c r="G433" t="str">
        <f t="shared" si="127"/>
        <v>Centro poblado</v>
      </c>
      <c r="H433" s="9" t="str">
        <f t="shared" si="112"/>
        <v>Bachiller</v>
      </c>
      <c r="I433" s="9" t="str">
        <f t="shared" si="113"/>
        <v>Actualmente no trabajo y estoy buscando empleo</v>
      </c>
      <c r="J433" s="13" t="str">
        <f>IF(I433="Trabajo actualmente como empleado",IF(MOD((COUNTIF($I$2:I433,"Trabajo actualmente como empleado")-1)*37,150)&lt;100,"Empleado con contrato","Empleado sin contrato formal"),IF(I433="Trabajo de manera independiente","Trabajo independiente",""))</f>
        <v/>
      </c>
      <c r="K433" s="9" t="str">
        <f>IF(OR(I433="Trabajo actualmente como empleado",I433="Trabajo de manera independiente"),CHOOSE(MOD(COUNTIF($I$2:I433,I433)-1,4)+1,"Menos de 3 meses","De 3 a 6 meses","De 7 a 12 meses","Más de un año"),"")</f>
        <v/>
      </c>
      <c r="L433" t="str">
        <f>IF(OR(I433="Trabajo actualmente como empleado",I433="Trabajo de manera independiente"),CHOOSE(MOD(COUNTIF($I$2:I433,I433)-1,3)+1,"Sí, completamente","Parcialmente","No"),"")</f>
        <v/>
      </c>
      <c r="M433" t="str">
        <f>IF(OR(I433="Trabajo actualmente como empleado",I433="Trabajo de manera independiente"),CHOOSE(MOD(INT((COUNTIF($I$2:I433,I433)-1)/3),4)+1,"1- Muy satisfecho/a","2- Satisfecho/a","3- Insatisfecho/a","4- Muy insatisfecho/a"),"")</f>
        <v/>
      </c>
      <c r="N433" t="str">
        <f>IF(OR(I433="Trabajo actualmente como empleado",I433="Trabajo de manera independiente"),_xlfn.LET(_xlpm.opcion,MOD(INT((COUNTIF($I$2:I433,I433)-1)/5),6)+1,CHOOSE(IF(AND(_xlpm.opcion=6,L433="Sí, completamente"),5,_xlpm.opcion),"Salario","Estabilidad laboral","Horario","Acceso a prestaciones","Oportunidades de crecimiento","Trabajar en un área relacionada con mi formación")),"")</f>
        <v/>
      </c>
      <c r="O433" s="9" t="str">
        <f>IF(OR(I433="Trabajo actualmente como empleado",I433="Trabajo de manera independiente"),_xlfn.LET(_xlpm.turno,MOD(COUNTIF($I$2:I433,I433)-1,5),_xlpm.nivel,VALUE(LEFT(M433,1)),IF(_xlpm.turno=4,"No estoy seguro/a",IF(_xlpm.turno&lt;IF(_xlpm.nivel&lt;=2,1,3),"Sí","No"))),"")</f>
        <v/>
      </c>
      <c r="P433" s="9" t="str">
        <f>_xlfn.LET(_xlpm.perfil,I433,_xlpm.turno,COUNTIF($I$2:I433,_xlpm.perfil)-1,_xlpm.busca,OR(_xlpm.perfil="Actualmente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trabajar"),IF(AND(_xlpm.trabaja,O433="No"),"Todavía no he iniciado una búsqueda activa",CHOOSE(MOD(_xlpm.turno*3,5)+1,"Menos de 1 mes","Entre 1 y 3 meses","Entre 4 y 6 meses","Más de 6 meses","Todavía no he iniciado una búsqueda activa")),"")))</f>
        <v>Menos de 1 mes</v>
      </c>
      <c r="Q433" t="str">
        <f>IF(I433="Tengo un emprendimiento o quiero iniciar uno","",CHOOSE(MOD(INT((COUNTIF($I$2:I433,I433)-1)/7),3)+1,"Sí","No","Tengo una pero necesito actualizarla"))</f>
        <v>Tengo una pero necesito actualizarla</v>
      </c>
      <c r="R433" s="9" t="str">
        <f>IF(I433="Tengo un emprendimiento o quiero iniciar uno","",IF(I433="Busco mi primer empleo","No",IF(MOD(COUNTIF($I$2:I433,I433)-1,2)=0,"Sí","No")))</f>
        <v>Sí</v>
      </c>
      <c r="S433" t="str">
        <f>IF(I433="Tengo un emprendimiento o quiero iniciar uno","",CHOOSE(MOD(INT((COUNTIF($I$2:I433,I433)-1)/3),10)+1,"Portales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33" t="str">
        <f>IF(I433="Tengo un emprendimiento o quiero iniciar uno","",_xlfn.LET(_xlpm.opcion,MOD(INT((COUNTIF($I$2:I433,I433)-1)/4),6)+1,CHOOSE(IF(AND(_xlpm.opcion=3,Q433="Sí"),1,_xlpm.opcion),"Falta de experiencia","Falta de formación","Dificultades con la hoja de vida","Horarios disponibles","Transporte","Internet")))</f>
        <v>Dificultades con la hoja de vida</v>
      </c>
      <c r="U433" s="9" t="str">
        <f>IF(I433="Tengo un emprendimiento o quiero iniciar uno","",IF(MOD(INT((COUNTIF($I$2:I433,I433)-1)/3),2)=0,"Sí","No"))</f>
        <v>Sí</v>
      </c>
      <c r="V433" s="9" t="str">
        <f>IF(I433="Tengo un emprendimiento o quiero iniciar uno",CHOOSE(MOD(COUNTIF($I$2:I433,I433)-1,3)+1,"Tengo un emprendimiento","Estoy iniciando un emprendimiento","Me interesa emprender"),"")</f>
        <v/>
      </c>
      <c r="W433" t="str">
        <f t="shared" si="114"/>
        <v/>
      </c>
      <c r="X433" s="9" t="str">
        <f>IF(I433="Tengo un emprendimiento o quiero iniciar uno",CHOOSE(MOD(COUNTIF($I$2:I433,I433)-1,5)+1,"Falta de financiación","Falta de conocimientos administrativos","Falta de conocimientos financieros","Falta de tiempo","Falta de herramientas"),"")</f>
        <v/>
      </c>
      <c r="Y433" s="9" t="str">
        <f t="shared" si="115"/>
        <v/>
      </c>
      <c r="Z433" t="str">
        <f>IF(I433="Tengo un emprendimiento o quiero iniciar uno",CHOOSE(INT(MOD((COUNTIF($I$2:I433,I433)-1)*7,39)/13)+1,"Sí","No","No conozco programas de ese tipo"),"")</f>
        <v/>
      </c>
      <c r="AA433" t="str">
        <f t="shared" si="116"/>
        <v>Puedo hacerlo sin ayuda</v>
      </c>
      <c r="AB433" t="str">
        <f t="shared" si="116"/>
        <v>Puedo hacerlo sin ayuda</v>
      </c>
      <c r="AC433" t="str">
        <f t="shared" si="117"/>
        <v>Puedo hacerlo con ayuda</v>
      </c>
      <c r="AD433" s="9" t="str">
        <f t="shared" si="118"/>
        <v>Puedo hacerlo con ayuda</v>
      </c>
      <c r="AE433" t="str">
        <f t="shared" si="119"/>
        <v>No puedo hacerlo</v>
      </c>
      <c r="AF433" s="9" t="str">
        <f t="shared" si="120"/>
        <v>Emprendimiento</v>
      </c>
      <c r="AG433" s="9" t="str">
        <f t="shared" si="121"/>
        <v>Horarios</v>
      </c>
      <c r="AH433" t="str">
        <f t="shared" si="122"/>
        <v>Oficina de orientación laboral</v>
      </c>
      <c r="AI433" s="9" t="str">
        <f t="shared" si="123"/>
        <v>Virtual</v>
      </c>
      <c r="AJ433" s="9" t="str">
        <f t="shared" si="124"/>
        <v>Fines de semana</v>
      </c>
      <c r="AK433" s="9" t="str">
        <f t="shared" si="125"/>
        <v>WhatsApp</v>
      </c>
    </row>
    <row r="434" spans="1:37">
      <c r="A434" t="str">
        <f t="shared" si="126"/>
        <v>SG433</v>
      </c>
      <c r="B434" t="s">
        <v>57</v>
      </c>
      <c r="C434" s="9" t="s">
        <v>427</v>
      </c>
      <c r="D434" t="str">
        <f t="shared" si="109"/>
        <v>Femenino</v>
      </c>
      <c r="E434" t="str">
        <f t="shared" si="110"/>
        <v>De 22 a 24 años</v>
      </c>
      <c r="F434">
        <f t="shared" si="111"/>
        <v>22</v>
      </c>
      <c r="G434" t="str">
        <f t="shared" si="127"/>
        <v>Rural</v>
      </c>
      <c r="H434" s="9" t="str">
        <f t="shared" si="112"/>
        <v>Bachiller</v>
      </c>
      <c r="I434" s="9" t="str">
        <f t="shared" si="113"/>
        <v>Trabajo actualmente como empleado</v>
      </c>
      <c r="J434" s="13" t="str">
        <f>IF(I434="Trabajo actualmente como empleado",IF(MOD((COUNTIF($I$2:I434,"Trabajo actualmente como empleado")-1)*37,150)&lt;100,"Empleado con contrato","Empleado sin contrato formal"),IF(I434="Trabajo de manera independiente","Trabajo independiente",""))</f>
        <v>Empleado con contrato</v>
      </c>
      <c r="K434" s="9" t="str">
        <f>IF(OR(I434="Trabajo actualmente como empleado",I434="Trabajo de manera independiente"),CHOOSE(MOD(COUNTIF($I$2:I434,I434)-1,4)+1,"Menos de 3 meses","De 3 a 6 meses","De 7 a 12 meses","Más de un año"),"")</f>
        <v>Más de un año</v>
      </c>
      <c r="L434" t="str">
        <f>IF(OR(I434="Trabajo actualmente como empleado",I434="Trabajo de manera independiente"),CHOOSE(MOD(COUNTIF($I$2:I434,I434)-1,3)+1,"Sí, completamente","Parcialmente","No"),"")</f>
        <v>Sí, completamente</v>
      </c>
      <c r="M434" t="str">
        <f>IF(OR(I434="Trabajo actualmente como empleado",I434="Trabajo de manera independiente"),CHOOSE(MOD(INT((COUNTIF($I$2:I434,I434)-1)/3),4)+1,"1- Muy satisfecho/a","2- Satisfecho/a","3- Insatisfecho/a","4- Muy insatisfecho/a"),"")</f>
        <v>2- Satisfecho/a</v>
      </c>
      <c r="N434" t="str">
        <f>IF(OR(I434="Trabajo actualmente como empleado",I434="Trabajo de manera independiente"),_xlfn.LET(_xlpm.opcion,MOD(INT((COUNTIF($I$2:I434,I434)-1)/5),6)+1,CHOOSE(IF(AND(_xlpm.opcion=6,L434="Sí, completamente"),5,_xlpm.opcion),"Salario","Estabilidad laboral","Horario","Acceso a prestaciones","Oportunidades de crecimiento","Trabajar en un área relacionada con mi formación")),"")</f>
        <v>Acceso a prestaciones</v>
      </c>
      <c r="O434" s="9" t="str">
        <f>IF(OR(I434="Trabajo actualmente como empleado",I434="Trabajo de manera independiente"),_xlfn.LET(_xlpm.turno,MOD(COUNTIF($I$2:I434,I434)-1,5),_xlpm.nivel,VALUE(LEFT(M434,1)),IF(_xlpm.turno=4,"No estoy seguro/a",IF(_xlpm.turno&lt;IF(_xlpm.nivel&lt;=2,1,3),"Sí","No"))),"")</f>
        <v>Sí</v>
      </c>
      <c r="P434" s="9" t="str">
        <f>_xlfn.LET(_xlpm.perfil,I434,_xlpm.turno,COUNTIF($I$2:I434,_xlpm.perfil)-1,_xlpm.busca,OR(_xlpm.perfil="Actualmente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trabajar"),IF(AND(_xlpm.trabaja,O434="No"),"Todavía no he iniciado una búsqueda activa",CHOOSE(MOD(_xlpm.turno*3,5)+1,"Menos de 1 mes","Entre 1 y 3 meses","Entre 4 y 6 meses","Más de 6 meses","Todavía no he iniciado una búsqueda activa")),"")))</f>
        <v>Menos de 1 mes</v>
      </c>
      <c r="Q434" t="str">
        <f>IF(I434="Tengo un emprendimiento o quiero iniciar uno","",CHOOSE(MOD(INT((COUNTIF($I$2:I434,I434)-1)/7),3)+1,"Sí","No","Tengo una pero necesito actualizarla"))</f>
        <v>No</v>
      </c>
      <c r="R434" s="9" t="str">
        <f>IF(I434="Tengo un emprendimiento o quiero iniciar uno","",IF(I434="Busco mi primer empleo","No",IF(MOD(COUNTIF($I$2:I434,I434)-1,2)=0,"Sí","No")))</f>
        <v>No</v>
      </c>
      <c r="S434" t="str">
        <f>IF(I434="Tengo un emprendimiento o quiero iniciar uno","",CHOOSE(MOD(INT((COUNTIF($I$2:I434,I434)-1)/3),10)+1,"Portales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34" t="str">
        <f>IF(I434="Tengo un emprendimiento o quiero iniciar uno","",_xlfn.LET(_xlpm.opcion,MOD(INT((COUNTIF($I$2:I434,I434)-1)/4),6)+1,CHOOSE(IF(AND(_xlpm.opcion=3,Q434="Sí"),1,_xlpm.opcion),"Falta de experiencia","Falta de formación","Dificultades con la hoja de vida","Horarios disponibles","Transporte","Internet")))</f>
        <v>Horarios disponibles</v>
      </c>
      <c r="U434" s="9" t="str">
        <f>IF(I434="Tengo un emprendimiento o quiero iniciar uno","",IF(MOD(INT((COUNTIF($I$2:I434,I434)-1)/3),2)=0,"Sí","No"))</f>
        <v>No</v>
      </c>
      <c r="V434" s="9" t="str">
        <f>IF(I434="Tengo un emprendimiento o quiero iniciar uno",CHOOSE(MOD(COUNTIF($I$2:I434,I434)-1,3)+1,"Tengo un emprendimiento","Estoy iniciando un emprendimiento","Me interesa emprender"),"")</f>
        <v/>
      </c>
      <c r="W434" t="str">
        <f t="shared" si="114"/>
        <v/>
      </c>
      <c r="X434" s="9" t="str">
        <f>IF(I434="Tengo un emprendimiento o quiero iniciar uno",CHOOSE(MOD(COUNTIF($I$2:I434,I434)-1,5)+1,"Falta de financiación","Falta de conocimientos administrativos","Falta de conocimientos financieros","Falta de tiempo","Falta de herramientas"),"")</f>
        <v/>
      </c>
      <c r="Y434" s="9" t="str">
        <f t="shared" si="115"/>
        <v/>
      </c>
      <c r="Z434" t="str">
        <f>IF(I434="Tengo un emprendimiento o quiero iniciar uno",CHOOSE(INT(MOD((COUNTIF($I$2:I434,I434)-1)*7,39)/13)+1,"Sí","No","No conozco programas de ese tipo"),"")</f>
        <v/>
      </c>
      <c r="AA434" t="str">
        <f t="shared" si="116"/>
        <v>Puedo hacerlo con ayuda</v>
      </c>
      <c r="AB434" t="str">
        <f t="shared" si="116"/>
        <v>Puedo hacerlo con ayuda</v>
      </c>
      <c r="AC434" t="str">
        <f t="shared" si="117"/>
        <v>Puedo hacerlo sin ayuda</v>
      </c>
      <c r="AD434" s="9" t="str">
        <f t="shared" si="118"/>
        <v>Puedo hacerlo con dificultad</v>
      </c>
      <c r="AE434" t="str">
        <f t="shared" si="119"/>
        <v>No puedo hacerlo</v>
      </c>
      <c r="AF434" s="9" t="str">
        <f t="shared" si="120"/>
        <v>Herramientas digitales</v>
      </c>
      <c r="AG434" s="9" t="str">
        <f t="shared" si="121"/>
        <v>Costos de transporte</v>
      </c>
      <c r="AH434" t="str">
        <f t="shared" si="122"/>
        <v>Programas de emprendimiento</v>
      </c>
      <c r="AI434" s="9" t="str">
        <f t="shared" si="123"/>
        <v>Presencial y virtual</v>
      </c>
      <c r="AJ434" s="9" t="str">
        <f t="shared" si="124"/>
        <v>Diurno</v>
      </c>
      <c r="AK434" s="9" t="str">
        <f t="shared" si="125"/>
        <v>Correo electrónico</v>
      </c>
    </row>
    <row r="435" spans="1:37">
      <c r="A435" t="str">
        <f t="shared" si="126"/>
        <v>SG434</v>
      </c>
      <c r="B435" t="s">
        <v>57</v>
      </c>
      <c r="C435" s="9" t="s">
        <v>427</v>
      </c>
      <c r="D435" t="str">
        <f t="shared" si="109"/>
        <v>Femenino</v>
      </c>
      <c r="E435" t="str">
        <f t="shared" si="110"/>
        <v>De 24 a 26 años</v>
      </c>
      <c r="F435">
        <f t="shared" si="111"/>
        <v>24</v>
      </c>
      <c r="G435" t="str">
        <f t="shared" ref="G435:G466" si="128">IF(MOD(ROW()-371,2)=0,"Centro poblado","Rural")</f>
        <v>Centro poblado</v>
      </c>
      <c r="H435" s="9" t="str">
        <f t="shared" si="112"/>
        <v>Técnico</v>
      </c>
      <c r="I435" s="9" t="str">
        <f t="shared" si="113"/>
        <v>Trabajo de manera independiente</v>
      </c>
      <c r="J435" s="13" t="str">
        <f>IF(I435="Trabajo actualmente como empleado",IF(MOD((COUNTIF($I$2:I435,"Trabajo actualmente como empleado")-1)*37,150)&lt;100,"Empleado con contrato","Empleado sin contrato formal"),IF(I435="Trabajo de manera independiente","Trabajo independiente",""))</f>
        <v>Trabajo independiente</v>
      </c>
      <c r="K435" s="9" t="str">
        <f>IF(OR(I435="Trabajo actualmente como empleado",I435="Trabajo de manera independiente"),CHOOSE(MOD(COUNTIF($I$2:I435,I435)-1,4)+1,"Menos de 3 meses","De 3 a 6 meses","De 7 a 12 meses","Más de un año"),"")</f>
        <v>Menos de 3 meses</v>
      </c>
      <c r="L435" t="str">
        <f>IF(OR(I435="Trabajo actualmente como empleado",I435="Trabajo de manera independiente"),CHOOSE(MOD(COUNTIF($I$2:I435,I435)-1,3)+1,"Sí, completamente","Parcialmente","No"),"")</f>
        <v>Sí, completamente</v>
      </c>
      <c r="M435" t="str">
        <f>IF(OR(I435="Trabajo actualmente como empleado",I435="Trabajo de manera independiente"),CHOOSE(MOD(INT((COUNTIF($I$2:I435,I435)-1)/3),4)+1,"1- Muy satisfecho/a","2- Satisfecho/a","3- Insatisfecho/a","4- Muy insatisfecho/a"),"")</f>
        <v>1- Muy satisfecho/a</v>
      </c>
      <c r="N435" t="str">
        <f>IF(OR(I435="Trabajo actualmente como empleado",I435="Trabajo de manera independiente"),_xlfn.LET(_xlpm.opcion,MOD(INT((COUNTIF($I$2:I435,I435)-1)/5),6)+1,CHOOSE(IF(AND(_xlpm.opcion=6,L435="Sí, completamente"),5,_xlpm.opcion),"Salario","Estabilidad laboral","Horario","Acceso a prestaciones","Oportunidades de crecimiento","Trabajar en un área relacionada con mi formación")),"")</f>
        <v>Horario</v>
      </c>
      <c r="O435" s="9" t="str">
        <f>IF(OR(I435="Trabajo actualmente como empleado",I435="Trabajo de manera independiente"),_xlfn.LET(_xlpm.turno,MOD(COUNTIF($I$2:I435,I435)-1,5),_xlpm.nivel,VALUE(LEFT(M435,1)),IF(_xlpm.turno=4,"No estoy seguro/a",IF(_xlpm.turno&lt;IF(_xlpm.nivel&lt;=2,1,3),"Sí","No"))),"")</f>
        <v>No</v>
      </c>
      <c r="P435" s="9" t="str">
        <f>_xlfn.LET(_xlpm.perfil,I435,_xlpm.turno,COUNTIF($I$2:I435,_xlpm.perfil)-1,_xlpm.busca,OR(_xlpm.perfil="Actualmente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35" t="str">
        <f>IF(I435="Tengo un emprendimiento o quiero iniciar uno","",CHOOSE(MOD(INT((COUNTIF($I$2:I435,I435)-1)/7),3)+1,"Sí","No","Tengo una pero necesito actualizarla"))</f>
        <v>No</v>
      </c>
      <c r="R435" s="9" t="str">
        <f>IF(I435="Tengo un emprendimiento o quiero iniciar uno","",IF(I435="Busco mi primer empleo","No",IF(MOD(COUNTIF($I$2:I435,I435)-1,2)=0,"Sí","No")))</f>
        <v>Sí</v>
      </c>
      <c r="S435" t="str">
        <f>IF(I435="Tengo un emprendimiento o quiero iniciar uno","",CHOOSE(MOD(INT((COUNTIF($I$2:I435,I435)-1)/3),10)+1,"Portales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35" t="str">
        <f>IF(I435="Tengo un emprendimiento o quiero iniciar uno","",_xlfn.LET(_xlpm.opcion,MOD(INT((COUNTIF($I$2:I435,I435)-1)/4),6)+1,CHOOSE(IF(AND(_xlpm.opcion=3,Q435="Sí"),1,_xlpm.opcion),"Falta de experiencia","Falta de formación","Dificultades con la hoja de vida","Horarios disponibles","Transporte","Internet")))</f>
        <v>Falta de experiencia</v>
      </c>
      <c r="U435" s="9" t="str">
        <f>IF(I435="Tengo un emprendimiento o quiero iniciar uno","",IF(MOD(INT((COUNTIF($I$2:I435,I435)-1)/3),2)=0,"Sí","No"))</f>
        <v>Sí</v>
      </c>
      <c r="V435" s="9" t="str">
        <f>IF(I435="Tengo un emprendimiento o quiero iniciar uno",CHOOSE(MOD(COUNTIF($I$2:I435,I435)-1,3)+1,"Tengo un emprendimiento","Estoy iniciando un emprendimiento","Me interesa emprender"),"")</f>
        <v/>
      </c>
      <c r="W435" t="str">
        <f t="shared" si="114"/>
        <v/>
      </c>
      <c r="X435" s="9" t="str">
        <f>IF(I435="Tengo un emprendimiento o quiero iniciar uno",CHOOSE(MOD(COUNTIF($I$2:I435,I435)-1,5)+1,"Falta de financiación","Falta de conocimientos administrativos","Falta de conocimientos financieros","Falta de tiempo","Falta de herramientas"),"")</f>
        <v/>
      </c>
      <c r="Y435" s="9" t="str">
        <f t="shared" si="115"/>
        <v/>
      </c>
      <c r="Z435" t="str">
        <f>IF(I435="Tengo un emprendimiento o quiero iniciar uno",CHOOSE(INT(MOD((COUNTIF($I$2:I435,I435)-1)*7,39)/13)+1,"Sí","No","No conozco programas de ese tipo"),"")</f>
        <v/>
      </c>
      <c r="AA435" t="str">
        <f t="shared" si="116"/>
        <v>Puedo hacerlo con dificultad</v>
      </c>
      <c r="AB435" t="str">
        <f t="shared" si="116"/>
        <v>Puedo hacerlo con dificultad</v>
      </c>
      <c r="AC435" t="str">
        <f t="shared" si="117"/>
        <v>No puedo hacerlo</v>
      </c>
      <c r="AD435" s="9" t="str">
        <f t="shared" si="118"/>
        <v>Puedo hacerlo con dificultad</v>
      </c>
      <c r="AE435" t="str">
        <f t="shared" si="119"/>
        <v>Puedo hacerlo con ayuda</v>
      </c>
      <c r="AF435" s="9" t="str">
        <f t="shared" si="120"/>
        <v>Educación financiera</v>
      </c>
      <c r="AG435" s="9" t="str">
        <f t="shared" si="121"/>
        <v>Costos de transporte</v>
      </c>
      <c r="AH435" t="str">
        <f t="shared" si="122"/>
        <v>Oficina de orientación laboral</v>
      </c>
      <c r="AI435" s="9" t="str">
        <f t="shared" si="123"/>
        <v>Me es indiferente</v>
      </c>
      <c r="AJ435" s="9" t="str">
        <f t="shared" si="124"/>
        <v>Mañana entre semana</v>
      </c>
      <c r="AK435" s="9" t="str">
        <f t="shared" si="125"/>
        <v>Celular</v>
      </c>
    </row>
    <row r="436" spans="1:37">
      <c r="A436" t="str">
        <f t="shared" si="126"/>
        <v>SG435</v>
      </c>
      <c r="B436" t="s">
        <v>57</v>
      </c>
      <c r="C436" s="9" t="s">
        <v>427</v>
      </c>
      <c r="D436" t="str">
        <f t="shared" si="109"/>
        <v>Masculino</v>
      </c>
      <c r="E436" t="str">
        <f t="shared" si="110"/>
        <v>De 26 a 28 años</v>
      </c>
      <c r="F436">
        <f t="shared" si="111"/>
        <v>28</v>
      </c>
      <c r="G436" t="str">
        <f t="shared" si="128"/>
        <v>Rural</v>
      </c>
      <c r="H436" s="9" t="str">
        <f t="shared" si="112"/>
        <v>Profesional</v>
      </c>
      <c r="I436" s="9" t="str">
        <f t="shared" si="113"/>
        <v>Busco mi primer empleo</v>
      </c>
      <c r="J436" s="13" t="str">
        <f>IF(I436="Trabajo actualmente como empleado",IF(MOD((COUNTIF($I$2:I436,"Trabajo actualmente como empleado")-1)*37,150)&lt;100,"Empleado con contrato","Empleado sin contrato formal"),IF(I436="Trabajo de manera independiente","Trabajo independiente",""))</f>
        <v/>
      </c>
      <c r="K436" s="9" t="str">
        <f>IF(OR(I436="Trabajo actualmente como empleado",I436="Trabajo de manera independiente"),CHOOSE(MOD(COUNTIF($I$2:I436,I436)-1,4)+1,"Menos de 3 meses","De 3 a 6 meses","De 7 a 12 meses","Más de un año"),"")</f>
        <v/>
      </c>
      <c r="L436" t="str">
        <f>IF(OR(I436="Trabajo actualmente como empleado",I436="Trabajo de manera independiente"),CHOOSE(MOD(COUNTIF($I$2:I436,I436)-1,3)+1,"Sí, completamente","Parcialmente","No"),"")</f>
        <v/>
      </c>
      <c r="M436" t="str">
        <f>IF(OR(I436="Trabajo actualmente como empleado",I436="Trabajo de manera independiente"),CHOOSE(MOD(INT((COUNTIF($I$2:I436,I436)-1)/3),4)+1,"1- Muy satisfecho/a","2- Satisfecho/a","3- Insatisfecho/a","4- Muy insatisfecho/a"),"")</f>
        <v/>
      </c>
      <c r="N436" t="str">
        <f>IF(OR(I436="Trabajo actualmente como empleado",I436="Trabajo de manera independiente"),_xlfn.LET(_xlpm.opcion,MOD(INT((COUNTIF($I$2:I436,I436)-1)/5),6)+1,CHOOSE(IF(AND(_xlpm.opcion=6,L436="Sí, completamente"),5,_xlpm.opcion),"Salario","Estabilidad laboral","Horario","Acceso a prestaciones","Oportunidades de crecimiento","Trabajar en un área relacionada con mi formación")),"")</f>
        <v/>
      </c>
      <c r="O436" s="9" t="str">
        <f>IF(OR(I436="Trabajo actualmente como empleado",I436="Trabajo de manera independiente"),_xlfn.LET(_xlpm.turno,MOD(COUNTIF($I$2:I436,I436)-1,5),_xlpm.nivel,VALUE(LEFT(M436,1)),IF(_xlpm.turno=4,"No estoy seguro/a",IF(_xlpm.turno&lt;IF(_xlpm.nivel&lt;=2,1,3),"Sí","No"))),"")</f>
        <v/>
      </c>
      <c r="P436" s="9" t="str">
        <f>_xlfn.LET(_xlpm.perfil,I436,_xlpm.turno,COUNTIF($I$2:I436,_xlpm.perfil)-1,_xlpm.busca,OR(_xlpm.perfil="Actualmente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trabajar"),IF(AND(_xlpm.trabaja,O436="No"),"Todavía no he iniciado una búsqueda activa",CHOOSE(MOD(_xlpm.turno*3,5)+1,"Menos de 1 mes","Entre 1 y 3 meses","Entre 4 y 6 meses","Más de 6 meses","Todavía no he iniciado una búsqueda activa")),"")))</f>
        <v>Entre 1 y 3 meses</v>
      </c>
      <c r="Q436" t="str">
        <f>IF(I436="Tengo un emprendimiento o quiero iniciar uno","",CHOOSE(MOD(INT((COUNTIF($I$2:I436,I436)-1)/7),3)+1,"Sí","No","Tengo una pero necesito actualizarla"))</f>
        <v>No</v>
      </c>
      <c r="R436" s="9" t="str">
        <f>IF(I436="Tengo un emprendimiento o quiero iniciar uno","",IF(I436="Busco mi primer empleo","No",IF(MOD(COUNTIF($I$2:I436,I436)-1,2)=0,"Sí","No")))</f>
        <v>No</v>
      </c>
      <c r="S436" t="str">
        <f>IF(I436="Tengo un emprendimiento o quiero iniciar uno","",CHOOSE(MOD(INT((COUNTIF($I$2:I436,I436)-1)/3),10)+1,"Portales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36" t="str">
        <f>IF(I436="Tengo un emprendimiento o quiero iniciar uno","",_xlfn.LET(_xlpm.opcion,MOD(INT((COUNTIF($I$2:I436,I436)-1)/4),6)+1,CHOOSE(IF(AND(_xlpm.opcion=3,Q436="Sí"),1,_xlpm.opcion),"Falta de experiencia","Falta de formación","Dificultades con la hoja de vida","Horarios disponibles","Transporte","Internet")))</f>
        <v>Falta de formación</v>
      </c>
      <c r="U436" s="9" t="str">
        <f>IF(I436="Tengo un emprendimiento o quiero iniciar uno","",IF(MOD(INT((COUNTIF($I$2:I436,I436)-1)/3),2)=0,"Sí","No"))</f>
        <v>Sí</v>
      </c>
      <c r="V436" s="9" t="str">
        <f>IF(I436="Tengo un emprendimiento o quiero iniciar uno",CHOOSE(MOD(COUNTIF($I$2:I436,I436)-1,3)+1,"Tengo un emprendimiento","Estoy iniciando un emprendimiento","Me interesa emprender"),"")</f>
        <v/>
      </c>
      <c r="W436" t="str">
        <f t="shared" si="114"/>
        <v/>
      </c>
      <c r="X436" s="9" t="str">
        <f>IF(I436="Tengo un emprendimiento o quiero iniciar uno",CHOOSE(MOD(COUNTIF($I$2:I436,I436)-1,5)+1,"Falta de financiación","Falta de conocimientos administrativos","Falta de conocimientos financieros","Falta de tiempo","Falta de herramientas"),"")</f>
        <v/>
      </c>
      <c r="Y436" s="9" t="str">
        <f t="shared" si="115"/>
        <v/>
      </c>
      <c r="Z436" t="str">
        <f>IF(I436="Tengo un emprendimiento o quiero iniciar uno",CHOOSE(INT(MOD((COUNTIF($I$2:I436,I436)-1)*7,39)/13)+1,"Sí","No","No conozco programas de ese tipo"),"")</f>
        <v/>
      </c>
      <c r="AA436" t="str">
        <f t="shared" si="116"/>
        <v>No puedo hacerlo</v>
      </c>
      <c r="AB436" t="str">
        <f t="shared" si="116"/>
        <v>No puedo hacerlo</v>
      </c>
      <c r="AC436" t="str">
        <f t="shared" si="117"/>
        <v>Puedo hacerlo con ayuda</v>
      </c>
      <c r="AD436" s="9" t="str">
        <f t="shared" si="118"/>
        <v>Puedo hacerlo sin ayuda</v>
      </c>
      <c r="AE436" t="str">
        <f t="shared" si="119"/>
        <v>Puedo hacerlo con dificultad</v>
      </c>
      <c r="AF436" s="9" t="str">
        <f t="shared" si="120"/>
        <v>Crear una hoja de vida;Preparación para entrevista</v>
      </c>
      <c r="AG436" s="9" t="str">
        <f t="shared" si="121"/>
        <v>Costos de transporte</v>
      </c>
      <c r="AH436" t="str">
        <f t="shared" si="122"/>
        <v>Ferias de empleo</v>
      </c>
      <c r="AI436" s="9" t="str">
        <f t="shared" si="123"/>
        <v>Presencial</v>
      </c>
      <c r="AJ436" s="9" t="str">
        <f t="shared" si="124"/>
        <v>Fines de semana</v>
      </c>
      <c r="AK436" s="9" t="str">
        <f t="shared" si="125"/>
        <v>WhatsApp</v>
      </c>
    </row>
    <row r="437" spans="1:37">
      <c r="A437" t="str">
        <f t="shared" si="126"/>
        <v>SG436</v>
      </c>
      <c r="B437" t="s">
        <v>57</v>
      </c>
      <c r="C437" s="9" t="s">
        <v>427</v>
      </c>
      <c r="D437" t="str">
        <f t="shared" si="109"/>
        <v>Masculino</v>
      </c>
      <c r="E437" t="str">
        <f t="shared" si="110"/>
        <v>De 18 a 20 años</v>
      </c>
      <c r="F437">
        <f t="shared" si="111"/>
        <v>19</v>
      </c>
      <c r="G437" t="str">
        <f t="shared" si="128"/>
        <v>Centro poblado</v>
      </c>
      <c r="H437" s="9" t="str">
        <f t="shared" si="112"/>
        <v>Bachiller</v>
      </c>
      <c r="I437" s="9" t="str">
        <f t="shared" si="113"/>
        <v>Trabajo actualmente como empleado</v>
      </c>
      <c r="J437" s="13" t="str">
        <f>IF(I437="Trabajo actualmente como empleado",IF(MOD((COUNTIF($I$2:I437,"Trabajo actualmente como empleado")-1)*37,150)&lt;100,"Empleado con contrato","Empleado sin contrato formal"),IF(I437="Trabajo de manera independiente","Trabajo independiente",""))</f>
        <v>Empleado con contrato</v>
      </c>
      <c r="K437" s="9" t="str">
        <f>IF(OR(I437="Trabajo actualmente como empleado",I437="Trabajo de manera independiente"),CHOOSE(MOD(COUNTIF($I$2:I437,I437)-1,4)+1,"Menos de 3 meses","De 3 a 6 meses","De 7 a 12 meses","Más de un año"),"")</f>
        <v>Menos de 3 meses</v>
      </c>
      <c r="L437" t="str">
        <f>IF(OR(I437="Trabajo actualmente como empleado",I437="Trabajo de manera independiente"),CHOOSE(MOD(COUNTIF($I$2:I437,I437)-1,3)+1,"Sí, completamente","Parcialmente","No"),"")</f>
        <v>Parcialmente</v>
      </c>
      <c r="M437" t="str">
        <f>IF(OR(I437="Trabajo actualmente como empleado",I437="Trabajo de manera independiente"),CHOOSE(MOD(INT((COUNTIF($I$2:I437,I437)-1)/3),4)+1,"1- Muy satisfecho/a","2- Satisfecho/a","3- Insatisfecho/a","4- Muy insatisfecho/a"),"")</f>
        <v>2- Satisfecho/a</v>
      </c>
      <c r="N437" t="str">
        <f>IF(OR(I437="Trabajo actualmente como empleado",I437="Trabajo de manera independiente"),_xlfn.LET(_xlpm.opcion,MOD(INT((COUNTIF($I$2:I437,I437)-1)/5),6)+1,CHOOSE(IF(AND(_xlpm.opcion=6,L437="Sí, completamente"),5,_xlpm.opcion),"Salario","Estabilidad laboral","Horario","Acceso a prestaciones","Oportunidades de crecimiento","Trabajar en un área relacionada con mi formación")),"")</f>
        <v>Acceso a prestaciones</v>
      </c>
      <c r="O437" s="9" t="str">
        <f>IF(OR(I437="Trabajo actualmente como empleado",I437="Trabajo de manera independiente"),_xlfn.LET(_xlpm.turno,MOD(COUNTIF($I$2:I437,I437)-1,5),_xlpm.nivel,VALUE(LEFT(M437,1)),IF(_xlpm.turno=4,"No estoy seguro/a",IF(_xlpm.turno&lt;IF(_xlpm.nivel&lt;=2,1,3),"Sí","No"))),"")</f>
        <v>No</v>
      </c>
      <c r="P437" s="9" t="str">
        <f>_xlfn.LET(_xlpm.perfil,I437,_xlpm.turno,COUNTIF($I$2:I437,_xlpm.perfil)-1,_xlpm.busca,OR(_xlpm.perfil="Actualmente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37" t="str">
        <f>IF(I437="Tengo un emprendimiento o quiero iniciar uno","",CHOOSE(MOD(INT((COUNTIF($I$2:I437,I437)-1)/7),3)+1,"Sí","No","Tengo una pero necesito actualizarla"))</f>
        <v>No</v>
      </c>
      <c r="R437" s="9" t="str">
        <f>IF(I437="Tengo un emprendimiento o quiero iniciar uno","",IF(I437="Busco mi primer empleo","No",IF(MOD(COUNTIF($I$2:I437,I437)-1,2)=0,"Sí","No")))</f>
        <v>Sí</v>
      </c>
      <c r="S437" t="str">
        <f>IF(I437="Tengo un emprendimiento o quiero iniciar uno","",CHOOSE(MOD(INT((COUNTIF($I$2:I437,I437)-1)/3),10)+1,"Portales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37" t="str">
        <f>IF(I437="Tengo un emprendimiento o quiero iniciar uno","",_xlfn.LET(_xlpm.opcion,MOD(INT((COUNTIF($I$2:I437,I437)-1)/4),6)+1,CHOOSE(IF(AND(_xlpm.opcion=3,Q437="Sí"),1,_xlpm.opcion),"Falta de experiencia","Falta de formación","Dificultades con la hoja de vida","Horarios disponibles","Transporte","Internet")))</f>
        <v>Transporte</v>
      </c>
      <c r="U437" s="9" t="str">
        <f>IF(I437="Tengo un emprendimiento o quiero iniciar uno","",IF(MOD(INT((COUNTIF($I$2:I437,I437)-1)/3),2)=0,"Sí","No"))</f>
        <v>No</v>
      </c>
      <c r="V437" s="9" t="str">
        <f>IF(I437="Tengo un emprendimiento o quiero iniciar uno",CHOOSE(MOD(COUNTIF($I$2:I437,I437)-1,3)+1,"Tengo un emprendimiento","Estoy iniciando un emprendimiento","Me interesa emprender"),"")</f>
        <v/>
      </c>
      <c r="W437" t="str">
        <f t="shared" si="114"/>
        <v/>
      </c>
      <c r="X437" s="9" t="str">
        <f>IF(I437="Tengo un emprendimiento o quiero iniciar uno",CHOOSE(MOD(COUNTIF($I$2:I437,I437)-1,5)+1,"Falta de financiación","Falta de conocimientos administrativos","Falta de conocimientos financieros","Falta de tiempo","Falta de herramientas"),"")</f>
        <v/>
      </c>
      <c r="Y437" s="9" t="str">
        <f t="shared" si="115"/>
        <v/>
      </c>
      <c r="Z437" t="str">
        <f>IF(I437="Tengo un emprendimiento o quiero iniciar uno",CHOOSE(INT(MOD((COUNTIF($I$2:I437,I437)-1)*7,39)/13)+1,"Sí","No","No conozco programas de ese tipo"),"")</f>
        <v/>
      </c>
      <c r="AA437" t="str">
        <f t="shared" si="116"/>
        <v>Puedo hacerlo con ayuda</v>
      </c>
      <c r="AB437" t="str">
        <f t="shared" si="116"/>
        <v>Puedo hacerlo con ayuda</v>
      </c>
      <c r="AC437" t="str">
        <f t="shared" si="117"/>
        <v>Puedo hacerlo sin ayuda</v>
      </c>
      <c r="AD437" s="9" t="str">
        <f t="shared" si="118"/>
        <v>No puedo hacerlo</v>
      </c>
      <c r="AE437" t="str">
        <f t="shared" si="119"/>
        <v>Puedo hacerlo con dificultad</v>
      </c>
      <c r="AF437" s="9" t="str">
        <f t="shared" si="120"/>
        <v>Comunicación;Liderazgo</v>
      </c>
      <c r="AG437" s="9" t="str">
        <f t="shared" si="121"/>
        <v>Horarios;Falta de información</v>
      </c>
      <c r="AH437" t="str">
        <f t="shared" si="122"/>
        <v>No conozco ninguno</v>
      </c>
      <c r="AI437" s="9" t="str">
        <f t="shared" si="123"/>
        <v>Virtual</v>
      </c>
      <c r="AJ437" s="9" t="str">
        <f t="shared" si="124"/>
        <v>Diurno</v>
      </c>
      <c r="AK437" s="9" t="str">
        <f t="shared" si="125"/>
        <v>Redes sociales</v>
      </c>
    </row>
    <row r="438" spans="1:37">
      <c r="A438" t="str">
        <f t="shared" si="126"/>
        <v>SG437</v>
      </c>
      <c r="B438" t="s">
        <v>57</v>
      </c>
      <c r="C438" s="9" t="s">
        <v>427</v>
      </c>
      <c r="D438" t="str">
        <f t="shared" si="109"/>
        <v>Femenino</v>
      </c>
      <c r="E438" t="str">
        <f t="shared" si="110"/>
        <v>De 20 a 22 años</v>
      </c>
      <c r="F438">
        <f t="shared" si="111"/>
        <v>21</v>
      </c>
      <c r="G438" t="str">
        <f t="shared" si="128"/>
        <v>Rural</v>
      </c>
      <c r="H438" s="9" t="str">
        <f t="shared" si="112"/>
        <v>Técnico</v>
      </c>
      <c r="I438" s="9" t="str">
        <f t="shared" si="113"/>
        <v>Trabajo de manera independiente</v>
      </c>
      <c r="J438" s="13" t="str">
        <f>IF(I438="Trabajo actualmente como empleado",IF(MOD((COUNTIF($I$2:I438,"Trabajo actualmente como empleado")-1)*37,150)&lt;100,"Empleado con contrato","Empleado sin contrato formal"),IF(I438="Trabajo de manera independiente","Trabajo independiente",""))</f>
        <v>Trabajo independiente</v>
      </c>
      <c r="K438" s="9" t="str">
        <f>IF(OR(I438="Trabajo actualmente como empleado",I438="Trabajo de manera independiente"),CHOOSE(MOD(COUNTIF($I$2:I438,I438)-1,4)+1,"Menos de 3 meses","De 3 a 6 meses","De 7 a 12 meses","Más de un año"),"")</f>
        <v>De 3 a 6 meses</v>
      </c>
      <c r="L438" t="str">
        <f>IF(OR(I438="Trabajo actualmente como empleado",I438="Trabajo de manera independiente"),CHOOSE(MOD(COUNTIF($I$2:I438,I438)-1,3)+1,"Sí, completamente","Parcialmente","No"),"")</f>
        <v>Parcialmente</v>
      </c>
      <c r="M438" t="str">
        <f>IF(OR(I438="Trabajo actualmente como empleado",I438="Trabajo de manera independiente"),CHOOSE(MOD(INT((COUNTIF($I$2:I438,I438)-1)/3),4)+1,"1- Muy satisfecho/a","2- Satisfecho/a","3- Insatisfecho/a","4- Muy insatisfecho/a"),"")</f>
        <v>1- Muy satisfecho/a</v>
      </c>
      <c r="N438" t="str">
        <f>IF(OR(I438="Trabajo actualmente como empleado",I438="Trabajo de manera independiente"),_xlfn.LET(_xlpm.opcion,MOD(INT((COUNTIF($I$2:I438,I438)-1)/5),6)+1,CHOOSE(IF(AND(_xlpm.opcion=6,L438="Sí, completamente"),5,_xlpm.opcion),"Salario","Estabilidad laboral","Horario","Acceso a prestaciones","Oportunidades de crecimiento","Trabajar en un área relacionada con mi formación")),"")</f>
        <v>Horario</v>
      </c>
      <c r="O438" s="9" t="str">
        <f>IF(OR(I438="Trabajo actualmente como empleado",I438="Trabajo de manera independiente"),_xlfn.LET(_xlpm.turno,MOD(COUNTIF($I$2:I438,I438)-1,5),_xlpm.nivel,VALUE(LEFT(M438,1)),IF(_xlpm.turno=4,"No estoy seguro/a",IF(_xlpm.turno&lt;IF(_xlpm.nivel&lt;=2,1,3),"Sí","No"))),"")</f>
        <v>No</v>
      </c>
      <c r="P438" s="9" t="str">
        <f>_xlfn.LET(_xlpm.perfil,I438,_xlpm.turno,COUNTIF($I$2:I438,_xlpm.perfil)-1,_xlpm.busca,OR(_xlpm.perfil="Actualmente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trabajar"),IF(AND(_xlpm.trabaja,O438="No"),"Todavía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38" t="str">
        <f>IF(I438="Tengo un emprendimiento o quiero iniciar uno","",CHOOSE(MOD(INT((COUNTIF($I$2:I438,I438)-1)/7),3)+1,"Sí","No","Tengo una pero necesito actualizarla"))</f>
        <v>No</v>
      </c>
      <c r="R438" s="9" t="str">
        <f>IF(I438="Tengo un emprendimiento o quiero iniciar uno","",IF(I438="Busco mi primer empleo","No",IF(MOD(COUNTIF($I$2:I438,I438)-1,2)=0,"Sí","No")))</f>
        <v>No</v>
      </c>
      <c r="S438" t="str">
        <f>IF(I438="Tengo un emprendimiento o quiero iniciar uno","",CHOOSE(MOD(INT((COUNTIF($I$2:I438,I438)-1)/3),10)+1,"Portales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38" t="str">
        <f>IF(I438="Tengo un emprendimiento o quiero iniciar uno","",_xlfn.LET(_xlpm.opcion,MOD(INT((COUNTIF($I$2:I438,I438)-1)/4),6)+1,CHOOSE(IF(AND(_xlpm.opcion=3,Q438="Sí"),1,_xlpm.opcion),"Falta de experiencia","Falta de formación","Dificultades con la hoja de vida","Horarios disponibles","Transporte","Internet")))</f>
        <v>Falta de experiencia</v>
      </c>
      <c r="U438" s="9" t="str">
        <f>IF(I438="Tengo un emprendimiento o quiero iniciar uno","",IF(MOD(INT((COUNTIF($I$2:I438,I438)-1)/3),2)=0,"Sí","No"))</f>
        <v>Sí</v>
      </c>
      <c r="V438" s="9" t="str">
        <f>IF(I438="Tengo un emprendimiento o quiero iniciar uno",CHOOSE(MOD(COUNTIF($I$2:I438,I438)-1,3)+1,"Tengo un emprendimiento","Estoy iniciando un emprendimiento","Me interesa emprender"),"")</f>
        <v/>
      </c>
      <c r="W438" t="str">
        <f t="shared" si="114"/>
        <v/>
      </c>
      <c r="X438" s="9" t="str">
        <f>IF(I438="Tengo un emprendimiento o quiero iniciar uno",CHOOSE(MOD(COUNTIF($I$2:I438,I438)-1,5)+1,"Falta de financiación","Falta de conocimientos administrativos","Falta de conocimientos financieros","Falta de tiempo","Falta de herramientas"),"")</f>
        <v/>
      </c>
      <c r="Y438" s="9" t="str">
        <f t="shared" si="115"/>
        <v/>
      </c>
      <c r="Z438" t="str">
        <f>IF(I438="Tengo un emprendimiento o quiero iniciar uno",CHOOSE(INT(MOD((COUNTIF($I$2:I438,I438)-1)*7,39)/13)+1,"Sí","No","No conozco programas de ese tipo"),"")</f>
        <v/>
      </c>
      <c r="AA438" t="str">
        <f t="shared" si="116"/>
        <v>Puedo hacerlo sin ayuda</v>
      </c>
      <c r="AB438" t="str">
        <f t="shared" si="116"/>
        <v>Puedo hacerlo sin ayuda</v>
      </c>
      <c r="AC438" t="str">
        <f t="shared" si="117"/>
        <v>No puedo hacerlo</v>
      </c>
      <c r="AD438" s="9" t="str">
        <f t="shared" si="118"/>
        <v>Puedo hacerlo con ayuda</v>
      </c>
      <c r="AE438" t="str">
        <f t="shared" si="119"/>
        <v>Puedo hacerlo sin ayuda</v>
      </c>
      <c r="AF438" s="9" t="str">
        <f t="shared" si="120"/>
        <v>Herramientas digitales;Educación financiera</v>
      </c>
      <c r="AG438" s="9" t="str">
        <f t="shared" si="121"/>
        <v>Horarios;Falta de información</v>
      </c>
      <c r="AH438" t="str">
        <f t="shared" si="122"/>
        <v>Ferias de empleo</v>
      </c>
      <c r="AI438" s="9" t="str">
        <f t="shared" si="123"/>
        <v>Presencial y virtual</v>
      </c>
      <c r="AJ438" s="9" t="str">
        <f t="shared" si="124"/>
        <v>Mañana entre semana</v>
      </c>
      <c r="AK438" s="9" t="str">
        <f t="shared" si="125"/>
        <v>Celular</v>
      </c>
    </row>
    <row r="439" spans="1:37">
      <c r="A439" t="str">
        <f t="shared" si="126"/>
        <v>SG438</v>
      </c>
      <c r="B439" t="s">
        <v>57</v>
      </c>
      <c r="C439" s="9" t="s">
        <v>427</v>
      </c>
      <c r="D439" t="str">
        <f t="shared" si="109"/>
        <v>No quiero responder</v>
      </c>
      <c r="E439" t="str">
        <f t="shared" si="110"/>
        <v>De 22 a 24 años</v>
      </c>
      <c r="F439">
        <f t="shared" si="111"/>
        <v>23</v>
      </c>
      <c r="G439" t="str">
        <f t="shared" si="128"/>
        <v>Centro poblado</v>
      </c>
      <c r="H439" s="9" t="str">
        <f t="shared" si="112"/>
        <v>Tecnólogo</v>
      </c>
      <c r="I439" s="9" t="str">
        <f t="shared" si="113"/>
        <v>Estudio y quiero comenzar a trabajar</v>
      </c>
      <c r="J439" s="13" t="str">
        <f>IF(I439="Trabajo actualmente como empleado",IF(MOD((COUNTIF($I$2:I439,"Trabajo actualmente como empleado")-1)*37,150)&lt;100,"Empleado con contrato","Empleado sin contrato formal"),IF(I439="Trabajo de manera independiente","Trabajo independiente",""))</f>
        <v/>
      </c>
      <c r="K439" s="9" t="str">
        <f>IF(OR(I439="Trabajo actualmente como empleado",I439="Trabajo de manera independiente"),CHOOSE(MOD(COUNTIF($I$2:I439,I439)-1,4)+1,"Menos de 3 meses","De 3 a 6 meses","De 7 a 12 meses","Más de un año"),"")</f>
        <v/>
      </c>
      <c r="L439" t="str">
        <f>IF(OR(I439="Trabajo actualmente como empleado",I439="Trabajo de manera independiente"),CHOOSE(MOD(COUNTIF($I$2:I439,I439)-1,3)+1,"Sí, completamente","Parcialmente","No"),"")</f>
        <v/>
      </c>
      <c r="M439" t="str">
        <f>IF(OR(I439="Trabajo actualmente como empleado",I439="Trabajo de manera independiente"),CHOOSE(MOD(INT((COUNTIF($I$2:I439,I439)-1)/3),4)+1,"1- Muy satisfecho/a","2- Satisfecho/a","3- Insatisfecho/a","4- Muy insatisfecho/a"),"")</f>
        <v/>
      </c>
      <c r="N439" t="str">
        <f>IF(OR(I439="Trabajo actualmente como empleado",I439="Trabajo de manera independiente"),_xlfn.LET(_xlpm.opcion,MOD(INT((COUNTIF($I$2:I439,I439)-1)/5),6)+1,CHOOSE(IF(AND(_xlpm.opcion=6,L439="Sí, completamente"),5,_xlpm.opcion),"Salario","Estabilidad laboral","Horario","Acceso a prestaciones","Oportunidades de crecimiento","Trabajar en un área relacionada con mi formación")),"")</f>
        <v/>
      </c>
      <c r="O439" s="9" t="str">
        <f>IF(OR(I439="Trabajo actualmente como empleado",I439="Trabajo de manera independiente"),_xlfn.LET(_xlpm.turno,MOD(COUNTIF($I$2:I439,I439)-1,5),_xlpm.nivel,VALUE(LEFT(M439,1)),IF(_xlpm.turno=4,"No estoy seguro/a",IF(_xlpm.turno&lt;IF(_xlpm.nivel&lt;=2,1,3),"Sí","No"))),"")</f>
        <v/>
      </c>
      <c r="P439" s="9" t="str">
        <f>_xlfn.LET(_xlpm.perfil,I439,_xlpm.turno,COUNTIF($I$2:I439,_xlpm.perfil)-1,_xlpm.busca,OR(_xlpm.perfil="Actualmente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trabajar"),IF(AND(_xlpm.trabaja,O439="No"),"Todavía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39" t="str">
        <f>IF(I439="Tengo un emprendimiento o quiero iniciar uno","",CHOOSE(MOD(INT((COUNTIF($I$2:I439,I439)-1)/7),3)+1,"Sí","No","Tengo una pero necesito actualizarla"))</f>
        <v>No</v>
      </c>
      <c r="R439" s="9" t="str">
        <f>IF(I439="Tengo un emprendimiento o quiero iniciar uno","",IF(I439="Busco mi primer empleo","No",IF(MOD(COUNTIF($I$2:I439,I439)-1,2)=0,"Sí","No")))</f>
        <v>No</v>
      </c>
      <c r="S439" t="str">
        <f>IF(I439="Tengo un emprendimiento o quiero iniciar uno","",CHOOSE(MOD(INT((COUNTIF($I$2:I439,I439)-1)/3),10)+1,"Portales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39" t="str">
        <f>IF(I439="Tengo un emprendimiento o quiero iniciar uno","",_xlfn.LET(_xlpm.opcion,MOD(INT((COUNTIF($I$2:I439,I439)-1)/4),6)+1,CHOOSE(IF(AND(_xlpm.opcion=3,Q439="Sí"),1,_xlpm.opcion),"Falta de experiencia","Falta de formación","Dificultades con la hoja de vida","Horarios disponibles","Transporte","Internet")))</f>
        <v>Falta de formación</v>
      </c>
      <c r="U439" s="9" t="str">
        <f>IF(I439="Tengo un emprendimiento o quiero iniciar uno","",IF(MOD(INT((COUNTIF($I$2:I439,I439)-1)/3),2)=0,"Sí","No"))</f>
        <v>No</v>
      </c>
      <c r="V439" s="9" t="str">
        <f>IF(I439="Tengo un emprendimiento o quiero iniciar uno",CHOOSE(MOD(COUNTIF($I$2:I439,I439)-1,3)+1,"Tengo un emprendimiento","Estoy iniciando un emprendimiento","Me interesa emprender"),"")</f>
        <v/>
      </c>
      <c r="W439" t="str">
        <f t="shared" si="114"/>
        <v/>
      </c>
      <c r="X439" s="9" t="str">
        <f>IF(I439="Tengo un emprendimiento o quiero iniciar uno",CHOOSE(MOD(COUNTIF($I$2:I439,I439)-1,5)+1,"Falta de financiación","Falta de conocimientos administrativos","Falta de conocimientos financieros","Falta de tiempo","Falta de herramientas"),"")</f>
        <v/>
      </c>
      <c r="Y439" s="9" t="str">
        <f t="shared" si="115"/>
        <v/>
      </c>
      <c r="Z439" t="str">
        <f>IF(I439="Tengo un emprendimiento o quiero iniciar uno",CHOOSE(INT(MOD((COUNTIF($I$2:I439,I439)-1)*7,39)/13)+1,"Sí","No","No conozco programas de ese tipo"),"")</f>
        <v/>
      </c>
      <c r="AA439" t="str">
        <f t="shared" si="116"/>
        <v>Puedo hacerlo con ayuda</v>
      </c>
      <c r="AB439" t="str">
        <f t="shared" si="116"/>
        <v>Puedo hacerlo con ayuda</v>
      </c>
      <c r="AC439" t="str">
        <f t="shared" si="117"/>
        <v>Puedo hacerlo con ayuda</v>
      </c>
      <c r="AD439" s="9" t="str">
        <f t="shared" si="118"/>
        <v>Puedo hacerlo con ayuda</v>
      </c>
      <c r="AE439" t="str">
        <f t="shared" si="119"/>
        <v>Puedo hacerlo sin ayuda</v>
      </c>
      <c r="AF439" s="9" t="str">
        <f t="shared" si="120"/>
        <v>Crear una hoja de vida</v>
      </c>
      <c r="AG439" s="9" t="str">
        <f t="shared" si="121"/>
        <v>Horarios;Falta de información</v>
      </c>
      <c r="AH439" t="str">
        <f t="shared" si="122"/>
        <v>Programas de emprendimiento</v>
      </c>
      <c r="AI439" s="9" t="str">
        <f t="shared" si="123"/>
        <v>Presencial</v>
      </c>
      <c r="AJ439" s="9" t="str">
        <f t="shared" si="124"/>
        <v>Fines de semana</v>
      </c>
      <c r="AK439" s="9" t="str">
        <f t="shared" si="125"/>
        <v>Correo electrónico</v>
      </c>
    </row>
    <row r="440" spans="1:37">
      <c r="A440" t="str">
        <f t="shared" si="126"/>
        <v>SG439</v>
      </c>
      <c r="B440" t="s">
        <v>57</v>
      </c>
      <c r="C440" s="9" t="s">
        <v>427</v>
      </c>
      <c r="D440" t="str">
        <f t="shared" si="109"/>
        <v>Masculino</v>
      </c>
      <c r="E440" t="str">
        <f t="shared" si="110"/>
        <v>De 24 a 26 años</v>
      </c>
      <c r="F440">
        <f t="shared" si="111"/>
        <v>25</v>
      </c>
      <c r="G440" t="str">
        <f t="shared" si="128"/>
        <v>Rural</v>
      </c>
      <c r="H440" s="9" t="str">
        <f t="shared" si="112"/>
        <v>Tecnólogo</v>
      </c>
      <c r="I440" s="9" t="str">
        <f t="shared" si="113"/>
        <v>Trabajo actualmente como empleado</v>
      </c>
      <c r="J440" s="13" t="str">
        <f>IF(I440="Trabajo actualmente como empleado",IF(MOD((COUNTIF($I$2:I440,"Trabajo actualmente como empleado")-1)*37,150)&lt;100,"Empleado con contrato","Empleado sin contrato formal"),IF(I440="Trabajo de manera independiente","Trabajo independiente",""))</f>
        <v>Empleado sin contrato formal</v>
      </c>
      <c r="K440" s="9" t="str">
        <f>IF(OR(I440="Trabajo actualmente como empleado",I440="Trabajo de manera independiente"),CHOOSE(MOD(COUNTIF($I$2:I440,I440)-1,4)+1,"Menos de 3 meses","De 3 a 6 meses","De 7 a 12 meses","Más de un año"),"")</f>
        <v>De 3 a 6 meses</v>
      </c>
      <c r="L440" t="str">
        <f>IF(OR(I440="Trabajo actualmente como empleado",I440="Trabajo de manera independiente"),CHOOSE(MOD(COUNTIF($I$2:I440,I440)-1,3)+1,"Sí, completamente","Parcialmente","No"),"")</f>
        <v>No</v>
      </c>
      <c r="M440" t="str">
        <f>IF(OR(I440="Trabajo actualmente como empleado",I440="Trabajo de manera independiente"),CHOOSE(MOD(INT((COUNTIF($I$2:I440,I440)-1)/3),4)+1,"1- Muy satisfecho/a","2- Satisfecho/a","3- Insatisfecho/a","4- Muy insatisfecho/a"),"")</f>
        <v>2- Satisfecho/a</v>
      </c>
      <c r="N440" t="str">
        <f>IF(OR(I440="Trabajo actualmente como empleado",I440="Trabajo de manera independiente"),_xlfn.LET(_xlpm.opcion,MOD(INT((COUNTIF($I$2:I440,I440)-1)/5),6)+1,CHOOSE(IF(AND(_xlpm.opcion=6,L440="Sí, completamente"),5,_xlpm.opcion),"Salario","Estabilidad laboral","Horario","Acceso a prestaciones","Oportunidades de crecimiento","Trabajar en un área relacionada con mi formación")),"")</f>
        <v>Acceso a prestaciones</v>
      </c>
      <c r="O440" s="9" t="str">
        <f>IF(OR(I440="Trabajo actualmente como empleado",I440="Trabajo de manera independiente"),_xlfn.LET(_xlpm.turno,MOD(COUNTIF($I$2:I440,I440)-1,5),_xlpm.nivel,VALUE(LEFT(M440,1)),IF(_xlpm.turno=4,"No estoy seguro/a",IF(_xlpm.turno&lt;IF(_xlpm.nivel&lt;=2,1,3),"Sí","No"))),"")</f>
        <v>No</v>
      </c>
      <c r="P440" s="9" t="str">
        <f>_xlfn.LET(_xlpm.perfil,I440,_xlpm.turno,COUNTIF($I$2:I440,_xlpm.perfil)-1,_xlpm.busca,OR(_xlpm.perfil="Actualmente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40" t="str">
        <f>IF(I440="Tengo un emprendimiento o quiero iniciar uno","",CHOOSE(MOD(INT((COUNTIF($I$2:I440,I440)-1)/7),3)+1,"Sí","No","Tengo una pero necesito actualizarla"))</f>
        <v>No</v>
      </c>
      <c r="R440" s="9" t="str">
        <f>IF(I440="Tengo un emprendimiento o quiero iniciar uno","",IF(I440="Busco mi primer empleo","No",IF(MOD(COUNTIF($I$2:I440,I440)-1,2)=0,"Sí","No")))</f>
        <v>No</v>
      </c>
      <c r="S440" t="str">
        <f>IF(I440="Tengo un emprendimiento o quiero iniciar uno","",CHOOSE(MOD(INT((COUNTIF($I$2:I440,I440)-1)/3),10)+1,"Portales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40" t="str">
        <f>IF(I440="Tengo un emprendimiento o quiero iniciar uno","",_xlfn.LET(_xlpm.opcion,MOD(INT((COUNTIF($I$2:I440,I440)-1)/4),6)+1,CHOOSE(IF(AND(_xlpm.opcion=3,Q440="Sí"),1,_xlpm.opcion),"Falta de experiencia","Falta de formación","Dificultades con la hoja de vida","Horarios disponibles","Transporte","Internet")))</f>
        <v>Transporte</v>
      </c>
      <c r="U440" s="9" t="str">
        <f>IF(I440="Tengo un emprendimiento o quiero iniciar uno","",IF(MOD(INT((COUNTIF($I$2:I440,I440)-1)/3),2)=0,"Sí","No"))</f>
        <v>No</v>
      </c>
      <c r="V440" s="9" t="str">
        <f>IF(I440="Tengo un emprendimiento o quiero iniciar uno",CHOOSE(MOD(COUNTIF($I$2:I440,I440)-1,3)+1,"Tengo un emprendimiento","Estoy iniciando un emprendimiento","Me interesa emprender"),"")</f>
        <v/>
      </c>
      <c r="W440" t="str">
        <f t="shared" si="114"/>
        <v/>
      </c>
      <c r="X440" s="9" t="str">
        <f>IF(I440="Tengo un emprendimiento o quiero iniciar uno",CHOOSE(MOD(COUNTIF($I$2:I440,I440)-1,5)+1,"Falta de financiación","Falta de conocimientos administrativos","Falta de conocimientos financieros","Falta de tiempo","Falta de herramientas"),"")</f>
        <v/>
      </c>
      <c r="Y440" s="9" t="str">
        <f t="shared" si="115"/>
        <v/>
      </c>
      <c r="Z440" t="str">
        <f>IF(I440="Tengo un emprendimiento o quiero iniciar uno",CHOOSE(INT(MOD((COUNTIF($I$2:I440,I440)-1)*7,39)/13)+1,"Sí","No","No conozco programas de ese tipo"),"")</f>
        <v/>
      </c>
      <c r="AA440" t="str">
        <f t="shared" si="116"/>
        <v>Puedo hacerlo con dificultad</v>
      </c>
      <c r="AB440" t="str">
        <f t="shared" si="116"/>
        <v>Puedo hacerlo con dificultad</v>
      </c>
      <c r="AC440" t="str">
        <f t="shared" si="117"/>
        <v>Puedo hacerlo con dificultad</v>
      </c>
      <c r="AD440" s="9" t="str">
        <f t="shared" si="118"/>
        <v>Puedo hacerlo con dificultad</v>
      </c>
      <c r="AE440" t="str">
        <f t="shared" si="119"/>
        <v>No puedo hacerlo</v>
      </c>
      <c r="AF440" s="9" t="str">
        <f t="shared" si="120"/>
        <v>Preparación para entrevista</v>
      </c>
      <c r="AG440" s="9" t="str">
        <f t="shared" si="121"/>
        <v>Ninguna</v>
      </c>
      <c r="AH440" t="str">
        <f t="shared" si="122"/>
        <v>Oficina de orientación laboral</v>
      </c>
      <c r="AI440" s="9" t="str">
        <f t="shared" si="123"/>
        <v>Virtual</v>
      </c>
      <c r="AJ440" s="9" t="str">
        <f t="shared" si="124"/>
        <v>Nocturno</v>
      </c>
      <c r="AK440" s="9" t="str">
        <f t="shared" si="125"/>
        <v>Redes sociales</v>
      </c>
    </row>
    <row r="441" spans="1:37">
      <c r="A441" t="str">
        <f t="shared" si="126"/>
        <v>SG440</v>
      </c>
      <c r="B441" t="s">
        <v>57</v>
      </c>
      <c r="C441" s="9" t="s">
        <v>427</v>
      </c>
      <c r="D441" t="str">
        <f t="shared" si="109"/>
        <v>Femenino</v>
      </c>
      <c r="E441" t="str">
        <f t="shared" si="110"/>
        <v>De 26 a 28 años</v>
      </c>
      <c r="F441">
        <f t="shared" si="111"/>
        <v>26</v>
      </c>
      <c r="G441" t="str">
        <f t="shared" si="128"/>
        <v>Centro poblado</v>
      </c>
      <c r="H441" s="9" t="str">
        <f t="shared" si="112"/>
        <v>Profesional</v>
      </c>
      <c r="I441" s="9" t="str">
        <f t="shared" si="113"/>
        <v>Actualmente no trabajo y estoy buscando empleo</v>
      </c>
      <c r="J441" s="13" t="str">
        <f>IF(I441="Trabajo actualmente como empleado",IF(MOD((COUNTIF($I$2:I441,"Trabajo actualmente como empleado")-1)*37,150)&lt;100,"Empleado con contrato","Empleado sin contrato formal"),IF(I441="Trabajo de manera independiente","Trabajo independiente",""))</f>
        <v/>
      </c>
      <c r="K441" s="9" t="str">
        <f>IF(OR(I441="Trabajo actualmente como empleado",I441="Trabajo de manera independiente"),CHOOSE(MOD(COUNTIF($I$2:I441,I441)-1,4)+1,"Menos de 3 meses","De 3 a 6 meses","De 7 a 12 meses","Más de un año"),"")</f>
        <v/>
      </c>
      <c r="L441" t="str">
        <f>IF(OR(I441="Trabajo actualmente como empleado",I441="Trabajo de manera independiente"),CHOOSE(MOD(COUNTIF($I$2:I441,I441)-1,3)+1,"Sí, completamente","Parcialmente","No"),"")</f>
        <v/>
      </c>
      <c r="M441" t="str">
        <f>IF(OR(I441="Trabajo actualmente como empleado",I441="Trabajo de manera independiente"),CHOOSE(MOD(INT((COUNTIF($I$2:I441,I441)-1)/3),4)+1,"1- Muy satisfecho/a","2- Satisfecho/a","3- Insatisfecho/a","4- Muy insatisfecho/a"),"")</f>
        <v/>
      </c>
      <c r="N441" t="str">
        <f>IF(OR(I441="Trabajo actualmente como empleado",I441="Trabajo de manera independiente"),_xlfn.LET(_xlpm.opcion,MOD(INT((COUNTIF($I$2:I441,I441)-1)/5),6)+1,CHOOSE(IF(AND(_xlpm.opcion=6,L441="Sí, completamente"),5,_xlpm.opcion),"Salario","Estabilidad laboral","Horario","Acceso a prestaciones","Oportunidades de crecimiento","Trabajar en un área relacionada con mi formación")),"")</f>
        <v/>
      </c>
      <c r="O441" s="9" t="str">
        <f>IF(OR(I441="Trabajo actualmente como empleado",I441="Trabajo de manera independiente"),_xlfn.LET(_xlpm.turno,MOD(COUNTIF($I$2:I441,I441)-1,5),_xlpm.nivel,VALUE(LEFT(M441,1)),IF(_xlpm.turno=4,"No estoy seguro/a",IF(_xlpm.turno&lt;IF(_xlpm.nivel&lt;=2,1,3),"Sí","No"))),"")</f>
        <v/>
      </c>
      <c r="P441" s="9" t="str">
        <f>_xlfn.LET(_xlpm.perfil,I441,_xlpm.turno,COUNTIF($I$2:I441,_xlpm.perfil)-1,_xlpm.busca,OR(_xlpm.perfil="Actualmente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trabajar"),IF(AND(_xlpm.trabaja,O441="No"),"Todavía no he iniciado una búsqueda activa",CHOOSE(MOD(_xlpm.turno*3,5)+1,"Menos de 1 mes","Entre 1 y 3 meses","Entre 4 y 6 meses","Más de 6 meses","Todavía no he iniciado una búsqueda activa")),"")))</f>
        <v>Más de 6 meses</v>
      </c>
      <c r="Q441" t="str">
        <f>IF(I441="Tengo un emprendimiento o quiero iniciar uno","",CHOOSE(MOD(INT((COUNTIF($I$2:I441,I441)-1)/7),3)+1,"Sí","No","Tengo una pero necesito actualizarla"))</f>
        <v>Tengo una pero necesito actualizarla</v>
      </c>
      <c r="R441" s="9" t="str">
        <f>IF(I441="Tengo un emprendimiento o quiero iniciar uno","",IF(I441="Busco mi primer empleo","No",IF(MOD(COUNTIF($I$2:I441,I441)-1,2)=0,"Sí","No")))</f>
        <v>No</v>
      </c>
      <c r="S441" t="str">
        <f>IF(I441="Tengo un emprendimiento o quiero iniciar uno","",CHOOSE(MOD(INT((COUNTIF($I$2:I441,I441)-1)/3),10)+1,"Portales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41" t="str">
        <f>IF(I441="Tengo un emprendimiento o quiero iniciar uno","",_xlfn.LET(_xlpm.opcion,MOD(INT((COUNTIF($I$2:I441,I441)-1)/4),6)+1,CHOOSE(IF(AND(_xlpm.opcion=3,Q441="Sí"),1,_xlpm.opcion),"Falta de experiencia","Falta de formación","Dificultades con la hoja de vida","Horarios disponibles","Transporte","Internet")))</f>
        <v>Dificultades con la hoja de vida</v>
      </c>
      <c r="U441" s="9" t="str">
        <f>IF(I441="Tengo un emprendimiento o quiero iniciar uno","",IF(MOD(INT((COUNTIF($I$2:I441,I441)-1)/3),2)=0,"Sí","No"))</f>
        <v>No</v>
      </c>
      <c r="V441" s="9" t="str">
        <f>IF(I441="Tengo un emprendimiento o quiero iniciar uno",CHOOSE(MOD(COUNTIF($I$2:I441,I441)-1,3)+1,"Tengo un emprendimiento","Estoy iniciando un emprendimiento","Me interesa emprender"),"")</f>
        <v/>
      </c>
      <c r="W441" t="str">
        <f t="shared" si="114"/>
        <v/>
      </c>
      <c r="X441" s="9" t="str">
        <f>IF(I441="Tengo un emprendimiento o quiero iniciar uno",CHOOSE(MOD(COUNTIF($I$2:I441,I441)-1,5)+1,"Falta de financiación","Falta de conocimientos administrativos","Falta de conocimientos financieros","Falta de tiempo","Falta de herramientas"),"")</f>
        <v/>
      </c>
      <c r="Y441" s="9" t="str">
        <f t="shared" si="115"/>
        <v/>
      </c>
      <c r="Z441" t="str">
        <f>IF(I441="Tengo un emprendimiento o quiero iniciar uno",CHOOSE(INT(MOD((COUNTIF($I$2:I441,I441)-1)*7,39)/13)+1,"Sí","No","No conozco programas de ese tipo"),"")</f>
        <v/>
      </c>
      <c r="AA441" t="str">
        <f t="shared" si="116"/>
        <v>No puedo hacerlo</v>
      </c>
      <c r="AB441" t="str">
        <f t="shared" si="116"/>
        <v>No puedo hacerlo</v>
      </c>
      <c r="AC441" t="str">
        <f t="shared" si="117"/>
        <v>No puedo hacerlo</v>
      </c>
      <c r="AD441" s="9" t="str">
        <f t="shared" si="118"/>
        <v>Puedo hacerlo sin ayuda</v>
      </c>
      <c r="AE441" t="str">
        <f t="shared" si="119"/>
        <v>Puedo hacerlo con ayuda</v>
      </c>
      <c r="AF441" s="9" t="str">
        <f t="shared" si="120"/>
        <v>Comunicación</v>
      </c>
      <c r="AG441" s="9" t="str">
        <f t="shared" si="121"/>
        <v>Ninguna</v>
      </c>
      <c r="AH441" t="str">
        <f t="shared" si="122"/>
        <v>Programas de emprendimiento</v>
      </c>
      <c r="AI441" s="9" t="str">
        <f t="shared" si="123"/>
        <v>Presencial y virtual</v>
      </c>
      <c r="AJ441" s="9" t="str">
        <f t="shared" si="124"/>
        <v>Mañana entre semana</v>
      </c>
      <c r="AK441" s="9" t="str">
        <f t="shared" si="125"/>
        <v>WhatsApp</v>
      </c>
    </row>
    <row r="442" spans="1:37">
      <c r="A442" t="str">
        <f t="shared" si="126"/>
        <v>SG441</v>
      </c>
      <c r="B442" t="s">
        <v>57</v>
      </c>
      <c r="C442" s="9" t="s">
        <v>427</v>
      </c>
      <c r="D442" t="str">
        <f t="shared" si="109"/>
        <v>Femenino</v>
      </c>
      <c r="E442" t="str">
        <f t="shared" si="110"/>
        <v>De 18 a 20 años</v>
      </c>
      <c r="F442">
        <f t="shared" si="111"/>
        <v>18</v>
      </c>
      <c r="G442" t="str">
        <f t="shared" si="128"/>
        <v>Rural</v>
      </c>
      <c r="H442" s="9" t="str">
        <f t="shared" si="112"/>
        <v>Tecnólogo</v>
      </c>
      <c r="I442" s="9" t="str">
        <f t="shared" si="113"/>
        <v>Estudio y quiero comenzar a trabajar</v>
      </c>
      <c r="J442" s="13" t="str">
        <f>IF(I442="Trabajo actualmente como empleado",IF(MOD((COUNTIF($I$2:I442,"Trabajo actualmente como empleado")-1)*37,150)&lt;100,"Empleado con contrato","Empleado sin contrato formal"),IF(I442="Trabajo de manera independiente","Trabajo independiente",""))</f>
        <v/>
      </c>
      <c r="K442" s="9" t="str">
        <f>IF(OR(I442="Trabajo actualmente como empleado",I442="Trabajo de manera independiente"),CHOOSE(MOD(COUNTIF($I$2:I442,I442)-1,4)+1,"Menos de 3 meses","De 3 a 6 meses","De 7 a 12 meses","Más de un año"),"")</f>
        <v/>
      </c>
      <c r="L442" t="str">
        <f>IF(OR(I442="Trabajo actualmente como empleado",I442="Trabajo de manera independiente"),CHOOSE(MOD(COUNTIF($I$2:I442,I442)-1,3)+1,"Sí, completamente","Parcialmente","No"),"")</f>
        <v/>
      </c>
      <c r="M442" t="str">
        <f>IF(OR(I442="Trabajo actualmente como empleado",I442="Trabajo de manera independiente"),CHOOSE(MOD(INT((COUNTIF($I$2:I442,I442)-1)/3),4)+1,"1- Muy satisfecho/a","2- Satisfecho/a","3- Insatisfecho/a","4- Muy insatisfecho/a"),"")</f>
        <v/>
      </c>
      <c r="N442" t="str">
        <f>IF(OR(I442="Trabajo actualmente como empleado",I442="Trabajo de manera independiente"),_xlfn.LET(_xlpm.opcion,MOD(INT((COUNTIF($I$2:I442,I442)-1)/5),6)+1,CHOOSE(IF(AND(_xlpm.opcion=6,L442="Sí, completamente"),5,_xlpm.opcion),"Salario","Estabilidad laboral","Horario","Acceso a prestaciones","Oportunidades de crecimiento","Trabajar en un área relacionada con mi formación")),"")</f>
        <v/>
      </c>
      <c r="O442" s="9" t="str">
        <f>IF(OR(I442="Trabajo actualmente como empleado",I442="Trabajo de manera independiente"),_xlfn.LET(_xlpm.turno,MOD(COUNTIF($I$2:I442,I442)-1,5),_xlpm.nivel,VALUE(LEFT(M442,1)),IF(_xlpm.turno=4,"No estoy seguro/a",IF(_xlpm.turno&lt;IF(_xlpm.nivel&lt;=2,1,3),"Sí","No"))),"")</f>
        <v/>
      </c>
      <c r="P442" s="9" t="str">
        <f>_xlfn.LET(_xlpm.perfil,I442,_xlpm.turno,COUNTIF($I$2:I442,_xlpm.perfil)-1,_xlpm.busca,OR(_xlpm.perfil="Actualmente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trabajar"),IF(AND(_xlpm.trabaja,O442="No"),"Todavía no he iniciado una búsqueda activa",CHOOSE(MOD(_xlpm.turno*3,5)+1,"Menos de 1 mes","Entre 1 y 3 meses","Entre 4 y 6 meses","Más de 6 meses","Todavía no he iniciado una búsqueda activa")),"")))</f>
        <v>Entre 4 y 6 meses</v>
      </c>
      <c r="Q442" t="str">
        <f>IF(I442="Tengo un emprendimiento o quiero iniciar uno","",CHOOSE(MOD(INT((COUNTIF($I$2:I442,I442)-1)/7),3)+1,"Sí","No","Tengo una pero necesito actualizarla"))</f>
        <v>No</v>
      </c>
      <c r="R442" s="9" t="str">
        <f>IF(I442="Tengo un emprendimiento o quiero iniciar uno","",IF(I442="Busco mi primer empleo","No",IF(MOD(COUNTIF($I$2:I442,I442)-1,2)=0,"Sí","No")))</f>
        <v>Sí</v>
      </c>
      <c r="S442" t="str">
        <f>IF(I442="Tengo un emprendimiento o quiero iniciar uno","",CHOOSE(MOD(INT((COUNTIF($I$2:I442,I442)-1)/3),10)+1,"Portales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42" t="str">
        <f>IF(I442="Tengo un emprendimiento o quiero iniciar uno","",_xlfn.LET(_xlpm.opcion,MOD(INT((COUNTIF($I$2:I442,I442)-1)/4),6)+1,CHOOSE(IF(AND(_xlpm.opcion=3,Q442="Sí"),1,_xlpm.opcion),"Falta de experiencia","Falta de formación","Dificultades con la hoja de vida","Horarios disponibles","Transporte","Internet")))</f>
        <v>Falta de formación</v>
      </c>
      <c r="U442" s="9" t="str">
        <f>IF(I442="Tengo un emprendimiento o quiero iniciar uno","",IF(MOD(INT((COUNTIF($I$2:I442,I442)-1)/3),2)=0,"Sí","No"))</f>
        <v>Sí</v>
      </c>
      <c r="V442" s="9" t="str">
        <f>IF(I442="Tengo un emprendimiento o quiero iniciar uno",CHOOSE(MOD(COUNTIF($I$2:I442,I442)-1,3)+1,"Tengo un emprendimiento","Estoy iniciando un emprendimiento","Me interesa emprender"),"")</f>
        <v/>
      </c>
      <c r="W442" t="str">
        <f t="shared" si="114"/>
        <v/>
      </c>
      <c r="X442" s="9" t="str">
        <f>IF(I442="Tengo un emprendimiento o quiero iniciar uno",CHOOSE(MOD(COUNTIF($I$2:I442,I442)-1,5)+1,"Falta de financiación","Falta de conocimientos administrativos","Falta de conocimientos financieros","Falta de tiempo","Falta de herramientas"),"")</f>
        <v/>
      </c>
      <c r="Y442" s="9" t="str">
        <f t="shared" si="115"/>
        <v/>
      </c>
      <c r="Z442" t="str">
        <f>IF(I442="Tengo un emprendimiento o quiero iniciar uno",CHOOSE(INT(MOD((COUNTIF($I$2:I442,I442)-1)*7,39)/13)+1,"Sí","No","No conozco programas de ese tipo"),"")</f>
        <v/>
      </c>
      <c r="AA442" t="str">
        <f t="shared" si="116"/>
        <v>Puedo hacerlo con ayuda</v>
      </c>
      <c r="AB442" t="str">
        <f t="shared" si="116"/>
        <v>Puedo hacerlo con ayuda</v>
      </c>
      <c r="AC442" t="str">
        <f t="shared" si="117"/>
        <v>Puedo hacerlo con ayuda</v>
      </c>
      <c r="AD442" s="9" t="str">
        <f t="shared" si="118"/>
        <v>No puedo hacerlo</v>
      </c>
      <c r="AE442" t="str">
        <f t="shared" si="119"/>
        <v>Puedo hacerlo con ayuda</v>
      </c>
      <c r="AF442" s="9" t="str">
        <f t="shared" si="120"/>
        <v>Liderazgo</v>
      </c>
      <c r="AG442" s="9" t="str">
        <f t="shared" si="121"/>
        <v>Ninguna</v>
      </c>
      <c r="AH442" t="str">
        <f t="shared" si="122"/>
        <v>No conozco ninguno</v>
      </c>
      <c r="AI442" s="9" t="str">
        <f t="shared" si="123"/>
        <v>Me es indiferente</v>
      </c>
      <c r="AJ442" s="9" t="str">
        <f t="shared" si="124"/>
        <v>Fines de semana</v>
      </c>
      <c r="AK442" s="9" t="str">
        <f t="shared" si="125"/>
        <v>Correo electrónico</v>
      </c>
    </row>
    <row r="443" spans="1:37">
      <c r="A443" t="str">
        <f t="shared" si="126"/>
        <v>SG442</v>
      </c>
      <c r="B443" t="s">
        <v>57</v>
      </c>
      <c r="C443" s="9" t="s">
        <v>427</v>
      </c>
      <c r="D443" t="str">
        <f t="shared" si="109"/>
        <v>Masculino</v>
      </c>
      <c r="E443" t="str">
        <f t="shared" si="110"/>
        <v>De 20 a 22 años</v>
      </c>
      <c r="F443">
        <f t="shared" si="111"/>
        <v>20</v>
      </c>
      <c r="G443" t="str">
        <f t="shared" si="128"/>
        <v>Centro poblado</v>
      </c>
      <c r="H443" s="9" t="str">
        <f t="shared" si="112"/>
        <v>Tecnólogo</v>
      </c>
      <c r="I443" s="9" t="str">
        <f t="shared" si="113"/>
        <v>Trabajo actualmente como empleado</v>
      </c>
      <c r="J443" s="13" t="str">
        <f>IF(I443="Trabajo actualmente como empleado",IF(MOD((COUNTIF($I$2:I443,"Trabajo actualmente como empleado")-1)*37,150)&lt;100,"Empleado con contrato","Empleado sin contrato formal"),IF(I443="Trabajo de manera independiente","Trabajo independiente",""))</f>
        <v>Empleado con contrato</v>
      </c>
      <c r="K443" s="9" t="str">
        <f>IF(OR(I443="Trabajo actualmente como empleado",I443="Trabajo de manera independiente"),CHOOSE(MOD(COUNTIF($I$2:I443,I443)-1,4)+1,"Menos de 3 meses","De 3 a 6 meses","De 7 a 12 meses","Más de un año"),"")</f>
        <v>De 7 a 12 meses</v>
      </c>
      <c r="L443" t="str">
        <f>IF(OR(I443="Trabajo actualmente como empleado",I443="Trabajo de manera independiente"),CHOOSE(MOD(COUNTIF($I$2:I443,I443)-1,3)+1,"Sí, completamente","Parcialmente","No"),"")</f>
        <v>Sí, completamente</v>
      </c>
      <c r="M443" t="str">
        <f>IF(OR(I443="Trabajo actualmente como empleado",I443="Trabajo de manera independiente"),CHOOSE(MOD(INT((COUNTIF($I$2:I443,I443)-1)/3),4)+1,"1- Muy satisfecho/a","2- Satisfecho/a","3- Insatisfecho/a","4- Muy insatisfecho/a"),"")</f>
        <v>3- Insatisfecho/a</v>
      </c>
      <c r="N443" t="str">
        <f>IF(OR(I443="Trabajo actualmente como empleado",I443="Trabajo de manera independiente"),_xlfn.LET(_xlpm.opcion,MOD(INT((COUNTIF($I$2:I443,I443)-1)/5),6)+1,CHOOSE(IF(AND(_xlpm.opcion=6,L443="Sí, completamente"),5,_xlpm.opcion),"Salario","Estabilidad laboral","Horario","Acceso a prestaciones","Oportunidades de crecimiento","Trabajar en un área relacionada con mi formación")),"")</f>
        <v>Acceso a prestaciones</v>
      </c>
      <c r="O443" s="9" t="str">
        <f>IF(OR(I443="Trabajo actualmente como empleado",I443="Trabajo de manera independiente"),_xlfn.LET(_xlpm.turno,MOD(COUNTIF($I$2:I443,I443)-1,5),_xlpm.nivel,VALUE(LEFT(M443,1)),IF(_xlpm.turno=4,"No estoy seguro/a",IF(_xlpm.turno&lt;IF(_xlpm.nivel&lt;=2,1,3),"Sí","No"))),"")</f>
        <v>No</v>
      </c>
      <c r="P443" s="9" t="str">
        <f>_xlfn.LET(_xlpm.perfil,I443,_xlpm.turno,COUNTIF($I$2:I443,_xlpm.perfil)-1,_xlpm.busca,OR(_xlpm.perfil="Actualmente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43" t="str">
        <f>IF(I443="Tengo un emprendimiento o quiero iniciar uno","",CHOOSE(MOD(INT((COUNTIF($I$2:I443,I443)-1)/7),3)+1,"Sí","No","Tengo una pero necesito actualizarla"))</f>
        <v>No</v>
      </c>
      <c r="R443" s="9" t="str">
        <f>IF(I443="Tengo un emprendimiento o quiero iniciar uno","",IF(I443="Busco mi primer empleo","No",IF(MOD(COUNTIF($I$2:I443,I443)-1,2)=0,"Sí","No")))</f>
        <v>Sí</v>
      </c>
      <c r="S443" t="str">
        <f>IF(I443="Tengo un emprendimiento o quiero iniciar uno","",CHOOSE(MOD(INT((COUNTIF($I$2:I443,I443)-1)/3),10)+1,"Portales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43" t="str">
        <f>IF(I443="Tengo un emprendimiento o quiero iniciar uno","",_xlfn.LET(_xlpm.opcion,MOD(INT((COUNTIF($I$2:I443,I443)-1)/4),6)+1,CHOOSE(IF(AND(_xlpm.opcion=3,Q443="Sí"),1,_xlpm.opcion),"Falta de experiencia","Falta de formación","Dificultades con la hoja de vida","Horarios disponibles","Transporte","Internet")))</f>
        <v>Transporte</v>
      </c>
      <c r="U443" s="9" t="str">
        <f>IF(I443="Tengo un emprendimiento o quiero iniciar uno","",IF(MOD(INT((COUNTIF($I$2:I443,I443)-1)/3),2)=0,"Sí","No"))</f>
        <v>Sí</v>
      </c>
      <c r="V443" s="9" t="str">
        <f>IF(I443="Tengo un emprendimiento o quiero iniciar uno",CHOOSE(MOD(COUNTIF($I$2:I443,I443)-1,3)+1,"Tengo un emprendimiento","Estoy iniciando un emprendimiento","Me interesa emprender"),"")</f>
        <v/>
      </c>
      <c r="W443" t="str">
        <f t="shared" si="114"/>
        <v/>
      </c>
      <c r="X443" s="9" t="str">
        <f>IF(I443="Tengo un emprendimiento o quiero iniciar uno",CHOOSE(MOD(COUNTIF($I$2:I443,I443)-1,5)+1,"Falta de financiación","Falta de conocimientos administrativos","Falta de conocimientos financieros","Falta de tiempo","Falta de herramientas"),"")</f>
        <v/>
      </c>
      <c r="Y443" s="9" t="str">
        <f t="shared" si="115"/>
        <v/>
      </c>
      <c r="Z443" t="str">
        <f>IF(I443="Tengo un emprendimiento o quiero iniciar uno",CHOOSE(INT(MOD((COUNTIF($I$2:I443,I443)-1)*7,39)/13)+1,"Sí","No","No conozco programas de ese tipo"),"")</f>
        <v/>
      </c>
      <c r="AA443" t="str">
        <f t="shared" si="116"/>
        <v>Puedo hacerlo sin ayuda</v>
      </c>
      <c r="AB443" t="str">
        <f t="shared" si="116"/>
        <v>Puedo hacerlo sin ayuda</v>
      </c>
      <c r="AC443" t="str">
        <f t="shared" si="117"/>
        <v>Puedo hacerlo con dificultad</v>
      </c>
      <c r="AD443" s="9" t="str">
        <f t="shared" si="118"/>
        <v>No puedo hacerlo</v>
      </c>
      <c r="AE443" t="str">
        <f t="shared" si="119"/>
        <v>Puedo hacerlo con dificultad</v>
      </c>
      <c r="AF443" s="9" t="str">
        <f t="shared" si="120"/>
        <v>Emprendimiento</v>
      </c>
      <c r="AG443" s="9" t="str">
        <f t="shared" si="121"/>
        <v>Falta de experiencia</v>
      </c>
      <c r="AH443" t="str">
        <f t="shared" si="122"/>
        <v>Ferias de empleo</v>
      </c>
      <c r="AI443" s="9" t="str">
        <f t="shared" si="123"/>
        <v>Presencial</v>
      </c>
      <c r="AJ443" s="9" t="str">
        <f t="shared" si="124"/>
        <v>Nocturno</v>
      </c>
      <c r="AK443" s="9" t="str">
        <f t="shared" si="125"/>
        <v>Celular</v>
      </c>
    </row>
    <row r="444" spans="1:37">
      <c r="A444" t="str">
        <f t="shared" si="126"/>
        <v>SG443</v>
      </c>
      <c r="B444" t="s">
        <v>57</v>
      </c>
      <c r="C444" s="9" t="s">
        <v>427</v>
      </c>
      <c r="D444" t="str">
        <f t="shared" si="109"/>
        <v>Masculino</v>
      </c>
      <c r="E444" t="str">
        <f t="shared" si="110"/>
        <v>De 22 a 24 años</v>
      </c>
      <c r="F444">
        <f t="shared" si="111"/>
        <v>22</v>
      </c>
      <c r="G444" t="str">
        <f t="shared" si="128"/>
        <v>Rural</v>
      </c>
      <c r="H444" s="9" t="str">
        <f t="shared" si="112"/>
        <v>Profesional</v>
      </c>
      <c r="I444" s="9" t="str">
        <f t="shared" si="113"/>
        <v>Actualmente no trabajo y estoy buscando empleo</v>
      </c>
      <c r="J444" s="13" t="str">
        <f>IF(I444="Trabajo actualmente como empleado",IF(MOD((COUNTIF($I$2:I444,"Trabajo actualmente como empleado")-1)*37,150)&lt;100,"Empleado con contrato","Empleado sin contrato formal"),IF(I444="Trabajo de manera independiente","Trabajo independiente",""))</f>
        <v/>
      </c>
      <c r="K444" s="9" t="str">
        <f>IF(OR(I444="Trabajo actualmente como empleado",I444="Trabajo de manera independiente"),CHOOSE(MOD(COUNTIF($I$2:I444,I444)-1,4)+1,"Menos de 3 meses","De 3 a 6 meses","De 7 a 12 meses","Más de un año"),"")</f>
        <v/>
      </c>
      <c r="L444" t="str">
        <f>IF(OR(I444="Trabajo actualmente como empleado",I444="Trabajo de manera independiente"),CHOOSE(MOD(COUNTIF($I$2:I444,I444)-1,3)+1,"Sí, completamente","Parcialmente","No"),"")</f>
        <v/>
      </c>
      <c r="M444" t="str">
        <f>IF(OR(I444="Trabajo actualmente como empleado",I444="Trabajo de manera independiente"),CHOOSE(MOD(INT((COUNTIF($I$2:I444,I444)-1)/3),4)+1,"1- Muy satisfecho/a","2- Satisfecho/a","3- Insatisfecho/a","4- Muy insatisfecho/a"),"")</f>
        <v/>
      </c>
      <c r="N444" t="str">
        <f>IF(OR(I444="Trabajo actualmente como empleado",I444="Trabajo de manera independiente"),_xlfn.LET(_xlpm.opcion,MOD(INT((COUNTIF($I$2:I444,I444)-1)/5),6)+1,CHOOSE(IF(AND(_xlpm.opcion=6,L444="Sí, completamente"),5,_xlpm.opcion),"Salario","Estabilidad laboral","Horario","Acceso a prestaciones","Oportunidades de crecimiento","Trabajar en un área relacionada con mi formación")),"")</f>
        <v/>
      </c>
      <c r="O444" s="9" t="str">
        <f>IF(OR(I444="Trabajo actualmente como empleado",I444="Trabajo de manera independiente"),_xlfn.LET(_xlpm.turno,MOD(COUNTIF($I$2:I444,I444)-1,5),_xlpm.nivel,VALUE(LEFT(M444,1)),IF(_xlpm.turno=4,"No estoy seguro/a",IF(_xlpm.turno&lt;IF(_xlpm.nivel&lt;=2,1,3),"Sí","No"))),"")</f>
        <v/>
      </c>
      <c r="P444" s="9" t="str">
        <f>_xlfn.LET(_xlpm.perfil,I444,_xlpm.turno,COUNTIF($I$2:I444,_xlpm.perfil)-1,_xlpm.busca,OR(_xlpm.perfil="Actualmente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trabajar"),IF(AND(_xlpm.trabaja,O444="No"),"Todavía no he iniciado una búsqueda activa",CHOOSE(MOD(_xlpm.turno*3,5)+1,"Menos de 1 mes","Entre 1 y 3 meses","Entre 4 y 6 meses","Más de 6 meses","Todavía no he iniciado una búsqueda activa")),"")))</f>
        <v>Entre 4 y 6 meses</v>
      </c>
      <c r="Q444" t="str">
        <f>IF(I444="Tengo un emprendimiento o quiero iniciar uno","",CHOOSE(MOD(INT((COUNTIF($I$2:I444,I444)-1)/7),3)+1,"Sí","No","Tengo una pero necesito actualizarla"))</f>
        <v>Tengo una pero necesito actualizarla</v>
      </c>
      <c r="R444" s="9" t="str">
        <f>IF(I444="Tengo un emprendimiento o quiero iniciar uno","",IF(I444="Busco mi primer empleo","No",IF(MOD(COUNTIF($I$2:I444,I444)-1,2)=0,"Sí","No")))</f>
        <v>Sí</v>
      </c>
      <c r="S444" t="str">
        <f>IF(I444="Tengo un emprendimiento o quiero iniciar uno","",CHOOSE(MOD(INT((COUNTIF($I$2:I444,I444)-1)/3),10)+1,"Portales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44" t="str">
        <f>IF(I444="Tengo un emprendimiento o quiero iniciar uno","",_xlfn.LET(_xlpm.opcion,MOD(INT((COUNTIF($I$2:I444,I444)-1)/4),6)+1,CHOOSE(IF(AND(_xlpm.opcion=3,Q444="Sí"),1,_xlpm.opcion),"Falta de experiencia","Falta de formación","Dificultades con la hoja de vida","Horarios disponibles","Transporte","Internet")))</f>
        <v>Dificultades con la hoja de vida</v>
      </c>
      <c r="U444" s="9" t="str">
        <f>IF(I444="Tengo un emprendimiento o quiero iniciar uno","",IF(MOD(INT((COUNTIF($I$2:I444,I444)-1)/3),2)=0,"Sí","No"))</f>
        <v>No</v>
      </c>
      <c r="V444" s="9" t="str">
        <f>IF(I444="Tengo un emprendimiento o quiero iniciar uno",CHOOSE(MOD(COUNTIF($I$2:I444,I444)-1,3)+1,"Tengo un emprendimiento","Estoy iniciando un emprendimiento","Me interesa emprender"),"")</f>
        <v/>
      </c>
      <c r="W444" t="str">
        <f t="shared" si="114"/>
        <v/>
      </c>
      <c r="X444" s="9" t="str">
        <f>IF(I444="Tengo un emprendimiento o quiero iniciar uno",CHOOSE(MOD(COUNTIF($I$2:I444,I444)-1,5)+1,"Falta de financiación","Falta de conocimientos administrativos","Falta de conocimientos financieros","Falta de tiempo","Falta de herramientas"),"")</f>
        <v/>
      </c>
      <c r="Y444" s="9" t="str">
        <f t="shared" si="115"/>
        <v/>
      </c>
      <c r="Z444" t="str">
        <f>IF(I444="Tengo un emprendimiento o quiero iniciar uno",CHOOSE(INT(MOD((COUNTIF($I$2:I444,I444)-1)*7,39)/13)+1,"Sí","No","No conozco programas de ese tipo"),"")</f>
        <v/>
      </c>
      <c r="AA444" t="str">
        <f t="shared" si="116"/>
        <v>No puedo hacerlo</v>
      </c>
      <c r="AB444" t="str">
        <f t="shared" si="116"/>
        <v>No puedo hacerlo</v>
      </c>
      <c r="AC444" t="str">
        <f t="shared" si="117"/>
        <v>No puedo hacerlo</v>
      </c>
      <c r="AD444" s="9" t="str">
        <f t="shared" si="118"/>
        <v>Puedo hacerlo con ayuda</v>
      </c>
      <c r="AE444" t="str">
        <f t="shared" si="119"/>
        <v>Puedo hacerlo con dificultad</v>
      </c>
      <c r="AF444" s="9" t="str">
        <f t="shared" si="120"/>
        <v>Herramientas digitales</v>
      </c>
      <c r="AG444" s="9" t="str">
        <f t="shared" si="121"/>
        <v>Falta de experiencia</v>
      </c>
      <c r="AH444" t="str">
        <f t="shared" si="122"/>
        <v>No conozco ninguno</v>
      </c>
      <c r="AI444" s="9" t="str">
        <f t="shared" si="123"/>
        <v>Virtual</v>
      </c>
      <c r="AJ444" s="9" t="str">
        <f t="shared" si="124"/>
        <v>Mañana entre semana</v>
      </c>
      <c r="AK444" s="9" t="str">
        <f t="shared" si="125"/>
        <v>WhatsApp</v>
      </c>
    </row>
    <row r="445" spans="1:37">
      <c r="A445" t="str">
        <f t="shared" si="126"/>
        <v>SG444</v>
      </c>
      <c r="B445" t="s">
        <v>57</v>
      </c>
      <c r="C445" s="9" t="s">
        <v>427</v>
      </c>
      <c r="D445" t="str">
        <f t="shared" si="109"/>
        <v>Femenino</v>
      </c>
      <c r="E445" t="str">
        <f t="shared" si="110"/>
        <v>De 24 a 26 años</v>
      </c>
      <c r="F445">
        <f t="shared" si="111"/>
        <v>24</v>
      </c>
      <c r="G445" t="str">
        <f t="shared" si="128"/>
        <v>Centro poblado</v>
      </c>
      <c r="H445" s="9" t="str">
        <f t="shared" si="112"/>
        <v>Profesional</v>
      </c>
      <c r="I445" s="9" t="str">
        <f t="shared" si="113"/>
        <v>Tengo un emprendimiento o quiero iniciar uno</v>
      </c>
      <c r="J445" s="13" t="str">
        <f>IF(I445="Trabajo actualmente como empleado",IF(MOD((COUNTIF($I$2:I445,"Trabajo actualmente como empleado")-1)*37,150)&lt;100,"Empleado con contrato","Empleado sin contrato formal"),IF(I445="Trabajo de manera independiente","Trabajo independiente",""))</f>
        <v/>
      </c>
      <c r="K445" s="9" t="str">
        <f>IF(OR(I445="Trabajo actualmente como empleado",I445="Trabajo de manera independiente"),CHOOSE(MOD(COUNTIF($I$2:I445,I445)-1,4)+1,"Menos de 3 meses","De 3 a 6 meses","De 7 a 12 meses","Más de un año"),"")</f>
        <v/>
      </c>
      <c r="L445" t="str">
        <f>IF(OR(I445="Trabajo actualmente como empleado",I445="Trabajo de manera independiente"),CHOOSE(MOD(COUNTIF($I$2:I445,I445)-1,3)+1,"Sí, completamente","Parcialmente","No"),"")</f>
        <v/>
      </c>
      <c r="M445" t="str">
        <f>IF(OR(I445="Trabajo actualmente como empleado",I445="Trabajo de manera independiente"),CHOOSE(MOD(INT((COUNTIF($I$2:I445,I445)-1)/3),4)+1,"1- Muy satisfecho/a","2- Satisfecho/a","3- Insatisfecho/a","4- Muy insatisfecho/a"),"")</f>
        <v/>
      </c>
      <c r="N445" t="str">
        <f>IF(OR(I445="Trabajo actualmente como empleado",I445="Trabajo de manera independiente"),_xlfn.LET(_xlpm.opcion,MOD(INT((COUNTIF($I$2:I445,I445)-1)/5),6)+1,CHOOSE(IF(AND(_xlpm.opcion=6,L445="Sí, completamente"),5,_xlpm.opcion),"Salario","Estabilidad laboral","Horario","Acceso a prestaciones","Oportunidades de crecimiento","Trabajar en un área relacionada con mi formación")),"")</f>
        <v/>
      </c>
      <c r="O445" s="9" t="str">
        <f>IF(OR(I445="Trabajo actualmente como empleado",I445="Trabajo de manera independiente"),_xlfn.LET(_xlpm.turno,MOD(COUNTIF($I$2:I445,I445)-1,5),_xlpm.nivel,VALUE(LEFT(M445,1)),IF(_xlpm.turno=4,"No estoy seguro/a",IF(_xlpm.turno&lt;IF(_xlpm.nivel&lt;=2,1,3),"Sí","No"))),"")</f>
        <v/>
      </c>
      <c r="P445" s="9" t="str">
        <f>_xlfn.LET(_xlpm.perfil,I445,_xlpm.turno,COUNTIF($I$2:I445,_xlpm.perfil)-1,_xlpm.busca,OR(_xlpm.perfil="Actualmente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trabajar"),IF(AND(_xlpm.trabaja,O445="No"),"Todavía no he iniciado una búsqueda activa",CHOOSE(MOD(_xlpm.turno*3,5)+1,"Menos de 1 mes","Entre 1 y 3 meses","Entre 4 y 6 meses","Más de 6 meses","Todavía no he iniciado una búsqueda activa")),"")))</f>
        <v/>
      </c>
      <c r="Q445" t="str">
        <f>IF(I445="Tengo un emprendimiento o quiero iniciar uno","",CHOOSE(MOD(INT((COUNTIF($I$2:I445,I445)-1)/7),3)+1,"Sí","No","Tengo una pero necesito actualizarla"))</f>
        <v/>
      </c>
      <c r="R445" s="9" t="str">
        <f>IF(I445="Tengo un emprendimiento o quiero iniciar uno","",IF(I445="Busco mi primer empleo","No",IF(MOD(COUNTIF($I$2:I445,I445)-1,2)=0,"Sí","No")))</f>
        <v/>
      </c>
      <c r="S445" t="str">
        <f>IF(I445="Tengo un emprendimiento o quiero iniciar uno","",CHOOSE(MOD(INT((COUNTIF($I$2:I445,I445)-1)/3),10)+1,"Portales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445" t="str">
        <f>IF(I445="Tengo un emprendimiento o quiero iniciar uno","",_xlfn.LET(_xlpm.opcion,MOD(INT((COUNTIF($I$2:I445,I445)-1)/4),6)+1,CHOOSE(IF(AND(_xlpm.opcion=3,Q445="Sí"),1,_xlpm.opcion),"Falta de experiencia","Falta de formación","Dificultades con la hoja de vida","Horarios disponibles","Transporte","Internet")))</f>
        <v/>
      </c>
      <c r="U445" s="9" t="str">
        <f>IF(I445="Tengo un emprendimiento o quiero iniciar uno","",IF(MOD(INT((COUNTIF($I$2:I445,I445)-1)/3),2)=0,"Sí","No"))</f>
        <v/>
      </c>
      <c r="V445" s="9" t="str">
        <f>IF(I445="Tengo un emprendimiento o quiero iniciar uno",CHOOSE(MOD(COUNTIF($I$2:I445,I445)-1,3)+1,"Tengo un emprendimiento","Estoy iniciando un emprendimiento","Me interesa emprender"),"")</f>
        <v>Tengo un emprendimiento</v>
      </c>
      <c r="W445" t="str">
        <f t="shared" si="114"/>
        <v>Funcionamiento estable</v>
      </c>
      <c r="X445" s="9" t="str">
        <f>IF(I445="Tengo un emprendimiento o quiero iniciar uno",CHOOSE(MOD(COUNTIF($I$2:I445,I445)-1,5)+1,"Falta de financiación","Falta de conocimientos administrativos","Falta de conocimientos financieros","Falta de tiempo","Falta de herramientas"),"")</f>
        <v>Falta de conocimientos administrativos</v>
      </c>
      <c r="Y445" s="9" t="str">
        <f t="shared" si="115"/>
        <v>Falta de conocimientos administrativos</v>
      </c>
      <c r="Z445" t="str">
        <f>IF(I445="Tengo un emprendimiento o quiero iniciar uno",CHOOSE(INT(MOD((COUNTIF($I$2:I445,I445)-1)*7,39)/13)+1,"Sí","No","No conozco programas de ese tipo"),"")</f>
        <v>No</v>
      </c>
      <c r="AA445" t="str">
        <f t="shared" si="116"/>
        <v>Puedo hacerlo con dificultad</v>
      </c>
      <c r="AB445" t="str">
        <f t="shared" si="116"/>
        <v>Puedo hacerlo con dificultad</v>
      </c>
      <c r="AC445" t="str">
        <f t="shared" si="117"/>
        <v>Puedo hacerlo con ayuda</v>
      </c>
      <c r="AD445" s="9" t="str">
        <f t="shared" si="118"/>
        <v>Puedo hacerlo con dificultad</v>
      </c>
      <c r="AE445" t="str">
        <f t="shared" si="119"/>
        <v>Puedo hacerlo sin ayuda</v>
      </c>
      <c r="AF445" s="9" t="str">
        <f t="shared" si="120"/>
        <v>Educación financiera</v>
      </c>
      <c r="AG445" s="9" t="str">
        <f t="shared" si="121"/>
        <v>Falta de experiencia</v>
      </c>
      <c r="AH445" t="str">
        <f t="shared" si="122"/>
        <v>Oficina de orientación laboral</v>
      </c>
      <c r="AI445" s="9" t="str">
        <f t="shared" si="123"/>
        <v>Presencial y virtual</v>
      </c>
      <c r="AJ445" s="9" t="str">
        <f t="shared" si="124"/>
        <v>Fines de semana</v>
      </c>
      <c r="AK445" s="9" t="str">
        <f t="shared" si="125"/>
        <v>Redes sociales</v>
      </c>
    </row>
    <row r="446" spans="1:37">
      <c r="A446" t="str">
        <f t="shared" si="126"/>
        <v>SG445</v>
      </c>
      <c r="B446" t="s">
        <v>57</v>
      </c>
      <c r="C446" s="9" t="s">
        <v>427</v>
      </c>
      <c r="D446" t="str">
        <f t="shared" si="109"/>
        <v>No quiero responder</v>
      </c>
      <c r="E446" t="str">
        <f t="shared" si="110"/>
        <v>De 26 a 28 años</v>
      </c>
      <c r="F446">
        <f t="shared" si="111"/>
        <v>27</v>
      </c>
      <c r="G446" t="str">
        <f t="shared" si="128"/>
        <v>Rural</v>
      </c>
      <c r="H446" s="9" t="str">
        <f t="shared" si="112"/>
        <v>Tecnólogo</v>
      </c>
      <c r="I446" s="9" t="str">
        <f t="shared" si="113"/>
        <v>Trabajo de manera independiente</v>
      </c>
      <c r="J446" s="13" t="str">
        <f>IF(I446="Trabajo actualmente como empleado",IF(MOD((COUNTIF($I$2:I446,"Trabajo actualmente como empleado")-1)*37,150)&lt;100,"Empleado con contrato","Empleado sin contrato formal"),IF(I446="Trabajo de manera independiente","Trabajo independiente",""))</f>
        <v>Trabajo independiente</v>
      </c>
      <c r="K446" s="9" t="str">
        <f>IF(OR(I446="Trabajo actualmente como empleado",I446="Trabajo de manera independiente"),CHOOSE(MOD(COUNTIF($I$2:I446,I446)-1,4)+1,"Menos de 3 meses","De 3 a 6 meses","De 7 a 12 meses","Más de un año"),"")</f>
        <v>De 7 a 12 meses</v>
      </c>
      <c r="L446" t="str">
        <f>IF(OR(I446="Trabajo actualmente como empleado",I446="Trabajo de manera independiente"),CHOOSE(MOD(COUNTIF($I$2:I446,I446)-1,3)+1,"Sí, completamente","Parcialmente","No"),"")</f>
        <v>No</v>
      </c>
      <c r="M446" t="str">
        <f>IF(OR(I446="Trabajo actualmente como empleado",I446="Trabajo de manera independiente"),CHOOSE(MOD(INT((COUNTIF($I$2:I446,I446)-1)/3),4)+1,"1- Muy satisfecho/a","2- Satisfecho/a","3- Insatisfecho/a","4- Muy insatisfecho/a"),"")</f>
        <v>1- Muy satisfecho/a</v>
      </c>
      <c r="N446" t="str">
        <f>IF(OR(I446="Trabajo actualmente como empleado",I446="Trabajo de manera independiente"),_xlfn.LET(_xlpm.opcion,MOD(INT((COUNTIF($I$2:I446,I446)-1)/5),6)+1,CHOOSE(IF(AND(_xlpm.opcion=6,L446="Sí, completamente"),5,_xlpm.opcion),"Salario","Estabilidad laboral","Horario","Acceso a prestaciones","Oportunidades de crecimiento","Trabajar en un área relacionada con mi formación")),"")</f>
        <v>Horario</v>
      </c>
      <c r="O446" s="9" t="str">
        <f>IF(OR(I446="Trabajo actualmente como empleado",I446="Trabajo de manera independiente"),_xlfn.LET(_xlpm.turno,MOD(COUNTIF($I$2:I446,I446)-1,5),_xlpm.nivel,VALUE(LEFT(M446,1)),IF(_xlpm.turno=4,"No estoy seguro/a",IF(_xlpm.turno&lt;IF(_xlpm.nivel&lt;=2,1,3),"Sí","No"))),"")</f>
        <v>No estoy seguro/a</v>
      </c>
      <c r="P446" s="9" t="str">
        <f>_xlfn.LET(_xlpm.perfil,I446,_xlpm.turno,COUNTIF($I$2:I446,_xlpm.perfil)-1,_xlpm.busca,OR(_xlpm.perfil="Actualmente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trabajar"),IF(AND(_xlpm.trabaja,O446="No"),"Todavía no he iniciado una búsqueda activa",CHOOSE(MOD(_xlpm.turno*3,5)+1,"Menos de 1 mes","Entre 1 y 3 meses","Entre 4 y 6 meses","Más de 6 meses","Todavía no he iniciado una búsqueda activa")),"")))</f>
        <v>Entre 4 y 6 meses</v>
      </c>
      <c r="Q446" t="str">
        <f>IF(I446="Tengo un emprendimiento o quiero iniciar uno","",CHOOSE(MOD(INT((COUNTIF($I$2:I446,I446)-1)/7),3)+1,"Sí","No","Tengo una pero necesito actualizarla"))</f>
        <v>No</v>
      </c>
      <c r="R446" s="9" t="str">
        <f>IF(I446="Tengo un emprendimiento o quiero iniciar uno","",IF(I446="Busco mi primer empleo","No",IF(MOD(COUNTIF($I$2:I446,I446)-1,2)=0,"Sí","No")))</f>
        <v>Sí</v>
      </c>
      <c r="S446" t="str">
        <f>IF(I446="Tengo un emprendimiento o quiero iniciar uno","",CHOOSE(MOD(INT((COUNTIF($I$2:I446,I446)-1)/3),10)+1,"Portales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Ferias de empleo</v>
      </c>
      <c r="T446" t="str">
        <f>IF(I446="Tengo un emprendimiento o quiero iniciar uno","",_xlfn.LET(_xlpm.opcion,MOD(INT((COUNTIF($I$2:I446,I446)-1)/4),6)+1,CHOOSE(IF(AND(_xlpm.opcion=3,Q446="Sí"),1,_xlpm.opcion),"Falta de experiencia","Falta de formación","Dificultades con la hoja de vida","Horarios disponibles","Transporte","Internet")))</f>
        <v>Falta de experiencia</v>
      </c>
      <c r="U446" s="9" t="str">
        <f>IF(I446="Tengo un emprendimiento o quiero iniciar uno","",IF(MOD(INT((COUNTIF($I$2:I446,I446)-1)/3),2)=0,"Sí","No"))</f>
        <v>Sí</v>
      </c>
      <c r="V446" s="9" t="str">
        <f>IF(I446="Tengo un emprendimiento o quiero iniciar uno",CHOOSE(MOD(COUNTIF($I$2:I446,I446)-1,3)+1,"Tengo un emprendimiento","Estoy iniciando un emprendimiento","Me interesa emprender"),"")</f>
        <v/>
      </c>
      <c r="W446" t="str">
        <f t="shared" si="114"/>
        <v/>
      </c>
      <c r="X446" s="9" t="str">
        <f>IF(I446="Tengo un emprendimiento o quiero iniciar uno",CHOOSE(MOD(COUNTIF($I$2:I446,I446)-1,5)+1,"Falta de financiación","Falta de conocimientos administrativos","Falta de conocimientos financieros","Falta de tiempo","Falta de herramientas"),"")</f>
        <v/>
      </c>
      <c r="Y446" s="9" t="str">
        <f t="shared" si="115"/>
        <v/>
      </c>
      <c r="Z446" t="str">
        <f>IF(I446="Tengo un emprendimiento o quiero iniciar uno",CHOOSE(INT(MOD((COUNTIF($I$2:I446,I446)-1)*7,39)/13)+1,"Sí","No","No conozco programas de ese tipo"),"")</f>
        <v/>
      </c>
      <c r="AA446" t="str">
        <f t="shared" si="116"/>
        <v>No puedo hacerlo</v>
      </c>
      <c r="AB446" t="str">
        <f t="shared" si="116"/>
        <v>No puedo hacerlo</v>
      </c>
      <c r="AC446" t="str">
        <f t="shared" si="117"/>
        <v>Puedo hacerlo con dificultad</v>
      </c>
      <c r="AD446" s="9" t="str">
        <f t="shared" si="118"/>
        <v>Puedo hacerlo sin ayuda</v>
      </c>
      <c r="AE446" t="str">
        <f t="shared" si="119"/>
        <v>No puedo hacerlo</v>
      </c>
      <c r="AF446" s="9" t="str">
        <f t="shared" si="120"/>
        <v>Crear una hoja de vida;Preparación para entrevista</v>
      </c>
      <c r="AG446" s="9" t="str">
        <f t="shared" si="121"/>
        <v>Distancia</v>
      </c>
      <c r="AH446" t="str">
        <f t="shared" si="122"/>
        <v>Programas de emprendimiento</v>
      </c>
      <c r="AI446" s="9" t="str">
        <f t="shared" si="123"/>
        <v>Me es indiferente</v>
      </c>
      <c r="AJ446" s="9" t="str">
        <f t="shared" si="124"/>
        <v>Nocturno</v>
      </c>
      <c r="AK446" s="9" t="str">
        <f t="shared" si="125"/>
        <v>WhatsApp</v>
      </c>
    </row>
    <row r="447" spans="1:37">
      <c r="A447" t="str">
        <f t="shared" si="126"/>
        <v>SG446</v>
      </c>
      <c r="B447" t="s">
        <v>57</v>
      </c>
      <c r="C447" s="9" t="s">
        <v>427</v>
      </c>
      <c r="D447" t="str">
        <f t="shared" si="109"/>
        <v>Masculino</v>
      </c>
      <c r="E447" t="str">
        <f t="shared" si="110"/>
        <v>De 18 a 20 años</v>
      </c>
      <c r="F447">
        <f t="shared" si="111"/>
        <v>19</v>
      </c>
      <c r="G447" t="str">
        <f t="shared" si="128"/>
        <v>Centro poblado</v>
      </c>
      <c r="H447" s="9" t="str">
        <f t="shared" si="112"/>
        <v>Bachiller</v>
      </c>
      <c r="I447" s="9" t="str">
        <f t="shared" si="113"/>
        <v>Busco mi primer empleo</v>
      </c>
      <c r="J447" s="13" t="str">
        <f>IF(I447="Trabajo actualmente como empleado",IF(MOD((COUNTIF($I$2:I447,"Trabajo actualmente como empleado")-1)*37,150)&lt;100,"Empleado con contrato","Empleado sin contrato formal"),IF(I447="Trabajo de manera independiente","Trabajo independiente",""))</f>
        <v/>
      </c>
      <c r="K447" s="9" t="str">
        <f>IF(OR(I447="Trabajo actualmente como empleado",I447="Trabajo de manera independiente"),CHOOSE(MOD(COUNTIF($I$2:I447,I447)-1,4)+1,"Menos de 3 meses","De 3 a 6 meses","De 7 a 12 meses","Más de un año"),"")</f>
        <v/>
      </c>
      <c r="L447" t="str">
        <f>IF(OR(I447="Trabajo actualmente como empleado",I447="Trabajo de manera independiente"),CHOOSE(MOD(COUNTIF($I$2:I447,I447)-1,3)+1,"Sí, completamente","Parcialmente","No"),"")</f>
        <v/>
      </c>
      <c r="M447" t="str">
        <f>IF(OR(I447="Trabajo actualmente como empleado",I447="Trabajo de manera independiente"),CHOOSE(MOD(INT((COUNTIF($I$2:I447,I447)-1)/3),4)+1,"1- Muy satisfecho/a","2- Satisfecho/a","3- Insatisfecho/a","4- Muy insatisfecho/a"),"")</f>
        <v/>
      </c>
      <c r="N447" t="str">
        <f>IF(OR(I447="Trabajo actualmente como empleado",I447="Trabajo de manera independiente"),_xlfn.LET(_xlpm.opcion,MOD(INT((COUNTIF($I$2:I447,I447)-1)/5),6)+1,CHOOSE(IF(AND(_xlpm.opcion=6,L447="Sí, completamente"),5,_xlpm.opcion),"Salario","Estabilidad laboral","Horario","Acceso a prestaciones","Oportunidades de crecimiento","Trabajar en un área relacionada con mi formación")),"")</f>
        <v/>
      </c>
      <c r="O447" s="9" t="str">
        <f>IF(OR(I447="Trabajo actualmente como empleado",I447="Trabajo de manera independiente"),_xlfn.LET(_xlpm.turno,MOD(COUNTIF($I$2:I447,I447)-1,5),_xlpm.nivel,VALUE(LEFT(M447,1)),IF(_xlpm.turno=4,"No estoy seguro/a",IF(_xlpm.turno&lt;IF(_xlpm.nivel&lt;=2,1,3),"Sí","No"))),"")</f>
        <v/>
      </c>
      <c r="P447" s="9" t="str">
        <f>_xlfn.LET(_xlpm.perfil,I447,_xlpm.turno,COUNTIF($I$2:I447,_xlpm.perfil)-1,_xlpm.busca,OR(_xlpm.perfil="Actualmente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trabajar"),IF(AND(_xlpm.trabaja,O447="No"),"Todavía no he iniciado una búsqueda activa",CHOOSE(MOD(_xlpm.turno*3,5)+1,"Menos de 1 mes","Entre 1 y 3 meses","Entre 4 y 6 meses","Más de 6 meses","Todavía no he iniciado una búsqueda activa")),"")))</f>
        <v>Menos de 1 mes</v>
      </c>
      <c r="Q447" t="str">
        <f>IF(I447="Tengo un emprendimiento o quiero iniciar uno","",CHOOSE(MOD(INT((COUNTIF($I$2:I447,I447)-1)/7),3)+1,"Sí","No","Tengo una pero necesito actualizarla"))</f>
        <v>Tengo una pero necesito actualizarla</v>
      </c>
      <c r="R447" s="9" t="str">
        <f>IF(I447="Tengo un emprendimiento o quiero iniciar uno","",IF(I447="Busco mi primer empleo","No",IF(MOD(COUNTIF($I$2:I447,I447)-1,2)=0,"Sí","No")))</f>
        <v>No</v>
      </c>
      <c r="S447" t="str">
        <f>IF(I447="Tengo un emprendimiento o quiero iniciar uno","",CHOOSE(MOD(INT((COUNTIF($I$2:I447,I447)-1)/3),10)+1,"Portales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47" t="str">
        <f>IF(I447="Tengo un emprendimiento o quiero iniciar uno","",_xlfn.LET(_xlpm.opcion,MOD(INT((COUNTIF($I$2:I447,I447)-1)/4),6)+1,CHOOSE(IF(AND(_xlpm.opcion=3,Q447="Sí"),1,_xlpm.opcion),"Falta de experiencia","Falta de formación","Dificultades con la hoja de vida","Horarios disponibles","Transporte","Internet")))</f>
        <v>Dificultades con la hoja de vida</v>
      </c>
      <c r="U447" s="9" t="str">
        <f>IF(I447="Tengo un emprendimiento o quiero iniciar uno","",IF(MOD(INT((COUNTIF($I$2:I447,I447)-1)/3),2)=0,"Sí","No"))</f>
        <v>Sí</v>
      </c>
      <c r="V447" s="9" t="str">
        <f>IF(I447="Tengo un emprendimiento o quiero iniciar uno",CHOOSE(MOD(COUNTIF($I$2:I447,I447)-1,3)+1,"Tengo un emprendimiento","Estoy iniciando un emprendimiento","Me interesa emprender"),"")</f>
        <v/>
      </c>
      <c r="W447" t="str">
        <f t="shared" si="114"/>
        <v/>
      </c>
      <c r="X447" s="9" t="str">
        <f>IF(I447="Tengo un emprendimiento o quiero iniciar uno",CHOOSE(MOD(COUNTIF($I$2:I447,I447)-1,5)+1,"Falta de financiación","Falta de conocimientos administrativos","Falta de conocimientos financieros","Falta de tiempo","Falta de herramientas"),"")</f>
        <v/>
      </c>
      <c r="Y447" s="9" t="str">
        <f t="shared" si="115"/>
        <v/>
      </c>
      <c r="Z447" t="str">
        <f>IF(I447="Tengo un emprendimiento o quiero iniciar uno",CHOOSE(INT(MOD((COUNTIF($I$2:I447,I447)-1)*7,39)/13)+1,"Sí","No","No conozco programas de ese tipo"),"")</f>
        <v/>
      </c>
      <c r="AA447" t="str">
        <f t="shared" si="116"/>
        <v>Puedo hacerlo con ayuda</v>
      </c>
      <c r="AB447" t="str">
        <f t="shared" si="116"/>
        <v>Puedo hacerlo con ayuda</v>
      </c>
      <c r="AC447" t="str">
        <f t="shared" si="117"/>
        <v>No puedo hacerlo</v>
      </c>
      <c r="AD447" s="9" t="str">
        <f t="shared" si="118"/>
        <v>Puedo hacerlo sin ayuda</v>
      </c>
      <c r="AE447" t="str">
        <f t="shared" si="119"/>
        <v>No puedo hacerlo</v>
      </c>
      <c r="AF447" s="9" t="str">
        <f t="shared" si="120"/>
        <v>Comunicación;Liderazgo</v>
      </c>
      <c r="AG447" s="9" t="str">
        <f t="shared" si="121"/>
        <v>Distancia</v>
      </c>
      <c r="AH447" t="str">
        <f t="shared" si="122"/>
        <v>No conozco ninguno</v>
      </c>
      <c r="AI447" s="9" t="str">
        <f t="shared" si="123"/>
        <v>Presencial</v>
      </c>
      <c r="AJ447" s="9" t="str">
        <f t="shared" si="124"/>
        <v>Mañana entre semana</v>
      </c>
      <c r="AK447" s="9" t="str">
        <f t="shared" si="125"/>
        <v>Correo electrónico</v>
      </c>
    </row>
    <row r="448" spans="1:37">
      <c r="A448" t="str">
        <f t="shared" si="126"/>
        <v>SG447</v>
      </c>
      <c r="B448" t="s">
        <v>57</v>
      </c>
      <c r="C448" s="9" t="s">
        <v>427</v>
      </c>
      <c r="D448" t="str">
        <f t="shared" si="109"/>
        <v>Femenino</v>
      </c>
      <c r="E448" t="str">
        <f t="shared" si="110"/>
        <v>De 20 a 22 años</v>
      </c>
      <c r="F448">
        <f t="shared" si="111"/>
        <v>21</v>
      </c>
      <c r="G448" t="str">
        <f t="shared" si="128"/>
        <v>Rural</v>
      </c>
      <c r="H448" s="9" t="str">
        <f t="shared" si="112"/>
        <v>Bachiller</v>
      </c>
      <c r="I448" s="9" t="str">
        <f t="shared" si="113"/>
        <v>Trabajo actualmente como empleado</v>
      </c>
      <c r="J448" s="13" t="str">
        <f>IF(I448="Trabajo actualmente como empleado",IF(MOD((COUNTIF($I$2:I448,"Trabajo actualmente como empleado")-1)*37,150)&lt;100,"Empleado con contrato","Empleado sin contrato formal"),IF(I448="Trabajo de manera independiente","Trabajo independiente",""))</f>
        <v>Empleado con contrato</v>
      </c>
      <c r="K448" s="9" t="str">
        <f>IF(OR(I448="Trabajo actualmente como empleado",I448="Trabajo de manera independiente"),CHOOSE(MOD(COUNTIF($I$2:I448,I448)-1,4)+1,"Menos de 3 meses","De 3 a 6 meses","De 7 a 12 meses","Más de un año"),"")</f>
        <v>Más de un año</v>
      </c>
      <c r="L448" t="str">
        <f>IF(OR(I448="Trabajo actualmente como empleado",I448="Trabajo de manera independiente"),CHOOSE(MOD(COUNTIF($I$2:I448,I448)-1,3)+1,"Sí, completamente","Parcialmente","No"),"")</f>
        <v>Parcialmente</v>
      </c>
      <c r="M448" t="str">
        <f>IF(OR(I448="Trabajo actualmente como empleado",I448="Trabajo de manera independiente"),CHOOSE(MOD(INT((COUNTIF($I$2:I448,I448)-1)/3),4)+1,"1- Muy satisfecho/a","2- Satisfecho/a","3- Insatisfecho/a","4- Muy insatisfecho/a"),"")</f>
        <v>3- Insatisfecho/a</v>
      </c>
      <c r="N448" t="str">
        <f>IF(OR(I448="Trabajo actualmente como empleado",I448="Trabajo de manera independiente"),_xlfn.LET(_xlpm.opcion,MOD(INT((COUNTIF($I$2:I448,I448)-1)/5),6)+1,CHOOSE(IF(AND(_xlpm.opcion=6,L448="Sí, completamente"),5,_xlpm.opcion),"Salario","Estabilidad laboral","Horario","Acceso a prestaciones","Oportunidades de crecimiento","Trabajar en un área relacionada con mi formación")),"")</f>
        <v>Acceso a prestaciones</v>
      </c>
      <c r="O448" s="9" t="str">
        <f>IF(OR(I448="Trabajo actualmente como empleado",I448="Trabajo de manera independiente"),_xlfn.LET(_xlpm.turno,MOD(COUNTIF($I$2:I448,I448)-1,5),_xlpm.nivel,VALUE(LEFT(M448,1)),IF(_xlpm.turno=4,"No estoy seguro/a",IF(_xlpm.turno&lt;IF(_xlpm.nivel&lt;=2,1,3),"Sí","No"))),"")</f>
        <v>No estoy seguro/a</v>
      </c>
      <c r="P448" s="9" t="str">
        <f>_xlfn.LET(_xlpm.perfil,I448,_xlpm.turno,COUNTIF($I$2:I448,_xlpm.perfil)-1,_xlpm.busca,OR(_xlpm.perfil="Actualmente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trabajar"),IF(AND(_xlpm.trabaja,O448="No"),"Todavía no he iniciado una búsqueda activa",CHOOSE(MOD(_xlpm.turno*3,5)+1,"Menos de 1 mes","Entre 1 y 3 meses","Entre 4 y 6 meses","Más de 6 meses","Todavía no he iniciado una búsqueda activa")),"")))</f>
        <v>Entre 4 y 6 meses</v>
      </c>
      <c r="Q448" t="str">
        <f>IF(I448="Tengo un emprendimiento o quiero iniciar uno","",CHOOSE(MOD(INT((COUNTIF($I$2:I448,I448)-1)/7),3)+1,"Sí","No","Tengo una pero necesito actualizarla"))</f>
        <v>No</v>
      </c>
      <c r="R448" s="9" t="str">
        <f>IF(I448="Tengo un emprendimiento o quiero iniciar uno","",IF(I448="Busco mi primer empleo","No",IF(MOD(COUNTIF($I$2:I448,I448)-1,2)=0,"Sí","No")))</f>
        <v>No</v>
      </c>
      <c r="S448" t="str">
        <f>IF(I448="Tengo un emprendimiento o quiero iniciar uno","",CHOOSE(MOD(INT((COUNTIF($I$2:I448,I448)-1)/3),10)+1,"Portales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48" t="str">
        <f>IF(I448="Tengo un emprendimiento o quiero iniciar uno","",_xlfn.LET(_xlpm.opcion,MOD(INT((COUNTIF($I$2:I448,I448)-1)/4),6)+1,CHOOSE(IF(AND(_xlpm.opcion=3,Q448="Sí"),1,_xlpm.opcion),"Falta de experiencia","Falta de formación","Dificultades con la hoja de vida","Horarios disponibles","Transporte","Internet")))</f>
        <v>Transporte</v>
      </c>
      <c r="U448" s="9" t="str">
        <f>IF(I448="Tengo un emprendimiento o quiero iniciar uno","",IF(MOD(INT((COUNTIF($I$2:I448,I448)-1)/3),2)=0,"Sí","No"))</f>
        <v>Sí</v>
      </c>
      <c r="V448" s="9" t="str">
        <f>IF(I448="Tengo un emprendimiento o quiero iniciar uno",CHOOSE(MOD(COUNTIF($I$2:I448,I448)-1,3)+1,"Tengo un emprendimiento","Estoy iniciando un emprendimiento","Me interesa emprender"),"")</f>
        <v/>
      </c>
      <c r="W448" t="str">
        <f t="shared" si="114"/>
        <v/>
      </c>
      <c r="X448" s="9" t="str">
        <f>IF(I448="Tengo un emprendimiento o quiero iniciar uno",CHOOSE(MOD(COUNTIF($I$2:I448,I448)-1,5)+1,"Falta de financiación","Falta de conocimientos administrativos","Falta de conocimientos financieros","Falta de tiempo","Falta de herramientas"),"")</f>
        <v/>
      </c>
      <c r="Y448" s="9" t="str">
        <f t="shared" si="115"/>
        <v/>
      </c>
      <c r="Z448" t="str">
        <f>IF(I448="Tengo un emprendimiento o quiero iniciar uno",CHOOSE(INT(MOD((COUNTIF($I$2:I448,I448)-1)*7,39)/13)+1,"Sí","No","No conozco programas de ese tipo"),"")</f>
        <v/>
      </c>
      <c r="AA448" t="str">
        <f t="shared" si="116"/>
        <v>Puedo hacerlo sin ayuda</v>
      </c>
      <c r="AB448" t="str">
        <f t="shared" si="116"/>
        <v>Puedo hacerlo sin ayuda</v>
      </c>
      <c r="AC448" t="str">
        <f t="shared" si="117"/>
        <v>Puedo hacerlo con ayuda</v>
      </c>
      <c r="AD448" s="9" t="str">
        <f t="shared" si="118"/>
        <v>No puedo hacerlo</v>
      </c>
      <c r="AE448" t="str">
        <f t="shared" si="119"/>
        <v>Puedo hacerlo con ayuda</v>
      </c>
      <c r="AF448" s="9" t="str">
        <f t="shared" si="120"/>
        <v>Herramientas digitales;Educación financiera</v>
      </c>
      <c r="AG448" s="9" t="str">
        <f t="shared" si="121"/>
        <v>Distancia</v>
      </c>
      <c r="AH448" t="str">
        <f t="shared" si="122"/>
        <v>Ferias de empleo</v>
      </c>
      <c r="AI448" s="9" t="str">
        <f t="shared" si="123"/>
        <v>Virtual</v>
      </c>
      <c r="AJ448" s="9" t="str">
        <f t="shared" si="124"/>
        <v>Fines de semana</v>
      </c>
      <c r="AK448" s="9" t="str">
        <f t="shared" si="125"/>
        <v>Celular</v>
      </c>
    </row>
    <row r="449" spans="1:37">
      <c r="A449" t="str">
        <f t="shared" si="126"/>
        <v>SG448</v>
      </c>
      <c r="B449" t="s">
        <v>57</v>
      </c>
      <c r="C449" s="9" t="s">
        <v>427</v>
      </c>
      <c r="D449" t="str">
        <f t="shared" si="109"/>
        <v>Femenino</v>
      </c>
      <c r="E449" t="str">
        <f t="shared" si="110"/>
        <v>De 22 a 24 años</v>
      </c>
      <c r="F449">
        <f t="shared" si="111"/>
        <v>23</v>
      </c>
      <c r="G449" t="str">
        <f t="shared" si="128"/>
        <v>Centro poblado</v>
      </c>
      <c r="H449" s="9" t="str">
        <f t="shared" si="112"/>
        <v>Técnico</v>
      </c>
      <c r="I449" s="9" t="str">
        <f t="shared" si="113"/>
        <v>Trabajo de manera independiente</v>
      </c>
      <c r="J449" s="13" t="str">
        <f>IF(I449="Trabajo actualmente como empleado",IF(MOD((COUNTIF($I$2:I449,"Trabajo actualmente como empleado")-1)*37,150)&lt;100,"Empleado con contrato","Empleado sin contrato formal"),IF(I449="Trabajo de manera independiente","Trabajo independiente",""))</f>
        <v>Trabajo independiente</v>
      </c>
      <c r="K449" s="9" t="str">
        <f>IF(OR(I449="Trabajo actualmente como empleado",I449="Trabajo de manera independiente"),CHOOSE(MOD(COUNTIF($I$2:I449,I449)-1,4)+1,"Menos de 3 meses","De 3 a 6 meses","De 7 a 12 meses","Más de un año"),"")</f>
        <v>Más de un año</v>
      </c>
      <c r="L449" t="str">
        <f>IF(OR(I449="Trabajo actualmente como empleado",I449="Trabajo de manera independiente"),CHOOSE(MOD(COUNTIF($I$2:I449,I449)-1,3)+1,"Sí, completamente","Parcialmente","No"),"")</f>
        <v>Sí, completamente</v>
      </c>
      <c r="M449" t="str">
        <f>IF(OR(I449="Trabajo actualmente como empleado",I449="Trabajo de manera independiente"),CHOOSE(MOD(INT((COUNTIF($I$2:I449,I449)-1)/3),4)+1,"1- Muy satisfecho/a","2- Satisfecho/a","3- Insatisfecho/a","4- Muy insatisfecho/a"),"")</f>
        <v>2- Satisfecho/a</v>
      </c>
      <c r="N449" t="str">
        <f>IF(OR(I449="Trabajo actualmente como empleado",I449="Trabajo de manera independiente"),_xlfn.LET(_xlpm.opcion,MOD(INT((COUNTIF($I$2:I449,I449)-1)/5),6)+1,CHOOSE(IF(AND(_xlpm.opcion=6,L449="Sí, completamente"),5,_xlpm.opcion),"Salario","Estabilidad laboral","Horario","Acceso a prestaciones","Oportunidades de crecimiento","Trabajar en un área relacionada con mi formación")),"")</f>
        <v>Acceso a prestaciones</v>
      </c>
      <c r="O449" s="9" t="str">
        <f>IF(OR(I449="Trabajo actualmente como empleado",I449="Trabajo de manera independiente"),_xlfn.LET(_xlpm.turno,MOD(COUNTIF($I$2:I449,I449)-1,5),_xlpm.nivel,VALUE(LEFT(M449,1)),IF(_xlpm.turno=4,"No estoy seguro/a",IF(_xlpm.turno&lt;IF(_xlpm.nivel&lt;=2,1,3),"Sí","No"))),"")</f>
        <v>Sí</v>
      </c>
      <c r="P449" s="9" t="str">
        <f>_xlfn.LET(_xlpm.perfil,I449,_xlpm.turno,COUNTIF($I$2:I449,_xlpm.perfil)-1,_xlpm.busca,OR(_xlpm.perfil="Actualmente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trabajar"),IF(AND(_xlpm.trabaja,O449="No"),"Todavía no he iniciado una búsqueda activa",CHOOSE(MOD(_xlpm.turno*3,5)+1,"Menos de 1 mes","Entre 1 y 3 meses","Entre 4 y 6 meses","Más de 6 meses","Todavía no he iniciado una búsqueda activa")),"")))</f>
        <v>Menos de 1 mes</v>
      </c>
      <c r="Q449" t="str">
        <f>IF(I449="Tengo un emprendimiento o quiero iniciar uno","",CHOOSE(MOD(INT((COUNTIF($I$2:I449,I449)-1)/7),3)+1,"Sí","No","Tengo una pero necesito actualizarla"))</f>
        <v>No</v>
      </c>
      <c r="R449" s="9" t="str">
        <f>IF(I449="Tengo un emprendimiento o quiero iniciar uno","",IF(I449="Busco mi primer empleo","No",IF(MOD(COUNTIF($I$2:I449,I449)-1,2)=0,"Sí","No")))</f>
        <v>No</v>
      </c>
      <c r="S449" t="str">
        <f>IF(I449="Tengo un emprendimiento o quiero iniciar uno","",CHOOSE(MOD(INT((COUNTIF($I$2:I449,I449)-1)/3),10)+1,"Portales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49" t="str">
        <f>IF(I449="Tengo un emprendimiento o quiero iniciar uno","",_xlfn.LET(_xlpm.opcion,MOD(INT((COUNTIF($I$2:I449,I449)-1)/4),6)+1,CHOOSE(IF(AND(_xlpm.opcion=3,Q449="Sí"),1,_xlpm.opcion),"Falta de experiencia","Falta de formación","Dificultades con la hoja de vida","Horarios disponibles","Transporte","Internet")))</f>
        <v>Falta de experiencia</v>
      </c>
      <c r="U449" s="9" t="str">
        <f>IF(I449="Tengo un emprendimiento o quiero iniciar uno","",IF(MOD(INT((COUNTIF($I$2:I449,I449)-1)/3),2)=0,"Sí","No"))</f>
        <v>No</v>
      </c>
      <c r="V449" s="9" t="str">
        <f>IF(I449="Tengo un emprendimiento o quiero iniciar uno",CHOOSE(MOD(COUNTIF($I$2:I449,I449)-1,3)+1,"Tengo un emprendimiento","Estoy iniciando un emprendimiento","Me interesa emprender"),"")</f>
        <v/>
      </c>
      <c r="W449" t="str">
        <f t="shared" si="114"/>
        <v/>
      </c>
      <c r="X449" s="9" t="str">
        <f>IF(I449="Tengo un emprendimiento o quiero iniciar uno",CHOOSE(MOD(COUNTIF($I$2:I449,I449)-1,5)+1,"Falta de financiación","Falta de conocimientos administrativos","Falta de conocimientos financieros","Falta de tiempo","Falta de herramientas"),"")</f>
        <v/>
      </c>
      <c r="Y449" s="9" t="str">
        <f t="shared" si="115"/>
        <v/>
      </c>
      <c r="Z449" t="str">
        <f>IF(I449="Tengo un emprendimiento o quiero iniciar uno",CHOOSE(INT(MOD((COUNTIF($I$2:I449,I449)-1)*7,39)/13)+1,"Sí","No","No conozco programas de ese tipo"),"")</f>
        <v/>
      </c>
      <c r="AA449" t="str">
        <f t="shared" si="116"/>
        <v>No puedo hacerlo</v>
      </c>
      <c r="AB449" t="str">
        <f t="shared" si="116"/>
        <v>No puedo hacerlo</v>
      </c>
      <c r="AC449" t="str">
        <f t="shared" si="117"/>
        <v>Puedo hacerlo con dificultad</v>
      </c>
      <c r="AD449" s="9" t="str">
        <f t="shared" si="118"/>
        <v>Puedo hacerlo con ayuda</v>
      </c>
      <c r="AE449" t="str">
        <f t="shared" si="119"/>
        <v>Puedo hacerlo con ayuda</v>
      </c>
      <c r="AF449" s="9" t="str">
        <f t="shared" si="120"/>
        <v>Crear una hoja de vida</v>
      </c>
      <c r="AG449" s="9" t="str">
        <f t="shared" si="121"/>
        <v>Falta de experiencia;Falta de información</v>
      </c>
      <c r="AH449" t="str">
        <f t="shared" si="122"/>
        <v>No conozco ninguno</v>
      </c>
      <c r="AI449" s="9" t="str">
        <f t="shared" si="123"/>
        <v>Presencial y virtual</v>
      </c>
      <c r="AJ449" s="9" t="str">
        <f t="shared" si="124"/>
        <v>Nocturno</v>
      </c>
      <c r="AK449" s="9" t="str">
        <f t="shared" si="125"/>
        <v>WhatsApp</v>
      </c>
    </row>
    <row r="450" spans="1:37">
      <c r="A450" t="str">
        <f t="shared" si="126"/>
        <v>SG449</v>
      </c>
      <c r="B450" t="s">
        <v>57</v>
      </c>
      <c r="C450" s="9" t="s">
        <v>427</v>
      </c>
      <c r="D450" t="str">
        <f t="shared" ref="D450:D480" si="129">IF(MOD((ROW()-2)*137,479)&lt;230,"Masculino",IF(MOD((ROW()-2)*137,479)&lt;460,"Femenino",IF(MOD((ROW()-2)*137,479)&lt;470,"Otro","No quiero responder")))</f>
        <v>Masculino</v>
      </c>
      <c r="E450" t="str">
        <f t="shared" ref="E450:E480" si="130">CHOOSE(MOD(ROW()-2,5)+1,"De 18 a 20 años","De 20 a 22 años","De 22 a 24 años","De 24 a 26 años","De 26 a 28 años")</f>
        <v>De 24 a 26 años</v>
      </c>
      <c r="F450">
        <f t="shared" ref="F450:F480" si="131">CHOOSE(MOD(ROW()-2,5)+1,18,20,22,24,26)+MOD(INT((ROW()-2)/5),IF(MOD(ROW()-2,5)=4,3,2))</f>
        <v>25</v>
      </c>
      <c r="G450" t="str">
        <f t="shared" si="128"/>
        <v>Rural</v>
      </c>
      <c r="H450" s="9" t="str">
        <f t="shared" ref="H450:H480" si="132">_xlfn.LET(_xlpm.grupo,MOD(ROW()-2,5),_xlpm.turno,INT((ROW()-2)/5),_xlpm.orden,MOD(_xlpm.turno*37,IF(_xlpm.grupo=4,95,96)),CHOOSE(_xlpm.grupo+1,IF(_xlpm.orden&lt;60,"Bachiller",IF(_xlpm.orden&lt;84,"Técnico","Tecnólogo")),IF(_xlpm.orden&lt;36,"Bachiller",IF(_xlpm.orden&lt;66,"Técnico","Tecnólogo")),IF(_xlpm.orden&lt;24,"Bachiller",IF(_xlpm.orden&lt;48,"Técnico",IF(_xlpm.orden&lt;72,"Tecnólogo","Profesional"))),IF(_xlpm.orden&lt;12,"Bachiller",IF(_xlpm.orden&lt;30,"Técnico",IF(_xlpm.orden&lt;54,"Tecnólogo",IF(_xlpm.orden&lt;90,"Profesional","Posgrado")))),IF(_xlpm.orden&lt;10,"Bachiller",IF(_xlpm.orden&lt;25,"Técnico",IF(_xlpm.orden&lt;45,"Tecnólogo",IF(_xlpm.orden&lt;85,"Profesional","Posgrado"))))))</f>
        <v>Técnico</v>
      </c>
      <c r="I450" s="9" t="str">
        <f t="shared" ref="I450:I480" si="133">_xlfn.LET(_xlpm.orden,MOD((ROW()-2)*173,479),IF(_xlpm.orden&lt;150,"Trabajo actualmente como empleado",IF(_xlpm.orden&lt;230,"Trabajo de manera independiente",IF(_xlpm.orden&lt;320,"Actualmente no trabajo y estoy buscando empleo",IF(_xlpm.orden&lt;380,"Busco mi primer empleo",IF(_xlpm.orden&lt;440,"Estudio y quiero comenzar a trabajar","Tengo un emprendimiento o quiero iniciar uno"))))))</f>
        <v>Estudio y quiero comenzar a trabajar</v>
      </c>
      <c r="J450" s="13" t="str">
        <f>IF(I450="Trabajo actualmente como empleado",IF(MOD((COUNTIF($I$2:I450,"Trabajo actualmente como empleado")-1)*37,150)&lt;100,"Empleado con contrato","Empleado sin contrato formal"),IF(I450="Trabajo de manera independiente","Trabajo independiente",""))</f>
        <v/>
      </c>
      <c r="K450" s="9" t="str">
        <f>IF(OR(I450="Trabajo actualmente como empleado",I450="Trabajo de manera independiente"),CHOOSE(MOD(COUNTIF($I$2:I450,I450)-1,4)+1,"Menos de 3 meses","De 3 a 6 meses","De 7 a 12 meses","Más de un año"),"")</f>
        <v/>
      </c>
      <c r="L450" t="str">
        <f>IF(OR(I450="Trabajo actualmente como empleado",I450="Trabajo de manera independiente"),CHOOSE(MOD(COUNTIF($I$2:I450,I450)-1,3)+1,"Sí, completamente","Parcialmente","No"),"")</f>
        <v/>
      </c>
      <c r="M450" t="str">
        <f>IF(OR(I450="Trabajo actualmente como empleado",I450="Trabajo de manera independiente"),CHOOSE(MOD(INT((COUNTIF($I$2:I450,I450)-1)/3),4)+1,"1- Muy satisfecho/a","2- Satisfecho/a","3- Insatisfecho/a","4- Muy insatisfecho/a"),"")</f>
        <v/>
      </c>
      <c r="N450" t="str">
        <f>IF(OR(I450="Trabajo actualmente como empleado",I450="Trabajo de manera independiente"),_xlfn.LET(_xlpm.opcion,MOD(INT((COUNTIF($I$2:I450,I450)-1)/5),6)+1,CHOOSE(IF(AND(_xlpm.opcion=6,L450="Sí, completamente"),5,_xlpm.opcion),"Salario","Estabilidad laboral","Horario","Acceso a prestaciones","Oportunidades de crecimiento","Trabajar en un área relacionada con mi formación")),"")</f>
        <v/>
      </c>
      <c r="O450" s="9" t="str">
        <f>IF(OR(I450="Trabajo actualmente como empleado",I450="Trabajo de manera independiente"),_xlfn.LET(_xlpm.turno,MOD(COUNTIF($I$2:I450,I450)-1,5),_xlpm.nivel,VALUE(LEFT(M450,1)),IF(_xlpm.turno=4,"No estoy seguro/a",IF(_xlpm.turno&lt;IF(_xlpm.nivel&lt;=2,1,3),"Sí","No"))),"")</f>
        <v/>
      </c>
      <c r="P450" s="9" t="str">
        <f>_xlfn.LET(_xlpm.perfil,I450,_xlpm.turno,COUNTIF($I$2:I450,_xlpm.perfil)-1,_xlpm.busca,OR(_xlpm.perfil="Actualmente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trabajar"),IF(AND(_xlpm.trabaja,O450="No"),"Todavía no he iniciado una búsqueda activa",CHOOSE(MOD(_xlpm.turno*3,5)+1,"Menos de 1 mes","Entre 1 y 3 meses","Entre 4 y 6 meses","Más de 6 meses","Todavía no he iniciado una búsqueda activa")),"")))</f>
        <v>Menos de 1 mes</v>
      </c>
      <c r="Q450" t="str">
        <f>IF(I450="Tengo un emprendimiento o quiero iniciar uno","",CHOOSE(MOD(INT((COUNTIF($I$2:I450,I450)-1)/7),3)+1,"Sí","No","Tengo una pero necesito actualizarla"))</f>
        <v>No</v>
      </c>
      <c r="R450" s="9" t="str">
        <f>IF(I450="Tengo un emprendimiento o quiero iniciar uno","",IF(I450="Busco mi primer empleo","No",IF(MOD(COUNTIF($I$2:I450,I450)-1,2)=0,"Sí","No")))</f>
        <v>No</v>
      </c>
      <c r="S450" t="str">
        <f>IF(I450="Tengo un emprendimiento o quiero iniciar uno","",CHOOSE(MOD(INT((COUNTIF($I$2:I450,I450)-1)/3),10)+1,"Portales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50" t="str">
        <f>IF(I450="Tengo un emprendimiento o quiero iniciar uno","",_xlfn.LET(_xlpm.opcion,MOD(INT((COUNTIF($I$2:I450,I450)-1)/4),6)+1,CHOOSE(IF(AND(_xlpm.opcion=3,Q450="Sí"),1,_xlpm.opcion),"Falta de experiencia","Falta de formación","Dificultades con la hoja de vida","Horarios disponibles","Transporte","Internet")))</f>
        <v>Falta de formación</v>
      </c>
      <c r="U450" s="9" t="str">
        <f>IF(I450="Tengo un emprendimiento o quiero iniciar uno","",IF(MOD(INT((COUNTIF($I$2:I450,I450)-1)/3),2)=0,"Sí","No"))</f>
        <v>Sí</v>
      </c>
      <c r="V450" s="9" t="str">
        <f>IF(I450="Tengo un emprendimiento o quiero iniciar uno",CHOOSE(MOD(COUNTIF($I$2:I450,I450)-1,3)+1,"Tengo un emprendimiento","Estoy iniciando un emprendimiento","Me interesa emprender"),"")</f>
        <v/>
      </c>
      <c r="W450" t="str">
        <f t="shared" ref="W450:W480" si="134">IF(V450="Tengo un emprendimiento","Funcionamiento estable",IF(V450="Estoy iniciando un emprendimiento","Inicio",""))</f>
        <v/>
      </c>
      <c r="X450" s="9" t="str">
        <f>IF(I450="Tengo un emprendimiento o quiero iniciar uno",CHOOSE(MOD(COUNTIF($I$2:I450,I450)-1,5)+1,"Falta de financiación","Falta de conocimientos administrativos","Falta de conocimientos financieros","Falta de tiempo","Falta de herramientas"),"")</f>
        <v/>
      </c>
      <c r="Y450" s="9" t="str">
        <f t="shared" ref="Y450:Y480" si="135">IF(I450="Tengo un emprendimiento o quiero iniciar uno",X450,"")</f>
        <v/>
      </c>
      <c r="Z450" t="str">
        <f>IF(I450="Tengo un emprendimiento o quiero iniciar uno",CHOOSE(INT(MOD((COUNTIF($I$2:I450,I450)-1)*7,39)/13)+1,"Sí","No","No conozco programas de ese tipo"),"")</f>
        <v/>
      </c>
      <c r="AA450" t="str">
        <f t="shared" ref="AA450:AB480" si="136">CHOOSE(INT(MOD((ROW()-2)*191,479)/120)+1,"No puedo hacerlo","Puedo hacerlo con ayuda","Puedo hacerlo con dificultad","Puedo hacerlo sin ayuda")</f>
        <v>Puedo hacerlo con dificultad</v>
      </c>
      <c r="AB450" t="str">
        <f t="shared" si="136"/>
        <v>Puedo hacerlo con dificultad</v>
      </c>
      <c r="AC450" t="str">
        <f t="shared" ref="AC450:AC480" si="137">CHOOSE(INT(MOD((ROW()-2)*157+83,479)/120)+1,"No puedo hacerlo","Puedo hacerlo con ayuda","Puedo hacerlo con dificultad","Puedo hacerlo sin ayuda")</f>
        <v>No puedo hacerlo</v>
      </c>
      <c r="AD450" s="9" t="str">
        <f t="shared" ref="AD450:AD480" si="138">CHOOSE(INT(MOD((ROW()-2)*89+131,479)/120)+1,"No puedo hacerlo","Puedo hacerlo con ayuda","Puedo hacerlo con dificultad","Puedo hacerlo sin ayuda")</f>
        <v>Puedo hacerlo con dificultad</v>
      </c>
      <c r="AE450" t="str">
        <f t="shared" ref="AE450:AE480" si="139">CHOOSE(INT(MOD((ROW()-2)*73+179,479)/120)+1,"No puedo hacerlo","Puedo hacerlo con ayuda","Puedo hacerlo con dificultad","Puedo hacerlo sin ayuda")</f>
        <v>Puedo hacerlo con dificultad</v>
      </c>
      <c r="AF450" s="9" t="str">
        <f t="shared" ref="AF450:AF480" si="140">CHOOSE(MOD((ROW()-2)*61+23,10)+1,"Crear una hoja de vida","Preparación para entrevista","Comunicación","Liderazgo","Emprendimiento","Herramientas digitales","Educación financiera","Crear una hoja de vida;Preparación para entrevista","Comunicación;Liderazgo","Herramientas digitales;Educación financiera")</f>
        <v>Preparación para entrevista</v>
      </c>
      <c r="AG450" s="9" t="str">
        <f t="shared" ref="AG450:AG480" si="141">CHOOSE(MOD(INT((ROW()-2)/3)*7,9)+1,"Costos de transporte","Distancia","Horarios","Falta de experiencia","Falta de información","Ninguna","Costos de transporte;Distancia","Horarios;Falta de información","Falta de experiencia;Falta de información")</f>
        <v>Falta de experiencia;Falta de información</v>
      </c>
      <c r="AH450" t="str">
        <f t="shared" ref="AH450:AH480" si="142">CHOOSE(INT(MOD((ROW()-2)*199+59,479)/120)+1,"Oficina de orientación laboral","Ferias de empleo","Programas de emprendimiento","No conozco ninguno")</f>
        <v>Oficina de orientación laboral</v>
      </c>
      <c r="AI450" s="9" t="str">
        <f t="shared" ref="AI450:AI480" si="143">CHOOSE(INT(MOD((ROW()-2)*127+71,479)/120)+1,"Presencial","Virtual","Presencial y virtual","Me es indiferente")</f>
        <v>Me es indiferente</v>
      </c>
      <c r="AJ450" s="9" t="str">
        <f t="shared" ref="AJ450:AJ480" si="144">CHOOSE(INT(MOD((ROW()-2)*163+97,479)/120)+1,"Diurno","Nocturno","Mañana entre semana","Fines de semana")</f>
        <v>Mañana entre semana</v>
      </c>
      <c r="AK450" s="9" t="str">
        <f t="shared" ref="AK450:AK480" si="145">CHOOSE(INT(MOD((ROW()-2)*181+109,479)/120)+1,"WhatsApp","Correo electrónico","Redes sociales","Celular")</f>
        <v>Redes sociales</v>
      </c>
    </row>
    <row r="451" spans="1:37">
      <c r="A451" t="str">
        <f t="shared" ref="A451:A479" si="146">"SG"&amp;TEXT(ROW()-1,"000")</f>
        <v>SG450</v>
      </c>
      <c r="B451" t="s">
        <v>57</v>
      </c>
      <c r="C451" s="9" t="s">
        <v>427</v>
      </c>
      <c r="D451" t="str">
        <f t="shared" si="129"/>
        <v>Masculino</v>
      </c>
      <c r="E451" t="str">
        <f t="shared" si="130"/>
        <v>De 26 a 28 años</v>
      </c>
      <c r="F451">
        <f t="shared" si="131"/>
        <v>28</v>
      </c>
      <c r="G451" t="str">
        <f t="shared" si="128"/>
        <v>Centro poblado</v>
      </c>
      <c r="H451" s="9" t="str">
        <f t="shared" si="132"/>
        <v>Profesional</v>
      </c>
      <c r="I451" s="9" t="str">
        <f t="shared" si="133"/>
        <v>Trabajo actualmente como empleado</v>
      </c>
      <c r="J451" s="13" t="str">
        <f>IF(I451="Trabajo actualmente como empleado",IF(MOD((COUNTIF($I$2:I451,"Trabajo actualmente como empleado")-1)*37,150)&lt;100,"Empleado con contrato","Empleado sin contrato formal"),IF(I451="Trabajo de manera independiente","Trabajo independiente",""))</f>
        <v>Empleado con contrato</v>
      </c>
      <c r="K451" s="9" t="str">
        <f>IF(OR(I451="Trabajo actualmente como empleado",I451="Trabajo de manera independiente"),CHOOSE(MOD(COUNTIF($I$2:I451,I451)-1,4)+1,"Menos de 3 meses","De 3 a 6 meses","De 7 a 12 meses","Más de un año"),"")</f>
        <v>Menos de 3 meses</v>
      </c>
      <c r="L451" t="str">
        <f>IF(OR(I451="Trabajo actualmente como empleado",I451="Trabajo de manera independiente"),CHOOSE(MOD(COUNTIF($I$2:I451,I451)-1,3)+1,"Sí, completamente","Parcialmente","No"),"")</f>
        <v>No</v>
      </c>
      <c r="M451" t="str">
        <f>IF(OR(I451="Trabajo actualmente como empleado",I451="Trabajo de manera independiente"),CHOOSE(MOD(INT((COUNTIF($I$2:I451,I451)-1)/3),4)+1,"1- Muy satisfecho/a","2- Satisfecho/a","3- Insatisfecho/a","4- Muy insatisfecho/a"),"")</f>
        <v>3- Insatisfecho/a</v>
      </c>
      <c r="N451" t="str">
        <f>IF(OR(I451="Trabajo actualmente como empleado",I451="Trabajo de manera independiente"),_xlfn.LET(_xlpm.opcion,MOD(INT((COUNTIF($I$2:I451,I451)-1)/5),6)+1,CHOOSE(IF(AND(_xlpm.opcion=6,L451="Sí, completamente"),5,_xlpm.opcion),"Salario","Estabilidad laboral","Horario","Acceso a prestaciones","Oportunidades de crecimiento","Trabajar en un área relacionada con mi formación")),"")</f>
        <v>Oportunidades de crecimiento</v>
      </c>
      <c r="O451" s="9" t="str">
        <f>IF(OR(I451="Trabajo actualmente como empleado",I451="Trabajo de manera independiente"),_xlfn.LET(_xlpm.turno,MOD(COUNTIF($I$2:I451,I451)-1,5),_xlpm.nivel,VALUE(LEFT(M451,1)),IF(_xlpm.turno=4,"No estoy seguro/a",IF(_xlpm.turno&lt;IF(_xlpm.nivel&lt;=2,1,3),"Sí","No"))),"")</f>
        <v>Sí</v>
      </c>
      <c r="P451" s="9" t="str">
        <f>_xlfn.LET(_xlpm.perfil,I451,_xlpm.turno,COUNTIF($I$2:I451,_xlpm.perfil)-1,_xlpm.busca,OR(_xlpm.perfil="Actualmente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trabajar"),IF(AND(_xlpm.trabaja,O451="No"),"Todavía no he iniciado una búsqueda activa",CHOOSE(MOD(_xlpm.turno*3,5)+1,"Menos de 1 mes","Entre 1 y 3 meses","Entre 4 y 6 meses","Más de 6 meses","Todavía no he iniciado una búsqueda activa")),"")))</f>
        <v>Menos de 1 mes</v>
      </c>
      <c r="Q451" t="str">
        <f>IF(I451="Tengo un emprendimiento o quiero iniciar uno","",CHOOSE(MOD(INT((COUNTIF($I$2:I451,I451)-1)/7),3)+1,"Sí","No","Tengo una pero necesito actualizarla"))</f>
        <v>Tengo una pero necesito actualizarla</v>
      </c>
      <c r="R451" s="9" t="str">
        <f>IF(I451="Tengo un emprendimiento o quiero iniciar uno","",IF(I451="Busco mi primer empleo","No",IF(MOD(COUNTIF($I$2:I451,I451)-1,2)=0,"Sí","No")))</f>
        <v>Sí</v>
      </c>
      <c r="S451" t="str">
        <f>IF(I451="Tengo un emprendimiento o quiero iniciar uno","",CHOOSE(MOD(INT((COUNTIF($I$2:I451,I451)-1)/3),10)+1,"Portales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51" t="str">
        <f>IF(I451="Tengo un emprendimiento o quiero iniciar uno","",_xlfn.LET(_xlpm.opcion,MOD(INT((COUNTIF($I$2:I451,I451)-1)/4),6)+1,CHOOSE(IF(AND(_xlpm.opcion=3,Q451="Sí"),1,_xlpm.opcion),"Falta de experiencia","Falta de formación","Dificultades con la hoja de vida","Horarios disponibles","Transporte","Internet")))</f>
        <v>Internet</v>
      </c>
      <c r="U451" s="9" t="str">
        <f>IF(I451="Tengo un emprendimiento o quiero iniciar uno","",IF(MOD(INT((COUNTIF($I$2:I451,I451)-1)/3),2)=0,"Sí","No"))</f>
        <v>Sí</v>
      </c>
      <c r="V451" s="9" t="str">
        <f>IF(I451="Tengo un emprendimiento o quiero iniciar uno",CHOOSE(MOD(COUNTIF($I$2:I451,I451)-1,3)+1,"Tengo un emprendimiento","Estoy iniciando un emprendimiento","Me interesa emprender"),"")</f>
        <v/>
      </c>
      <c r="W451" t="str">
        <f t="shared" si="134"/>
        <v/>
      </c>
      <c r="X451" s="9" t="str">
        <f>IF(I451="Tengo un emprendimiento o quiero iniciar uno",CHOOSE(MOD(COUNTIF($I$2:I451,I451)-1,5)+1,"Falta de financiación","Falta de conocimientos administrativos","Falta de conocimientos financieros","Falta de tiempo","Falta de herramientas"),"")</f>
        <v/>
      </c>
      <c r="Y451" s="9" t="str">
        <f t="shared" si="135"/>
        <v/>
      </c>
      <c r="Z451" t="str">
        <f>IF(I451="Tengo un emprendimiento o quiero iniciar uno",CHOOSE(INT(MOD((COUNTIF($I$2:I451,I451)-1)*7,39)/13)+1,"Sí","No","No conozco programas de ese tipo"),"")</f>
        <v/>
      </c>
      <c r="AA451" t="str">
        <f t="shared" si="136"/>
        <v>No puedo hacerlo</v>
      </c>
      <c r="AB451" t="str">
        <f t="shared" si="136"/>
        <v>No puedo hacerlo</v>
      </c>
      <c r="AC451" t="str">
        <f t="shared" si="137"/>
        <v>Puedo hacerlo con ayuda</v>
      </c>
      <c r="AD451" s="9" t="str">
        <f t="shared" si="138"/>
        <v>Puedo hacerlo con dificultad</v>
      </c>
      <c r="AE451" t="str">
        <f t="shared" si="139"/>
        <v>Puedo hacerlo sin ayuda</v>
      </c>
      <c r="AF451" s="9" t="str">
        <f t="shared" si="140"/>
        <v>Comunicación</v>
      </c>
      <c r="AG451" s="9" t="str">
        <f t="shared" si="141"/>
        <v>Falta de experiencia;Falta de información</v>
      </c>
      <c r="AH451" t="str">
        <f t="shared" si="142"/>
        <v>Programas de emprendimiento</v>
      </c>
      <c r="AI451" s="9" t="str">
        <f t="shared" si="143"/>
        <v>Presencial</v>
      </c>
      <c r="AJ451" s="9" t="str">
        <f t="shared" si="144"/>
        <v>Fines de semana</v>
      </c>
      <c r="AK451" s="9" t="str">
        <f t="shared" si="145"/>
        <v>Celular</v>
      </c>
    </row>
    <row r="452" spans="1:37">
      <c r="A452" t="str">
        <f t="shared" si="146"/>
        <v>SG451</v>
      </c>
      <c r="B452" t="s">
        <v>57</v>
      </c>
      <c r="C452" s="9" t="s">
        <v>427</v>
      </c>
      <c r="D452" t="str">
        <f t="shared" si="129"/>
        <v>Femenino</v>
      </c>
      <c r="E452" t="str">
        <f t="shared" si="130"/>
        <v>De 18 a 20 años</v>
      </c>
      <c r="F452">
        <f t="shared" si="131"/>
        <v>18</v>
      </c>
      <c r="G452" t="str">
        <f t="shared" si="128"/>
        <v>Rural</v>
      </c>
      <c r="H452" s="9" t="str">
        <f t="shared" si="132"/>
        <v>Técnico</v>
      </c>
      <c r="I452" s="9" t="str">
        <f t="shared" si="133"/>
        <v>Actualmente no trabajo y estoy buscando empleo</v>
      </c>
      <c r="J452" s="13" t="str">
        <f>IF(I452="Trabajo actualmente como empleado",IF(MOD((COUNTIF($I$2:I452,"Trabajo actualmente como empleado")-1)*37,150)&lt;100,"Empleado con contrato","Empleado sin contrato formal"),IF(I452="Trabajo de manera independiente","Trabajo independiente",""))</f>
        <v/>
      </c>
      <c r="K452" s="9" t="str">
        <f>IF(OR(I452="Trabajo actualmente como empleado",I452="Trabajo de manera independiente"),CHOOSE(MOD(COUNTIF($I$2:I452,I452)-1,4)+1,"Menos de 3 meses","De 3 a 6 meses","De 7 a 12 meses","Más de un año"),"")</f>
        <v/>
      </c>
      <c r="L452" t="str">
        <f>IF(OR(I452="Trabajo actualmente como empleado",I452="Trabajo de manera independiente"),CHOOSE(MOD(COUNTIF($I$2:I452,I452)-1,3)+1,"Sí, completamente","Parcialmente","No"),"")</f>
        <v/>
      </c>
      <c r="M452" t="str">
        <f>IF(OR(I452="Trabajo actualmente como empleado",I452="Trabajo de manera independiente"),CHOOSE(MOD(INT((COUNTIF($I$2:I452,I452)-1)/3),4)+1,"1- Muy satisfecho/a","2- Satisfecho/a","3- Insatisfecho/a","4- Muy insatisfecho/a"),"")</f>
        <v/>
      </c>
      <c r="N452" t="str">
        <f>IF(OR(I452="Trabajo actualmente como empleado",I452="Trabajo de manera independiente"),_xlfn.LET(_xlpm.opcion,MOD(INT((COUNTIF($I$2:I452,I452)-1)/5),6)+1,CHOOSE(IF(AND(_xlpm.opcion=6,L452="Sí, completamente"),5,_xlpm.opcion),"Salario","Estabilidad laboral","Horario","Acceso a prestaciones","Oportunidades de crecimiento","Trabajar en un área relacionada con mi formación")),"")</f>
        <v/>
      </c>
      <c r="O452" s="9" t="str">
        <f>IF(OR(I452="Trabajo actualmente como empleado",I452="Trabajo de manera independiente"),_xlfn.LET(_xlpm.turno,MOD(COUNTIF($I$2:I452,I452)-1,5),_xlpm.nivel,VALUE(LEFT(M452,1)),IF(_xlpm.turno=4,"No estoy seguro/a",IF(_xlpm.turno&lt;IF(_xlpm.nivel&lt;=2,1,3),"Sí","No"))),"")</f>
        <v/>
      </c>
      <c r="P452" s="9" t="str">
        <f>_xlfn.LET(_xlpm.perfil,I452,_xlpm.turno,COUNTIF($I$2:I452,_xlpm.perfil)-1,_xlpm.busca,OR(_xlpm.perfil="Actualmente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trabajar"),IF(AND(_xlpm.trabaja,O452="No"),"Todavía no he iniciado una búsqueda activa",CHOOSE(MOD(_xlpm.turno*3,5)+1,"Menos de 1 mes","Entre 1 y 3 meses","Entre 4 y 6 meses","Más de 6 meses","Todavía no he iniciado una búsqueda activa")),"")))</f>
        <v>Entre 1 y 3 meses</v>
      </c>
      <c r="Q452" t="str">
        <f>IF(I452="Tengo un emprendimiento o quiero iniciar uno","",CHOOSE(MOD(INT((COUNTIF($I$2:I452,I452)-1)/7),3)+1,"Sí","No","Tengo una pero necesito actualizarla"))</f>
        <v>Tengo una pero necesito actualizarla</v>
      </c>
      <c r="R452" s="9" t="str">
        <f>IF(I452="Tengo un emprendimiento o quiero iniciar uno","",IF(I452="Busco mi primer empleo","No",IF(MOD(COUNTIF($I$2:I452,I452)-1,2)=0,"Sí","No")))</f>
        <v>No</v>
      </c>
      <c r="S452" t="str">
        <f>IF(I452="Tengo un emprendimiento o quiero iniciar uno","",CHOOSE(MOD(INT((COUNTIF($I$2:I452,I452)-1)/3),10)+1,"Portales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52" t="str">
        <f>IF(I452="Tengo un emprendimiento o quiero iniciar uno","",_xlfn.LET(_xlpm.opcion,MOD(INT((COUNTIF($I$2:I452,I452)-1)/4),6)+1,CHOOSE(IF(AND(_xlpm.opcion=3,Q452="Sí"),1,_xlpm.opcion),"Falta de experiencia","Falta de formación","Dificultades con la hoja de vida","Horarios disponibles","Transporte","Internet")))</f>
        <v>Dificultades con la hoja de vida</v>
      </c>
      <c r="U452" s="9" t="str">
        <f>IF(I452="Tengo un emprendimiento o quiero iniciar uno","",IF(MOD(INT((COUNTIF($I$2:I452,I452)-1)/3),2)=0,"Sí","No"))</f>
        <v>No</v>
      </c>
      <c r="V452" s="9" t="str">
        <f>IF(I452="Tengo un emprendimiento o quiero iniciar uno",CHOOSE(MOD(COUNTIF($I$2:I452,I452)-1,3)+1,"Tengo un emprendimiento","Estoy iniciando un emprendimiento","Me interesa emprender"),"")</f>
        <v/>
      </c>
      <c r="W452" t="str">
        <f t="shared" si="134"/>
        <v/>
      </c>
      <c r="X452" s="9" t="str">
        <f>IF(I452="Tengo un emprendimiento o quiero iniciar uno",CHOOSE(MOD(COUNTIF($I$2:I452,I452)-1,5)+1,"Falta de financiación","Falta de conocimientos administrativos","Falta de conocimientos financieros","Falta de tiempo","Falta de herramientas"),"")</f>
        <v/>
      </c>
      <c r="Y452" s="9" t="str">
        <f t="shared" si="135"/>
        <v/>
      </c>
      <c r="Z452" t="str">
        <f>IF(I452="Tengo un emprendimiento o quiero iniciar uno",CHOOSE(INT(MOD((COUNTIF($I$2:I452,I452)-1)*7,39)/13)+1,"Sí","No","No conozco programas de ese tipo"),"")</f>
        <v/>
      </c>
      <c r="AA452" t="str">
        <f t="shared" si="136"/>
        <v>Puedo hacerlo con ayuda</v>
      </c>
      <c r="AB452" t="str">
        <f t="shared" si="136"/>
        <v>Puedo hacerlo con ayuda</v>
      </c>
      <c r="AC452" t="str">
        <f t="shared" si="137"/>
        <v>Puedo hacerlo con dificultad</v>
      </c>
      <c r="AD452" s="9" t="str">
        <f t="shared" si="138"/>
        <v>Puedo hacerlo sin ayuda</v>
      </c>
      <c r="AE452" t="str">
        <f t="shared" si="139"/>
        <v>Puedo hacerlo sin ayuda</v>
      </c>
      <c r="AF452" s="9" t="str">
        <f t="shared" si="140"/>
        <v>Liderazgo</v>
      </c>
      <c r="AG452" s="9" t="str">
        <f t="shared" si="141"/>
        <v>Costos de transporte;Distancia</v>
      </c>
      <c r="AH452" t="str">
        <f t="shared" si="142"/>
        <v>Oficina de orientación laboral</v>
      </c>
      <c r="AI452" s="9" t="str">
        <f t="shared" si="143"/>
        <v>Virtual</v>
      </c>
      <c r="AJ452" s="9" t="str">
        <f t="shared" si="144"/>
        <v>Nocturno</v>
      </c>
      <c r="AK452" s="9" t="str">
        <f t="shared" si="145"/>
        <v>Correo electrónico</v>
      </c>
    </row>
    <row r="453" spans="1:37">
      <c r="A453" t="str">
        <f t="shared" si="146"/>
        <v>SG452</v>
      </c>
      <c r="B453" t="s">
        <v>57</v>
      </c>
      <c r="C453" s="9" t="s">
        <v>427</v>
      </c>
      <c r="D453" t="str">
        <f t="shared" si="129"/>
        <v>No quiero responder</v>
      </c>
      <c r="E453" t="str">
        <f t="shared" si="130"/>
        <v>De 20 a 22 años</v>
      </c>
      <c r="F453">
        <f t="shared" si="131"/>
        <v>20</v>
      </c>
      <c r="G453" t="str">
        <f t="shared" si="128"/>
        <v>Centro poblado</v>
      </c>
      <c r="H453" s="9" t="str">
        <f t="shared" si="132"/>
        <v>Tecnólogo</v>
      </c>
      <c r="I453" s="9" t="str">
        <f t="shared" si="133"/>
        <v>Estudio y quiero comenzar a trabajar</v>
      </c>
      <c r="J453" s="13" t="str">
        <f>IF(I453="Trabajo actualmente como empleado",IF(MOD((COUNTIF($I$2:I453,"Trabajo actualmente como empleado")-1)*37,150)&lt;100,"Empleado con contrato","Empleado sin contrato formal"),IF(I453="Trabajo de manera independiente","Trabajo independiente",""))</f>
        <v/>
      </c>
      <c r="K453" s="9" t="str">
        <f>IF(OR(I453="Trabajo actualmente como empleado",I453="Trabajo de manera independiente"),CHOOSE(MOD(COUNTIF($I$2:I453,I453)-1,4)+1,"Menos de 3 meses","De 3 a 6 meses","De 7 a 12 meses","Más de un año"),"")</f>
        <v/>
      </c>
      <c r="L453" t="str">
        <f>IF(OR(I453="Trabajo actualmente como empleado",I453="Trabajo de manera independiente"),CHOOSE(MOD(COUNTIF($I$2:I453,I453)-1,3)+1,"Sí, completamente","Parcialmente","No"),"")</f>
        <v/>
      </c>
      <c r="M453" t="str">
        <f>IF(OR(I453="Trabajo actualmente como empleado",I453="Trabajo de manera independiente"),CHOOSE(MOD(INT((COUNTIF($I$2:I453,I453)-1)/3),4)+1,"1- Muy satisfecho/a","2- Satisfecho/a","3- Insatisfecho/a","4- Muy insatisfecho/a"),"")</f>
        <v/>
      </c>
      <c r="N453" t="str">
        <f>IF(OR(I453="Trabajo actualmente como empleado",I453="Trabajo de manera independiente"),_xlfn.LET(_xlpm.opcion,MOD(INT((COUNTIF($I$2:I453,I453)-1)/5),6)+1,CHOOSE(IF(AND(_xlpm.opcion=6,L453="Sí, completamente"),5,_xlpm.opcion),"Salario","Estabilidad laboral","Horario","Acceso a prestaciones","Oportunidades de crecimiento","Trabajar en un área relacionada con mi formación")),"")</f>
        <v/>
      </c>
      <c r="O453" s="9" t="str">
        <f>IF(OR(I453="Trabajo actualmente como empleado",I453="Trabajo de manera independiente"),_xlfn.LET(_xlpm.turno,MOD(COUNTIF($I$2:I453,I453)-1,5),_xlpm.nivel,VALUE(LEFT(M453,1)),IF(_xlpm.turno=4,"No estoy seguro/a",IF(_xlpm.turno&lt;IF(_xlpm.nivel&lt;=2,1,3),"Sí","No"))),"")</f>
        <v/>
      </c>
      <c r="P453" s="9" t="str">
        <f>_xlfn.LET(_xlpm.perfil,I453,_xlpm.turno,COUNTIF($I$2:I453,_xlpm.perfil)-1,_xlpm.busca,OR(_xlpm.perfil="Actualmente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trabajar"),IF(AND(_xlpm.trabaja,O453="No"),"Todavía no he iniciado una búsqueda activa",CHOOSE(MOD(_xlpm.turno*3,5)+1,"Menos de 1 mes","Entre 1 y 3 meses","Entre 4 y 6 meses","Más de 6 meses","Todavía no he iniciado una búsqueda activa")),"")))</f>
        <v>Más de 6 meses</v>
      </c>
      <c r="Q453" t="str">
        <f>IF(I453="Tengo un emprendimiento o quiero iniciar uno","",CHOOSE(MOD(INT((COUNTIF($I$2:I453,I453)-1)/7),3)+1,"Sí","No","Tengo una pero necesito actualizarla"))</f>
        <v>Tengo una pero necesito actualizarla</v>
      </c>
      <c r="R453" s="9" t="str">
        <f>IF(I453="Tengo un emprendimiento o quiero iniciar uno","",IF(I453="Busco mi primer empleo","No",IF(MOD(COUNTIF($I$2:I453,I453)-1,2)=0,"Sí","No")))</f>
        <v>Sí</v>
      </c>
      <c r="S453" t="str">
        <f>IF(I453="Tengo un emprendimiento o quiero iniciar uno","",CHOOSE(MOD(INT((COUNTIF($I$2:I453,I453)-1)/3),10)+1,"Portales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53" t="str">
        <f>IF(I453="Tengo un emprendimiento o quiero iniciar uno","",_xlfn.LET(_xlpm.opcion,MOD(INT((COUNTIF($I$2:I453,I453)-1)/4),6)+1,CHOOSE(IF(AND(_xlpm.opcion=3,Q453="Sí"),1,_xlpm.opcion),"Falta de experiencia","Falta de formación","Dificultades con la hoja de vida","Horarios disponibles","Transporte","Internet")))</f>
        <v>Dificultades con la hoja de vida</v>
      </c>
      <c r="U453" s="9" t="str">
        <f>IF(I453="Tengo un emprendimiento o quiero iniciar uno","",IF(MOD(INT((COUNTIF($I$2:I453,I453)-1)/3),2)=0,"Sí","No"))</f>
        <v>Sí</v>
      </c>
      <c r="V453" s="9" t="str">
        <f>IF(I453="Tengo un emprendimiento o quiero iniciar uno",CHOOSE(MOD(COUNTIF($I$2:I453,I453)-1,3)+1,"Tengo un emprendimiento","Estoy iniciando un emprendimiento","Me interesa emprender"),"")</f>
        <v/>
      </c>
      <c r="W453" t="str">
        <f t="shared" si="134"/>
        <v/>
      </c>
      <c r="X453" s="9" t="str">
        <f>IF(I453="Tengo un emprendimiento o quiero iniciar uno",CHOOSE(MOD(COUNTIF($I$2:I453,I453)-1,5)+1,"Falta de financiación","Falta de conocimientos administrativos","Falta de conocimientos financieros","Falta de tiempo","Falta de herramientas"),"")</f>
        <v/>
      </c>
      <c r="Y453" s="9" t="str">
        <f t="shared" si="135"/>
        <v/>
      </c>
      <c r="Z453" t="str">
        <f>IF(I453="Tengo un emprendimiento o quiero iniciar uno",CHOOSE(INT(MOD((COUNTIF($I$2:I453,I453)-1)*7,39)/13)+1,"Sí","No","No conozco programas de ese tipo"),"")</f>
        <v/>
      </c>
      <c r="AA453" t="str">
        <f t="shared" si="136"/>
        <v>Puedo hacerlo sin ayuda</v>
      </c>
      <c r="AB453" t="str">
        <f t="shared" si="136"/>
        <v>Puedo hacerlo sin ayuda</v>
      </c>
      <c r="AC453" t="str">
        <f t="shared" si="137"/>
        <v>Puedo hacerlo sin ayuda</v>
      </c>
      <c r="AD453" s="9" t="str">
        <f t="shared" si="138"/>
        <v>No puedo hacerlo</v>
      </c>
      <c r="AE453" t="str">
        <f t="shared" si="139"/>
        <v>No puedo hacerlo</v>
      </c>
      <c r="AF453" s="9" t="str">
        <f t="shared" si="140"/>
        <v>Emprendimiento</v>
      </c>
      <c r="AG453" s="9" t="str">
        <f t="shared" si="141"/>
        <v>Costos de transporte;Distancia</v>
      </c>
      <c r="AH453" t="str">
        <f t="shared" si="142"/>
        <v>Ferias de empleo</v>
      </c>
      <c r="AI453" s="9" t="str">
        <f t="shared" si="143"/>
        <v>Presencial y virtual</v>
      </c>
      <c r="AJ453" s="9" t="str">
        <f t="shared" si="144"/>
        <v>Mañana entre semana</v>
      </c>
      <c r="AK453" s="9" t="str">
        <f t="shared" si="145"/>
        <v>Redes sociales</v>
      </c>
    </row>
    <row r="454" spans="1:37">
      <c r="A454" t="str">
        <f t="shared" si="146"/>
        <v>SG453</v>
      </c>
      <c r="B454" t="s">
        <v>57</v>
      </c>
      <c r="C454" s="9" t="s">
        <v>427</v>
      </c>
      <c r="D454" t="str">
        <f t="shared" si="129"/>
        <v>Masculino</v>
      </c>
      <c r="E454" t="str">
        <f t="shared" si="130"/>
        <v>De 22 a 24 años</v>
      </c>
      <c r="F454">
        <f t="shared" si="131"/>
        <v>22</v>
      </c>
      <c r="G454" t="str">
        <f t="shared" si="128"/>
        <v>Rural</v>
      </c>
      <c r="H454" s="9" t="str">
        <f t="shared" si="132"/>
        <v>Tecnólogo</v>
      </c>
      <c r="I454" s="9" t="str">
        <f t="shared" si="133"/>
        <v>Trabajo actualmente como empleado</v>
      </c>
      <c r="J454" s="13" t="str">
        <f>IF(I454="Trabajo actualmente como empleado",IF(MOD((COUNTIF($I$2:I454,"Trabajo actualmente como empleado")-1)*37,150)&lt;100,"Empleado con contrato","Empleado sin contrato formal"),IF(I454="Trabajo de manera independiente","Trabajo independiente",""))</f>
        <v>Empleado sin contrato formal</v>
      </c>
      <c r="K454" s="9" t="str">
        <f>IF(OR(I454="Trabajo actualmente como empleado",I454="Trabajo de manera independiente"),CHOOSE(MOD(COUNTIF($I$2:I454,I454)-1,4)+1,"Menos de 3 meses","De 3 a 6 meses","De 7 a 12 meses","Más de un año"),"")</f>
        <v>De 3 a 6 meses</v>
      </c>
      <c r="L454" t="str">
        <f>IF(OR(I454="Trabajo actualmente como empleado",I454="Trabajo de manera independiente"),CHOOSE(MOD(COUNTIF($I$2:I454,I454)-1,3)+1,"Sí, completamente","Parcialmente","No"),"")</f>
        <v>Sí, completamente</v>
      </c>
      <c r="M454" t="str">
        <f>IF(OR(I454="Trabajo actualmente como empleado",I454="Trabajo de manera independiente"),CHOOSE(MOD(INT((COUNTIF($I$2:I454,I454)-1)/3),4)+1,"1- Muy satisfecho/a","2- Satisfecho/a","3- Insatisfecho/a","4- Muy insatisfecho/a"),"")</f>
        <v>4- Muy insatisfecho/a</v>
      </c>
      <c r="N454" t="str">
        <f>IF(OR(I454="Trabajo actualmente como empleado",I454="Trabajo de manera independiente"),_xlfn.LET(_xlpm.opcion,MOD(INT((COUNTIF($I$2:I454,I454)-1)/5),6)+1,CHOOSE(IF(AND(_xlpm.opcion=6,L454="Sí, completamente"),5,_xlpm.opcion),"Salario","Estabilidad laboral","Horario","Acceso a prestaciones","Oportunidades de crecimiento","Trabajar en un área relacionada con mi formación")),"")</f>
        <v>Oportunidades de crecimiento</v>
      </c>
      <c r="O454" s="9" t="str">
        <f>IF(OR(I454="Trabajo actualmente como empleado",I454="Trabajo de manera independiente"),_xlfn.LET(_xlpm.turno,MOD(COUNTIF($I$2:I454,I454)-1,5),_xlpm.nivel,VALUE(LEFT(M454,1)),IF(_xlpm.turno=4,"No estoy seguro/a",IF(_xlpm.turno&lt;IF(_xlpm.nivel&lt;=2,1,3),"Sí","No"))),"")</f>
        <v>Sí</v>
      </c>
      <c r="P454" s="9" t="str">
        <f>_xlfn.LET(_xlpm.perfil,I454,_xlpm.turno,COUNTIF($I$2:I454,_xlpm.perfil)-1,_xlpm.busca,OR(_xlpm.perfil="Actualmente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trabajar"),IF(AND(_xlpm.trabaja,O454="No"),"Todavía no he iniciado una búsqueda activa",CHOOSE(MOD(_xlpm.turno*3,5)+1,"Menos de 1 mes","Entre 1 y 3 meses","Entre 4 y 6 meses","Más de 6 meses","Todavía no he iniciado una búsqueda activa")),"")))</f>
        <v>Más de 6 meses</v>
      </c>
      <c r="Q454" t="str">
        <f>IF(I454="Tengo un emprendimiento o quiero iniciar uno","",CHOOSE(MOD(INT((COUNTIF($I$2:I454,I454)-1)/7),3)+1,"Sí","No","Tengo una pero necesito actualizarla"))</f>
        <v>Tengo una pero necesito actualizarla</v>
      </c>
      <c r="R454" s="9" t="str">
        <f>IF(I454="Tengo un emprendimiento o quiero iniciar uno","",IF(I454="Busco mi primer empleo","No",IF(MOD(COUNTIF($I$2:I454,I454)-1,2)=0,"Sí","No")))</f>
        <v>No</v>
      </c>
      <c r="S454" t="str">
        <f>IF(I454="Tengo un emprendimiento o quiero iniciar uno","",CHOOSE(MOD(INT((COUNTIF($I$2:I454,I454)-1)/3),10)+1,"Portales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54" t="str">
        <f>IF(I454="Tengo un emprendimiento o quiero iniciar uno","",_xlfn.LET(_xlpm.opcion,MOD(INT((COUNTIF($I$2:I454,I454)-1)/4),6)+1,CHOOSE(IF(AND(_xlpm.opcion=3,Q454="Sí"),1,_xlpm.opcion),"Falta de experiencia","Falta de formación","Dificultades con la hoja de vida","Horarios disponibles","Transporte","Internet")))</f>
        <v>Internet</v>
      </c>
      <c r="U454" s="9" t="str">
        <f>IF(I454="Tengo un emprendimiento o quiero iniciar uno","",IF(MOD(INT((COUNTIF($I$2:I454,I454)-1)/3),2)=0,"Sí","No"))</f>
        <v>No</v>
      </c>
      <c r="V454" s="9" t="str">
        <f>IF(I454="Tengo un emprendimiento o quiero iniciar uno",CHOOSE(MOD(COUNTIF($I$2:I454,I454)-1,3)+1,"Tengo un emprendimiento","Estoy iniciando un emprendimiento","Me interesa emprender"),"")</f>
        <v/>
      </c>
      <c r="W454" t="str">
        <f t="shared" si="134"/>
        <v/>
      </c>
      <c r="X454" s="9" t="str">
        <f>IF(I454="Tengo un emprendimiento o quiero iniciar uno",CHOOSE(MOD(COUNTIF($I$2:I454,I454)-1,5)+1,"Falta de financiación","Falta de conocimientos administrativos","Falta de conocimientos financieros","Falta de tiempo","Falta de herramientas"),"")</f>
        <v/>
      </c>
      <c r="Y454" s="9" t="str">
        <f t="shared" si="135"/>
        <v/>
      </c>
      <c r="Z454" t="str">
        <f>IF(I454="Tengo un emprendimiento o quiero iniciar uno",CHOOSE(INT(MOD((COUNTIF($I$2:I454,I454)-1)*7,39)/13)+1,"Sí","No","No conozco programas de ese tipo"),"")</f>
        <v/>
      </c>
      <c r="AA454" t="str">
        <f t="shared" si="136"/>
        <v>No puedo hacerlo</v>
      </c>
      <c r="AB454" t="str">
        <f t="shared" si="136"/>
        <v>No puedo hacerlo</v>
      </c>
      <c r="AC454" t="str">
        <f t="shared" si="137"/>
        <v>Puedo hacerlo con ayuda</v>
      </c>
      <c r="AD454" s="9" t="str">
        <f t="shared" si="138"/>
        <v>Puedo hacerlo con ayuda</v>
      </c>
      <c r="AE454" t="str">
        <f t="shared" si="139"/>
        <v>Puedo hacerlo con ayuda</v>
      </c>
      <c r="AF454" s="9" t="str">
        <f t="shared" si="140"/>
        <v>Herramientas digitales</v>
      </c>
      <c r="AG454" s="9" t="str">
        <f t="shared" si="141"/>
        <v>Costos de transporte;Distancia</v>
      </c>
      <c r="AH454" t="str">
        <f t="shared" si="142"/>
        <v>No conozco ninguno</v>
      </c>
      <c r="AI454" s="9" t="str">
        <f t="shared" si="143"/>
        <v>Me es indiferente</v>
      </c>
      <c r="AJ454" s="9" t="str">
        <f t="shared" si="144"/>
        <v>Diurno</v>
      </c>
      <c r="AK454" s="9" t="str">
        <f t="shared" si="145"/>
        <v>WhatsApp</v>
      </c>
    </row>
    <row r="455" spans="1:37">
      <c r="A455" t="str">
        <f t="shared" si="146"/>
        <v>SG454</v>
      </c>
      <c r="B455" t="s">
        <v>57</v>
      </c>
      <c r="C455" s="9" t="s">
        <v>427</v>
      </c>
      <c r="D455" t="str">
        <f t="shared" si="129"/>
        <v>Femenino</v>
      </c>
      <c r="E455" t="str">
        <f t="shared" si="130"/>
        <v>De 24 a 26 años</v>
      </c>
      <c r="F455">
        <f t="shared" si="131"/>
        <v>24</v>
      </c>
      <c r="G455" t="str">
        <f t="shared" si="128"/>
        <v>Centro poblado</v>
      </c>
      <c r="H455" s="9" t="str">
        <f t="shared" si="132"/>
        <v>Profesional</v>
      </c>
      <c r="I455" s="9" t="str">
        <f t="shared" si="133"/>
        <v>Actualmente no trabajo y estoy buscando empleo</v>
      </c>
      <c r="J455" s="13" t="str">
        <f>IF(I455="Trabajo actualmente como empleado",IF(MOD((COUNTIF($I$2:I455,"Trabajo actualmente como empleado")-1)*37,150)&lt;100,"Empleado con contrato","Empleado sin contrato formal"),IF(I455="Trabajo de manera independiente","Trabajo independiente",""))</f>
        <v/>
      </c>
      <c r="K455" s="9" t="str">
        <f>IF(OR(I455="Trabajo actualmente como empleado",I455="Trabajo de manera independiente"),CHOOSE(MOD(COUNTIF($I$2:I455,I455)-1,4)+1,"Menos de 3 meses","De 3 a 6 meses","De 7 a 12 meses","Más de un año"),"")</f>
        <v/>
      </c>
      <c r="L455" t="str">
        <f>IF(OR(I455="Trabajo actualmente como empleado",I455="Trabajo de manera independiente"),CHOOSE(MOD(COUNTIF($I$2:I455,I455)-1,3)+1,"Sí, completamente","Parcialmente","No"),"")</f>
        <v/>
      </c>
      <c r="M455" t="str">
        <f>IF(OR(I455="Trabajo actualmente como empleado",I455="Trabajo de manera independiente"),CHOOSE(MOD(INT((COUNTIF($I$2:I455,I455)-1)/3),4)+1,"1- Muy satisfecho/a","2- Satisfecho/a","3- Insatisfecho/a","4- Muy insatisfecho/a"),"")</f>
        <v/>
      </c>
      <c r="N455" t="str">
        <f>IF(OR(I455="Trabajo actualmente como empleado",I455="Trabajo de manera independiente"),_xlfn.LET(_xlpm.opcion,MOD(INT((COUNTIF($I$2:I455,I455)-1)/5),6)+1,CHOOSE(IF(AND(_xlpm.opcion=6,L455="Sí, completamente"),5,_xlpm.opcion),"Salario","Estabilidad laboral","Horario","Acceso a prestaciones","Oportunidades de crecimiento","Trabajar en un área relacionada con mi formación")),"")</f>
        <v/>
      </c>
      <c r="O455" s="9" t="str">
        <f>IF(OR(I455="Trabajo actualmente como empleado",I455="Trabajo de manera independiente"),_xlfn.LET(_xlpm.turno,MOD(COUNTIF($I$2:I455,I455)-1,5),_xlpm.nivel,VALUE(LEFT(M455,1)),IF(_xlpm.turno=4,"No estoy seguro/a",IF(_xlpm.turno&lt;IF(_xlpm.nivel&lt;=2,1,3),"Sí","No"))),"")</f>
        <v/>
      </c>
      <c r="P455" s="9" t="str">
        <f>_xlfn.LET(_xlpm.perfil,I455,_xlpm.turno,COUNTIF($I$2:I455,_xlpm.perfil)-1,_xlpm.busca,OR(_xlpm.perfil="Actualmente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trabajar"),IF(AND(_xlpm.trabaja,O455="No"),"Todavía no he iniciado una búsqueda activa",CHOOSE(MOD(_xlpm.turno*3,5)+1,"Menos de 1 mes","Entre 1 y 3 meses","Entre 4 y 6 meses","Más de 6 meses","Todavía no he iniciado una búsqueda activa")),"")))</f>
        <v>Menos de 1 mes</v>
      </c>
      <c r="Q455" t="str">
        <f>IF(I455="Tengo un emprendimiento o quiero iniciar uno","",CHOOSE(MOD(INT((COUNTIF($I$2:I455,I455)-1)/7),3)+1,"Sí","No","Tengo una pero necesito actualizarla"))</f>
        <v>Sí</v>
      </c>
      <c r="R455" s="9" t="str">
        <f>IF(I455="Tengo un emprendimiento o quiero iniciar uno","",IF(I455="Busco mi primer empleo","No",IF(MOD(COUNTIF($I$2:I455,I455)-1,2)=0,"Sí","No")))</f>
        <v>Sí</v>
      </c>
      <c r="S455" t="str">
        <f>IF(I455="Tengo un emprendimiento o quiero iniciar uno","",CHOOSE(MOD(INT((COUNTIF($I$2:I455,I455)-1)/3),10)+1,"Portales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55" t="str">
        <f>IF(I455="Tengo un emprendimiento o quiero iniciar uno","",_xlfn.LET(_xlpm.opcion,MOD(INT((COUNTIF($I$2:I455,I455)-1)/4),6)+1,CHOOSE(IF(AND(_xlpm.opcion=3,Q455="Sí"),1,_xlpm.opcion),"Falta de experiencia","Falta de formación","Dificultades con la hoja de vida","Horarios disponibles","Transporte","Internet")))</f>
        <v>Horarios disponibles</v>
      </c>
      <c r="U455" s="9" t="str">
        <f>IF(I455="Tengo un emprendimiento o quiero iniciar uno","",IF(MOD(INT((COUNTIF($I$2:I455,I455)-1)/3),2)=0,"Sí","No"))</f>
        <v>Sí</v>
      </c>
      <c r="V455" s="9" t="str">
        <f>IF(I455="Tengo un emprendimiento o quiero iniciar uno",CHOOSE(MOD(COUNTIF($I$2:I455,I455)-1,3)+1,"Tengo un emprendimiento","Estoy iniciando un emprendimiento","Me interesa emprender"),"")</f>
        <v/>
      </c>
      <c r="W455" t="str">
        <f t="shared" si="134"/>
        <v/>
      </c>
      <c r="X455" s="9" t="str">
        <f>IF(I455="Tengo un emprendimiento o quiero iniciar uno",CHOOSE(MOD(COUNTIF($I$2:I455,I455)-1,5)+1,"Falta de financiación","Falta de conocimientos administrativos","Falta de conocimientos financieros","Falta de tiempo","Falta de herramientas"),"")</f>
        <v/>
      </c>
      <c r="Y455" s="9" t="str">
        <f t="shared" si="135"/>
        <v/>
      </c>
      <c r="Z455" t="str">
        <f>IF(I455="Tengo un emprendimiento o quiero iniciar uno",CHOOSE(INT(MOD((COUNTIF($I$2:I455,I455)-1)*7,39)/13)+1,"Sí","No","No conozco programas de ese tipo"),"")</f>
        <v/>
      </c>
      <c r="AA455" t="str">
        <f t="shared" si="136"/>
        <v>Puedo hacerlo con dificultad</v>
      </c>
      <c r="AB455" t="str">
        <f t="shared" si="136"/>
        <v>Puedo hacerlo con dificultad</v>
      </c>
      <c r="AC455" t="str">
        <f t="shared" si="137"/>
        <v>Puedo hacerlo con dificultad</v>
      </c>
      <c r="AD455" s="9" t="str">
        <f t="shared" si="138"/>
        <v>Puedo hacerlo con ayuda</v>
      </c>
      <c r="AE455" t="str">
        <f t="shared" si="139"/>
        <v>Puedo hacerlo con ayuda</v>
      </c>
      <c r="AF455" s="9" t="str">
        <f t="shared" si="140"/>
        <v>Educación financiera</v>
      </c>
      <c r="AG455" s="9" t="str">
        <f t="shared" si="141"/>
        <v>Falta de información</v>
      </c>
      <c r="AH455" t="str">
        <f t="shared" si="142"/>
        <v>Ferias de empleo</v>
      </c>
      <c r="AI455" s="9" t="str">
        <f t="shared" si="143"/>
        <v>Virtual</v>
      </c>
      <c r="AJ455" s="9" t="str">
        <f t="shared" si="144"/>
        <v>Nocturno</v>
      </c>
      <c r="AK455" s="9" t="str">
        <f t="shared" si="145"/>
        <v>Correo electrónico</v>
      </c>
    </row>
    <row r="456" spans="1:37">
      <c r="A456" t="str">
        <f t="shared" si="146"/>
        <v>SG455</v>
      </c>
      <c r="B456" t="s">
        <v>57</v>
      </c>
      <c r="C456" s="9" t="s">
        <v>427</v>
      </c>
      <c r="D456" t="str">
        <f t="shared" si="129"/>
        <v>Femenino</v>
      </c>
      <c r="E456" t="str">
        <f t="shared" si="130"/>
        <v>De 26 a 28 años</v>
      </c>
      <c r="F456">
        <f t="shared" si="131"/>
        <v>26</v>
      </c>
      <c r="G456" t="str">
        <f t="shared" si="128"/>
        <v>Rural</v>
      </c>
      <c r="H456" s="9" t="str">
        <f t="shared" si="132"/>
        <v>Bachiller</v>
      </c>
      <c r="I456" s="9" t="str">
        <f t="shared" si="133"/>
        <v>Tengo un emprendimiento o quiero iniciar uno</v>
      </c>
      <c r="J456" s="13" t="str">
        <f>IF(I456="Trabajo actualmente como empleado",IF(MOD((COUNTIF($I$2:I456,"Trabajo actualmente como empleado")-1)*37,150)&lt;100,"Empleado con contrato","Empleado sin contrato formal"),IF(I456="Trabajo de manera independiente","Trabajo independiente",""))</f>
        <v/>
      </c>
      <c r="K456" s="9" t="str">
        <f>IF(OR(I456="Trabajo actualmente como empleado",I456="Trabajo de manera independiente"),CHOOSE(MOD(COUNTIF($I$2:I456,I456)-1,4)+1,"Menos de 3 meses","De 3 a 6 meses","De 7 a 12 meses","Más de un año"),"")</f>
        <v/>
      </c>
      <c r="L456" t="str">
        <f>IF(OR(I456="Trabajo actualmente como empleado",I456="Trabajo de manera independiente"),CHOOSE(MOD(COUNTIF($I$2:I456,I456)-1,3)+1,"Sí, completamente","Parcialmente","No"),"")</f>
        <v/>
      </c>
      <c r="M456" t="str">
        <f>IF(OR(I456="Trabajo actualmente como empleado",I456="Trabajo de manera independiente"),CHOOSE(MOD(INT((COUNTIF($I$2:I456,I456)-1)/3),4)+1,"1- Muy satisfecho/a","2- Satisfecho/a","3- Insatisfecho/a","4- Muy insatisfecho/a"),"")</f>
        <v/>
      </c>
      <c r="N456" t="str">
        <f>IF(OR(I456="Trabajo actualmente como empleado",I456="Trabajo de manera independiente"),_xlfn.LET(_xlpm.opcion,MOD(INT((COUNTIF($I$2:I456,I456)-1)/5),6)+1,CHOOSE(IF(AND(_xlpm.opcion=6,L456="Sí, completamente"),5,_xlpm.opcion),"Salario","Estabilidad laboral","Horario","Acceso a prestaciones","Oportunidades de crecimiento","Trabajar en un área relacionada con mi formación")),"")</f>
        <v/>
      </c>
      <c r="O456" s="9" t="str">
        <f>IF(OR(I456="Trabajo actualmente como empleado",I456="Trabajo de manera independiente"),_xlfn.LET(_xlpm.turno,MOD(COUNTIF($I$2:I456,I456)-1,5),_xlpm.nivel,VALUE(LEFT(M456,1)),IF(_xlpm.turno=4,"No estoy seguro/a",IF(_xlpm.turno&lt;IF(_xlpm.nivel&lt;=2,1,3),"Sí","No"))),"")</f>
        <v/>
      </c>
      <c r="P456" s="9" t="str">
        <f>_xlfn.LET(_xlpm.perfil,I456,_xlpm.turno,COUNTIF($I$2:I456,_xlpm.perfil)-1,_xlpm.busca,OR(_xlpm.perfil="Actualmente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trabajar"),IF(AND(_xlpm.trabaja,O456="No"),"Todavía no he iniciado una búsqueda activa",CHOOSE(MOD(_xlpm.turno*3,5)+1,"Menos de 1 mes","Entre 1 y 3 meses","Entre 4 y 6 meses","Más de 6 meses","Todavía no he iniciado una búsqueda activa")),"")))</f>
        <v/>
      </c>
      <c r="Q456" t="str">
        <f>IF(I456="Tengo un emprendimiento o quiero iniciar uno","",CHOOSE(MOD(INT((COUNTIF($I$2:I456,I456)-1)/7),3)+1,"Sí","No","Tengo una pero necesito actualizarla"))</f>
        <v/>
      </c>
      <c r="R456" s="9" t="str">
        <f>IF(I456="Tengo un emprendimiento o quiero iniciar uno","",IF(I456="Busco mi primer empleo","No",IF(MOD(COUNTIF($I$2:I456,I456)-1,2)=0,"Sí","No")))</f>
        <v/>
      </c>
      <c r="S456" t="str">
        <f>IF(I456="Tengo un emprendimiento o quiero iniciar uno","",CHOOSE(MOD(INT((COUNTIF($I$2:I456,I456)-1)/3),10)+1,"Portales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456" t="str">
        <f>IF(I456="Tengo un emprendimiento o quiero iniciar uno","",_xlfn.LET(_xlpm.opcion,MOD(INT((COUNTIF($I$2:I456,I456)-1)/4),6)+1,CHOOSE(IF(AND(_xlpm.opcion=3,Q456="Sí"),1,_xlpm.opcion),"Falta de experiencia","Falta de formación","Dificultades con la hoja de vida","Horarios disponibles","Transporte","Internet")))</f>
        <v/>
      </c>
      <c r="U456" s="9" t="str">
        <f>IF(I456="Tengo un emprendimiento o quiero iniciar uno","",IF(MOD(INT((COUNTIF($I$2:I456,I456)-1)/3),2)=0,"Sí","No"))</f>
        <v/>
      </c>
      <c r="V456" s="9" t="str">
        <f>IF(I456="Tengo un emprendimiento o quiero iniciar uno",CHOOSE(MOD(COUNTIF($I$2:I456,I456)-1,3)+1,"Tengo un emprendimiento","Estoy iniciando un emprendimiento","Me interesa emprender"),"")</f>
        <v>Estoy iniciando un emprendimiento</v>
      </c>
      <c r="W456" t="str">
        <f t="shared" si="134"/>
        <v>Inicio</v>
      </c>
      <c r="X456" s="9" t="str">
        <f>IF(I456="Tengo un emprendimiento o quiero iniciar uno",CHOOSE(MOD(COUNTIF($I$2:I456,I456)-1,5)+1,"Falta de financiación","Falta de conocimientos administrativos","Falta de conocimientos financieros","Falta de tiempo","Falta de herramientas"),"")</f>
        <v>Falta de conocimientos financieros</v>
      </c>
      <c r="Y456" s="9" t="str">
        <f t="shared" si="135"/>
        <v>Falta de conocimientos financieros</v>
      </c>
      <c r="Z456" t="str">
        <f>IF(I456="Tengo un emprendimiento o quiero iniciar uno",CHOOSE(INT(MOD((COUNTIF($I$2:I456,I456)-1)*7,39)/13)+1,"Sí","No","No conozco programas de ese tipo"),"")</f>
        <v>No</v>
      </c>
      <c r="AA456" t="str">
        <f t="shared" si="136"/>
        <v>No puedo hacerlo</v>
      </c>
      <c r="AB456" t="str">
        <f t="shared" si="136"/>
        <v>No puedo hacerlo</v>
      </c>
      <c r="AC456" t="str">
        <f t="shared" si="137"/>
        <v>Puedo hacerlo sin ayuda</v>
      </c>
      <c r="AD456" s="9" t="str">
        <f t="shared" si="138"/>
        <v>Puedo hacerlo con dificultad</v>
      </c>
      <c r="AE456" t="str">
        <f t="shared" si="139"/>
        <v>Puedo hacerlo con dificultad</v>
      </c>
      <c r="AF456" s="9" t="str">
        <f t="shared" si="140"/>
        <v>Crear una hoja de vida;Preparación para entrevista</v>
      </c>
      <c r="AG456" s="9" t="str">
        <f t="shared" si="141"/>
        <v>Falta de información</v>
      </c>
      <c r="AH456" t="str">
        <f t="shared" si="142"/>
        <v>Programas de emprendimiento</v>
      </c>
      <c r="AI456" s="9" t="str">
        <f t="shared" si="143"/>
        <v>Presencial y virtual</v>
      </c>
      <c r="AJ456" s="9" t="str">
        <f t="shared" si="144"/>
        <v>Mañana entre semana</v>
      </c>
      <c r="AK456" s="9" t="str">
        <f t="shared" si="145"/>
        <v>Celular</v>
      </c>
    </row>
    <row r="457" spans="1:37">
      <c r="A457" t="str">
        <f t="shared" si="146"/>
        <v>SG456</v>
      </c>
      <c r="B457" t="s">
        <v>57</v>
      </c>
      <c r="C457" s="9" t="s">
        <v>427</v>
      </c>
      <c r="D457" t="str">
        <f t="shared" si="129"/>
        <v>Masculino</v>
      </c>
      <c r="E457" t="str">
        <f t="shared" si="130"/>
        <v>De 18 a 20 años</v>
      </c>
      <c r="F457">
        <f t="shared" si="131"/>
        <v>19</v>
      </c>
      <c r="G457" t="str">
        <f t="shared" si="128"/>
        <v>Centro poblado</v>
      </c>
      <c r="H457" s="9" t="str">
        <f t="shared" si="132"/>
        <v>Bachiller</v>
      </c>
      <c r="I457" s="9" t="str">
        <f t="shared" si="133"/>
        <v>Trabajo de manera independiente</v>
      </c>
      <c r="J457" s="13" t="str">
        <f>IF(I457="Trabajo actualmente como empleado",IF(MOD((COUNTIF($I$2:I457,"Trabajo actualmente como empleado")-1)*37,150)&lt;100,"Empleado con contrato","Empleado sin contrato formal"),IF(I457="Trabajo de manera independiente","Trabajo independiente",""))</f>
        <v>Trabajo independiente</v>
      </c>
      <c r="K457" s="9" t="str">
        <f>IF(OR(I457="Trabajo actualmente como empleado",I457="Trabajo de manera independiente"),CHOOSE(MOD(COUNTIF($I$2:I457,I457)-1,4)+1,"Menos de 3 meses","De 3 a 6 meses","De 7 a 12 meses","Más de un año"),"")</f>
        <v>Menos de 3 meses</v>
      </c>
      <c r="L457" t="str">
        <f>IF(OR(I457="Trabajo actualmente como empleado",I457="Trabajo de manera independiente"),CHOOSE(MOD(COUNTIF($I$2:I457,I457)-1,3)+1,"Sí, completamente","Parcialmente","No"),"")</f>
        <v>Parcialmente</v>
      </c>
      <c r="M457" t="str">
        <f>IF(OR(I457="Trabajo actualmente como empleado",I457="Trabajo de manera independiente"),CHOOSE(MOD(INT((COUNTIF($I$2:I457,I457)-1)/3),4)+1,"1- Muy satisfecho/a","2- Satisfecho/a","3- Insatisfecho/a","4- Muy insatisfecho/a"),"")</f>
        <v>2- Satisfecho/a</v>
      </c>
      <c r="N457" t="str">
        <f>IF(OR(I457="Trabajo actualmente como empleado",I457="Trabajo de manera independiente"),_xlfn.LET(_xlpm.opcion,MOD(INT((COUNTIF($I$2:I457,I457)-1)/5),6)+1,CHOOSE(IF(AND(_xlpm.opcion=6,L457="Sí, completamente"),5,_xlpm.opcion),"Salario","Estabilidad laboral","Horario","Acceso a prestaciones","Oportunidades de crecimiento","Trabajar en un área relacionada con mi formación")),"")</f>
        <v>Acceso a prestaciones</v>
      </c>
      <c r="O457" s="9" t="str">
        <f>IF(OR(I457="Trabajo actualmente como empleado",I457="Trabajo de manera independiente"),_xlfn.LET(_xlpm.turno,MOD(COUNTIF($I$2:I457,I457)-1,5),_xlpm.nivel,VALUE(LEFT(M457,1)),IF(_xlpm.turno=4,"No estoy seguro/a",IF(_xlpm.turno&lt;IF(_xlpm.nivel&lt;=2,1,3),"Sí","No"))),"")</f>
        <v>No</v>
      </c>
      <c r="P457" s="9" t="str">
        <f>_xlfn.LET(_xlpm.perfil,I457,_xlpm.turno,COUNTIF($I$2:I457,_xlpm.perfil)-1,_xlpm.busca,OR(_xlpm.perfil="Actualmente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trabajar"),IF(AND(_xlpm.trabaja,O457="No"),"Todavía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57" t="str">
        <f>IF(I457="Tengo un emprendimiento o quiero iniciar uno","",CHOOSE(MOD(INT((COUNTIF($I$2:I457,I457)-1)/7),3)+1,"Sí","No","Tengo una pero necesito actualizarla"))</f>
        <v>No</v>
      </c>
      <c r="R457" s="9" t="str">
        <f>IF(I457="Tengo un emprendimiento o quiero iniciar uno","",IF(I457="Busco mi primer empleo","No",IF(MOD(COUNTIF($I$2:I457,I457)-1,2)=0,"Sí","No")))</f>
        <v>Sí</v>
      </c>
      <c r="S457" t="str">
        <f>IF(I457="Tengo un emprendimiento o quiero iniciar uno","",CHOOSE(MOD(INT((COUNTIF($I$2:I457,I457)-1)/3),10)+1,"Portales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57" t="str">
        <f>IF(I457="Tengo un emprendimiento o quiero iniciar uno","",_xlfn.LET(_xlpm.opcion,MOD(INT((COUNTIF($I$2:I457,I457)-1)/4),6)+1,CHOOSE(IF(AND(_xlpm.opcion=3,Q457="Sí"),1,_xlpm.opcion),"Falta de experiencia","Falta de formación","Dificultades con la hoja de vida","Horarios disponibles","Transporte","Internet")))</f>
        <v>Falta de formación</v>
      </c>
      <c r="U457" s="9" t="str">
        <f>IF(I457="Tengo un emprendimiento o quiero iniciar uno","",IF(MOD(INT((COUNTIF($I$2:I457,I457)-1)/3),2)=0,"Sí","No"))</f>
        <v>No</v>
      </c>
      <c r="V457" s="9" t="str">
        <f>IF(I457="Tengo un emprendimiento o quiero iniciar uno",CHOOSE(MOD(COUNTIF($I$2:I457,I457)-1,3)+1,"Tengo un emprendimiento","Estoy iniciando un emprendimiento","Me interesa emprender"),"")</f>
        <v/>
      </c>
      <c r="W457" t="str">
        <f t="shared" si="134"/>
        <v/>
      </c>
      <c r="X457" s="9" t="str">
        <f>IF(I457="Tengo un emprendimiento o quiero iniciar uno",CHOOSE(MOD(COUNTIF($I$2:I457,I457)-1,5)+1,"Falta de financiación","Falta de conocimientos administrativos","Falta de conocimientos financieros","Falta de tiempo","Falta de herramientas"),"")</f>
        <v/>
      </c>
      <c r="Y457" s="9" t="str">
        <f t="shared" si="135"/>
        <v/>
      </c>
      <c r="Z457" t="str">
        <f>IF(I457="Tengo un emprendimiento o quiero iniciar uno",CHOOSE(INT(MOD((COUNTIF($I$2:I457,I457)-1)*7,39)/13)+1,"Sí","No","No conozco programas de ese tipo"),"")</f>
        <v/>
      </c>
      <c r="AA457" t="str">
        <f t="shared" si="136"/>
        <v>Puedo hacerlo con ayuda</v>
      </c>
      <c r="AB457" t="str">
        <f t="shared" si="136"/>
        <v>Puedo hacerlo con ayuda</v>
      </c>
      <c r="AC457" t="str">
        <f t="shared" si="137"/>
        <v>Puedo hacerlo con ayuda</v>
      </c>
      <c r="AD457" s="9" t="str">
        <f t="shared" si="138"/>
        <v>Puedo hacerlo sin ayuda</v>
      </c>
      <c r="AE457" t="str">
        <f t="shared" si="139"/>
        <v>Puedo hacerlo con dificultad</v>
      </c>
      <c r="AF457" s="9" t="str">
        <f t="shared" si="140"/>
        <v>Comunicación;Liderazgo</v>
      </c>
      <c r="AG457" s="9" t="str">
        <f t="shared" si="141"/>
        <v>Falta de información</v>
      </c>
      <c r="AH457" t="str">
        <f t="shared" si="142"/>
        <v>Oficina de orientación laboral</v>
      </c>
      <c r="AI457" s="9" t="str">
        <f t="shared" si="143"/>
        <v>Me es indiferente</v>
      </c>
      <c r="AJ457" s="9" t="str">
        <f t="shared" si="144"/>
        <v>Diurno</v>
      </c>
      <c r="AK457" s="9" t="str">
        <f t="shared" si="145"/>
        <v>WhatsApp</v>
      </c>
    </row>
    <row r="458" spans="1:37">
      <c r="A458" t="str">
        <f t="shared" si="146"/>
        <v>SG457</v>
      </c>
      <c r="B458" t="s">
        <v>57</v>
      </c>
      <c r="C458" s="9" t="s">
        <v>427</v>
      </c>
      <c r="D458" t="str">
        <f t="shared" si="129"/>
        <v>Masculino</v>
      </c>
      <c r="E458" t="str">
        <f t="shared" si="130"/>
        <v>De 20 a 22 años</v>
      </c>
      <c r="F458">
        <f t="shared" si="131"/>
        <v>21</v>
      </c>
      <c r="G458" t="str">
        <f t="shared" si="128"/>
        <v>Rural</v>
      </c>
      <c r="H458" s="9" t="str">
        <f t="shared" si="132"/>
        <v>Bachiller</v>
      </c>
      <c r="I458" s="9" t="str">
        <f t="shared" si="133"/>
        <v>Busco mi primer empleo</v>
      </c>
      <c r="J458" s="13" t="str">
        <f>IF(I458="Trabajo actualmente como empleado",IF(MOD((COUNTIF($I$2:I458,"Trabajo actualmente como empleado")-1)*37,150)&lt;100,"Empleado con contrato","Empleado sin contrato formal"),IF(I458="Trabajo de manera independiente","Trabajo independiente",""))</f>
        <v/>
      </c>
      <c r="K458" s="9" t="str">
        <f>IF(OR(I458="Trabajo actualmente como empleado",I458="Trabajo de manera independiente"),CHOOSE(MOD(COUNTIF($I$2:I458,I458)-1,4)+1,"Menos de 3 meses","De 3 a 6 meses","De 7 a 12 meses","Más de un año"),"")</f>
        <v/>
      </c>
      <c r="L458" t="str">
        <f>IF(OR(I458="Trabajo actualmente como empleado",I458="Trabajo de manera independiente"),CHOOSE(MOD(COUNTIF($I$2:I458,I458)-1,3)+1,"Sí, completamente","Parcialmente","No"),"")</f>
        <v/>
      </c>
      <c r="M458" t="str">
        <f>IF(OR(I458="Trabajo actualmente como empleado",I458="Trabajo de manera independiente"),CHOOSE(MOD(INT((COUNTIF($I$2:I458,I458)-1)/3),4)+1,"1- Muy satisfecho/a","2- Satisfecho/a","3- Insatisfecho/a","4- Muy insatisfecho/a"),"")</f>
        <v/>
      </c>
      <c r="N458" t="str">
        <f>IF(OR(I458="Trabajo actualmente como empleado",I458="Trabajo de manera independiente"),_xlfn.LET(_xlpm.opcion,MOD(INT((COUNTIF($I$2:I458,I458)-1)/5),6)+1,CHOOSE(IF(AND(_xlpm.opcion=6,L458="Sí, completamente"),5,_xlpm.opcion),"Salario","Estabilidad laboral","Horario","Acceso a prestaciones","Oportunidades de crecimiento","Trabajar en un área relacionada con mi formación")),"")</f>
        <v/>
      </c>
      <c r="O458" s="9" t="str">
        <f>IF(OR(I458="Trabajo actualmente como empleado",I458="Trabajo de manera independiente"),_xlfn.LET(_xlpm.turno,MOD(COUNTIF($I$2:I458,I458)-1,5),_xlpm.nivel,VALUE(LEFT(M458,1)),IF(_xlpm.turno=4,"No estoy seguro/a",IF(_xlpm.turno&lt;IF(_xlpm.nivel&lt;=2,1,3),"Sí","No"))),"")</f>
        <v/>
      </c>
      <c r="P458" s="9" t="str">
        <f>_xlfn.LET(_xlpm.perfil,I458,_xlpm.turno,COUNTIF($I$2:I458,_xlpm.perfil)-1,_xlpm.busca,OR(_xlpm.perfil="Actualmente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trabajar"),IF(AND(_xlpm.trabaja,O458="No"),"Todavía no he iniciado una búsqueda activa",CHOOSE(MOD(_xlpm.turno*3,5)+1,"Menos de 1 mes","Entre 1 y 3 meses","Entre 4 y 6 meses","Más de 6 meses","Todavía no he iniciado una búsqueda activa")),"")))</f>
        <v>Más de 6 meses</v>
      </c>
      <c r="Q458" t="str">
        <f>IF(I458="Tengo un emprendimiento o quiero iniciar uno","",CHOOSE(MOD(INT((COUNTIF($I$2:I458,I458)-1)/7),3)+1,"Sí","No","Tengo una pero necesito actualizarla"))</f>
        <v>Tengo una pero necesito actualizarla</v>
      </c>
      <c r="R458" s="9" t="str">
        <f>IF(I458="Tengo un emprendimiento o quiero iniciar uno","",IF(I458="Busco mi primer empleo","No",IF(MOD(COUNTIF($I$2:I458,I458)-1,2)=0,"Sí","No")))</f>
        <v>No</v>
      </c>
      <c r="S458" t="str">
        <f>IF(I458="Tengo un emprendimiento o quiero iniciar uno","",CHOOSE(MOD(INT((COUNTIF($I$2:I458,I458)-1)/3),10)+1,"Portales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58" t="str">
        <f>IF(I458="Tengo un emprendimiento o quiero iniciar uno","",_xlfn.LET(_xlpm.opcion,MOD(INT((COUNTIF($I$2:I458,I458)-1)/4),6)+1,CHOOSE(IF(AND(_xlpm.opcion=3,Q458="Sí"),1,_xlpm.opcion),"Falta de experiencia","Falta de formación","Dificultades con la hoja de vida","Horarios disponibles","Transporte","Internet")))</f>
        <v>Dificultades con la hoja de vida</v>
      </c>
      <c r="U458" s="9" t="str">
        <f>IF(I458="Tengo un emprendimiento o quiero iniciar uno","",IF(MOD(INT((COUNTIF($I$2:I458,I458)-1)/3),2)=0,"Sí","No"))</f>
        <v>No</v>
      </c>
      <c r="V458" s="9" t="str">
        <f>IF(I458="Tengo un emprendimiento o quiero iniciar uno",CHOOSE(MOD(COUNTIF($I$2:I458,I458)-1,3)+1,"Tengo un emprendimiento","Estoy iniciando un emprendimiento","Me interesa emprender"),"")</f>
        <v/>
      </c>
      <c r="W458" t="str">
        <f t="shared" si="134"/>
        <v/>
      </c>
      <c r="X458" s="9" t="str">
        <f>IF(I458="Tengo un emprendimiento o quiero iniciar uno",CHOOSE(MOD(COUNTIF($I$2:I458,I458)-1,5)+1,"Falta de financiación","Falta de conocimientos administrativos","Falta de conocimientos financieros","Falta de tiempo","Falta de herramientas"),"")</f>
        <v/>
      </c>
      <c r="Y458" s="9" t="str">
        <f t="shared" si="135"/>
        <v/>
      </c>
      <c r="Z458" t="str">
        <f>IF(I458="Tengo un emprendimiento o quiero iniciar uno",CHOOSE(INT(MOD((COUNTIF($I$2:I458,I458)-1)*7,39)/13)+1,"Sí","No","No conozco programas de ese tipo"),"")</f>
        <v/>
      </c>
      <c r="AA458" t="str">
        <f t="shared" si="136"/>
        <v>Puedo hacerlo sin ayuda</v>
      </c>
      <c r="AB458" t="str">
        <f t="shared" si="136"/>
        <v>Puedo hacerlo sin ayuda</v>
      </c>
      <c r="AC458" t="str">
        <f t="shared" si="137"/>
        <v>Puedo hacerlo con dificultad</v>
      </c>
      <c r="AD458" s="9" t="str">
        <f t="shared" si="138"/>
        <v>No puedo hacerlo</v>
      </c>
      <c r="AE458" t="str">
        <f t="shared" si="139"/>
        <v>Puedo hacerlo sin ayuda</v>
      </c>
      <c r="AF458" s="9" t="str">
        <f t="shared" si="140"/>
        <v>Herramientas digitales;Educación financiera</v>
      </c>
      <c r="AG458" s="9" t="str">
        <f t="shared" si="141"/>
        <v>Horarios</v>
      </c>
      <c r="AH458" t="str">
        <f t="shared" si="142"/>
        <v>Programas de emprendimiento</v>
      </c>
      <c r="AI458" s="9" t="str">
        <f t="shared" si="143"/>
        <v>Presencial</v>
      </c>
      <c r="AJ458" s="9" t="str">
        <f t="shared" si="144"/>
        <v>Nocturno</v>
      </c>
      <c r="AK458" s="9" t="str">
        <f t="shared" si="145"/>
        <v>Redes sociales</v>
      </c>
    </row>
    <row r="459" spans="1:37">
      <c r="A459" t="str">
        <f t="shared" si="146"/>
        <v>SG458</v>
      </c>
      <c r="B459" t="s">
        <v>57</v>
      </c>
      <c r="C459" s="9" t="s">
        <v>427</v>
      </c>
      <c r="D459" t="str">
        <f t="shared" si="129"/>
        <v>Femenino</v>
      </c>
      <c r="E459" t="str">
        <f t="shared" si="130"/>
        <v>De 22 a 24 años</v>
      </c>
      <c r="F459">
        <f t="shared" si="131"/>
        <v>23</v>
      </c>
      <c r="G459" t="str">
        <f t="shared" si="128"/>
        <v>Centro poblado</v>
      </c>
      <c r="H459" s="9" t="str">
        <f t="shared" si="132"/>
        <v>Bachiller</v>
      </c>
      <c r="I459" s="9" t="str">
        <f t="shared" si="133"/>
        <v>Trabajo actualmente como empleado</v>
      </c>
      <c r="J459" s="13" t="str">
        <f>IF(I459="Trabajo actualmente como empleado",IF(MOD((COUNTIF($I$2:I459,"Trabajo actualmente como empleado")-1)*37,150)&lt;100,"Empleado con contrato","Empleado sin contrato formal"),IF(I459="Trabajo de manera independiente","Trabajo independiente",""))</f>
        <v>Empleado con contrato</v>
      </c>
      <c r="K459" s="9" t="str">
        <f>IF(OR(I459="Trabajo actualmente como empleado",I459="Trabajo de manera independiente"),CHOOSE(MOD(COUNTIF($I$2:I459,I459)-1,4)+1,"Menos de 3 meses","De 3 a 6 meses","De 7 a 12 meses","Más de un año"),"")</f>
        <v>De 7 a 12 meses</v>
      </c>
      <c r="L459" t="str">
        <f>IF(OR(I459="Trabajo actualmente como empleado",I459="Trabajo de manera independiente"),CHOOSE(MOD(COUNTIF($I$2:I459,I459)-1,3)+1,"Sí, completamente","Parcialmente","No"),"")</f>
        <v>Parcialmente</v>
      </c>
      <c r="M459" t="str">
        <f>IF(OR(I459="Trabajo actualmente como empleado",I459="Trabajo de manera independiente"),CHOOSE(MOD(INT((COUNTIF($I$2:I459,I459)-1)/3),4)+1,"1- Muy satisfecho/a","2- Satisfecho/a","3- Insatisfecho/a","4- Muy insatisfecho/a"),"")</f>
        <v>4- Muy insatisfecho/a</v>
      </c>
      <c r="N459" t="str">
        <f>IF(OR(I459="Trabajo actualmente como empleado",I459="Trabajo de manera independiente"),_xlfn.LET(_xlpm.opcion,MOD(INT((COUNTIF($I$2:I459,I459)-1)/5),6)+1,CHOOSE(IF(AND(_xlpm.opcion=6,L459="Sí, completamente"),5,_xlpm.opcion),"Salario","Estabilidad laboral","Horario","Acceso a prestaciones","Oportunidades de crecimiento","Trabajar en un área relacionada con mi formación")),"")</f>
        <v>Oportunidades de crecimiento</v>
      </c>
      <c r="O459" s="9" t="str">
        <f>IF(OR(I459="Trabajo actualmente como empleado",I459="Trabajo de manera independiente"),_xlfn.LET(_xlpm.turno,MOD(COUNTIF($I$2:I459,I459)-1,5),_xlpm.nivel,VALUE(LEFT(M459,1)),IF(_xlpm.turno=4,"No estoy seguro/a",IF(_xlpm.turno&lt;IF(_xlpm.nivel&lt;=2,1,3),"Sí","No"))),"")</f>
        <v>Sí</v>
      </c>
      <c r="P459" s="9" t="str">
        <f>_xlfn.LET(_xlpm.perfil,I459,_xlpm.turno,COUNTIF($I$2:I459,_xlpm.perfil)-1,_xlpm.busca,OR(_xlpm.perfil="Actualmente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trabajar"),IF(AND(_xlpm.trabaja,O459="No"),"Todavía no he iniciado una búsqueda activa",CHOOSE(MOD(_xlpm.turno*3,5)+1,"Menos de 1 mes","Entre 1 y 3 meses","Entre 4 y 6 meses","Más de 6 meses","Todavía no he iniciado una búsqueda activa")),"")))</f>
        <v>Entre 1 y 3 meses</v>
      </c>
      <c r="Q459" t="str">
        <f>IF(I459="Tengo un emprendimiento o quiero iniciar uno","",CHOOSE(MOD(INT((COUNTIF($I$2:I459,I459)-1)/7),3)+1,"Sí","No","Tengo una pero necesito actualizarla"))</f>
        <v>Tengo una pero necesito actualizarla</v>
      </c>
      <c r="R459" s="9" t="str">
        <f>IF(I459="Tengo un emprendimiento o quiero iniciar uno","",IF(I459="Busco mi primer empleo","No",IF(MOD(COUNTIF($I$2:I459,I459)-1,2)=0,"Sí","No")))</f>
        <v>Sí</v>
      </c>
      <c r="S459" t="str">
        <f>IF(I459="Tengo un emprendimiento o quiero iniciar uno","",CHOOSE(MOD(INT((COUNTIF($I$2:I459,I459)-1)/3),10)+1,"Portales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59" t="str">
        <f>IF(I459="Tengo un emprendimiento o quiero iniciar uno","",_xlfn.LET(_xlpm.opcion,MOD(INT((COUNTIF($I$2:I459,I459)-1)/4),6)+1,CHOOSE(IF(AND(_xlpm.opcion=3,Q459="Sí"),1,_xlpm.opcion),"Falta de experiencia","Falta de formación","Dificultades con la hoja de vida","Horarios disponibles","Transporte","Internet")))</f>
        <v>Internet</v>
      </c>
      <c r="U459" s="9" t="str">
        <f>IF(I459="Tengo un emprendimiento o quiero iniciar uno","",IF(MOD(INT((COUNTIF($I$2:I459,I459)-1)/3),2)=0,"Sí","No"))</f>
        <v>No</v>
      </c>
      <c r="V459" s="9" t="str">
        <f>IF(I459="Tengo un emprendimiento o quiero iniciar uno",CHOOSE(MOD(COUNTIF($I$2:I459,I459)-1,3)+1,"Tengo un emprendimiento","Estoy iniciando un emprendimiento","Me interesa emprender"),"")</f>
        <v/>
      </c>
      <c r="W459" t="str">
        <f t="shared" si="134"/>
        <v/>
      </c>
      <c r="X459" s="9" t="str">
        <f>IF(I459="Tengo un emprendimiento o quiero iniciar uno",CHOOSE(MOD(COUNTIF($I$2:I459,I459)-1,5)+1,"Falta de financiación","Falta de conocimientos administrativos","Falta de conocimientos financieros","Falta de tiempo","Falta de herramientas"),"")</f>
        <v/>
      </c>
      <c r="Y459" s="9" t="str">
        <f t="shared" si="135"/>
        <v/>
      </c>
      <c r="Z459" t="str">
        <f>IF(I459="Tengo un emprendimiento o quiero iniciar uno",CHOOSE(INT(MOD((COUNTIF($I$2:I459,I459)-1)*7,39)/13)+1,"Sí","No","No conozco programas de ese tipo"),"")</f>
        <v/>
      </c>
      <c r="AA459" t="str">
        <f t="shared" si="136"/>
        <v>No puedo hacerlo</v>
      </c>
      <c r="AB459" t="str">
        <f t="shared" si="136"/>
        <v>No puedo hacerlo</v>
      </c>
      <c r="AC459" t="str">
        <f t="shared" si="137"/>
        <v>Puedo hacerlo sin ayuda</v>
      </c>
      <c r="AD459" s="9" t="str">
        <f t="shared" si="138"/>
        <v>No puedo hacerlo</v>
      </c>
      <c r="AE459" t="str">
        <f t="shared" si="139"/>
        <v>No puedo hacerlo</v>
      </c>
      <c r="AF459" s="9" t="str">
        <f t="shared" si="140"/>
        <v>Crear una hoja de vida</v>
      </c>
      <c r="AG459" s="9" t="str">
        <f t="shared" si="141"/>
        <v>Horarios</v>
      </c>
      <c r="AH459" t="str">
        <f t="shared" si="142"/>
        <v>No conozco ninguno</v>
      </c>
      <c r="AI459" s="9" t="str">
        <f t="shared" si="143"/>
        <v>Virtual</v>
      </c>
      <c r="AJ459" s="9" t="str">
        <f t="shared" si="144"/>
        <v>Mañana entre semana</v>
      </c>
      <c r="AK459" s="9" t="str">
        <f t="shared" si="145"/>
        <v>Celular</v>
      </c>
    </row>
    <row r="460" spans="1:37">
      <c r="A460" t="str">
        <f t="shared" si="146"/>
        <v>SG459</v>
      </c>
      <c r="B460" t="s">
        <v>57</v>
      </c>
      <c r="C460" s="9" t="s">
        <v>427</v>
      </c>
      <c r="D460" t="str">
        <f t="shared" si="129"/>
        <v>No quiero responder</v>
      </c>
      <c r="E460" t="str">
        <f t="shared" si="130"/>
        <v>De 24 a 26 años</v>
      </c>
      <c r="F460">
        <f t="shared" si="131"/>
        <v>25</v>
      </c>
      <c r="G460" t="str">
        <f t="shared" si="128"/>
        <v>Rural</v>
      </c>
      <c r="H460" s="9" t="str">
        <f t="shared" si="132"/>
        <v>Bachiller</v>
      </c>
      <c r="I460" s="9" t="str">
        <f t="shared" si="133"/>
        <v>Trabajo de manera independiente</v>
      </c>
      <c r="J460" s="13" t="str">
        <f>IF(I460="Trabajo actualmente como empleado",IF(MOD((COUNTIF($I$2:I460,"Trabajo actualmente como empleado")-1)*37,150)&lt;100,"Empleado con contrato","Empleado sin contrato formal"),IF(I460="Trabajo de manera independiente","Trabajo independiente",""))</f>
        <v>Trabajo independiente</v>
      </c>
      <c r="K460" s="9" t="str">
        <f>IF(OR(I460="Trabajo actualmente como empleado",I460="Trabajo de manera independiente"),CHOOSE(MOD(COUNTIF($I$2:I460,I460)-1,4)+1,"Menos de 3 meses","De 3 a 6 meses","De 7 a 12 meses","Más de un año"),"")</f>
        <v>De 3 a 6 meses</v>
      </c>
      <c r="L460" t="str">
        <f>IF(OR(I460="Trabajo actualmente como empleado",I460="Trabajo de manera independiente"),CHOOSE(MOD(COUNTIF($I$2:I460,I460)-1,3)+1,"Sí, completamente","Parcialmente","No"),"")</f>
        <v>No</v>
      </c>
      <c r="M460" t="str">
        <f>IF(OR(I460="Trabajo actualmente como empleado",I460="Trabajo de manera independiente"),CHOOSE(MOD(INT((COUNTIF($I$2:I460,I460)-1)/3),4)+1,"1- Muy satisfecho/a","2- Satisfecho/a","3- Insatisfecho/a","4- Muy insatisfecho/a"),"")</f>
        <v>2- Satisfecho/a</v>
      </c>
      <c r="N460" t="str">
        <f>IF(OR(I460="Trabajo actualmente como empleado",I460="Trabajo de manera independiente"),_xlfn.LET(_xlpm.opcion,MOD(INT((COUNTIF($I$2:I460,I460)-1)/5),6)+1,CHOOSE(IF(AND(_xlpm.opcion=6,L460="Sí, completamente"),5,_xlpm.opcion),"Salario","Estabilidad laboral","Horario","Acceso a prestaciones","Oportunidades de crecimiento","Trabajar en un área relacionada con mi formación")),"")</f>
        <v>Acceso a prestaciones</v>
      </c>
      <c r="O460" s="9" t="str">
        <f>IF(OR(I460="Trabajo actualmente como empleado",I460="Trabajo de manera independiente"),_xlfn.LET(_xlpm.turno,MOD(COUNTIF($I$2:I460,I460)-1,5),_xlpm.nivel,VALUE(LEFT(M460,1)),IF(_xlpm.turno=4,"No estoy seguro/a",IF(_xlpm.turno&lt;IF(_xlpm.nivel&lt;=2,1,3),"Sí","No"))),"")</f>
        <v>No</v>
      </c>
      <c r="P460" s="9" t="str">
        <f>_xlfn.LET(_xlpm.perfil,I460,_xlpm.turno,COUNTIF($I$2:I460,_xlpm.perfil)-1,_xlpm.busca,OR(_xlpm.perfil="Actualmente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60" t="str">
        <f>IF(I460="Tengo un emprendimiento o quiero iniciar uno","",CHOOSE(MOD(INT((COUNTIF($I$2:I460,I460)-1)/7),3)+1,"Sí","No","Tengo una pero necesito actualizarla"))</f>
        <v>Tengo una pero necesito actualizarla</v>
      </c>
      <c r="R460" s="9" t="str">
        <f>IF(I460="Tengo un emprendimiento o quiero iniciar uno","",IF(I460="Busco mi primer empleo","No",IF(MOD(COUNTIF($I$2:I460,I460)-1,2)=0,"Sí","No")))</f>
        <v>No</v>
      </c>
      <c r="S460" t="str">
        <f>IF(I460="Tengo un emprendimiento o quiero iniciar uno","",CHOOSE(MOD(INT((COUNTIF($I$2:I460,I460)-1)/3),10)+1,"Portales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Instituciones públicas</v>
      </c>
      <c r="T460" t="str">
        <f>IF(I460="Tengo un emprendimiento o quiero iniciar uno","",_xlfn.LET(_xlpm.opcion,MOD(INT((COUNTIF($I$2:I460,I460)-1)/4),6)+1,CHOOSE(IF(AND(_xlpm.opcion=3,Q460="Sí"),1,_xlpm.opcion),"Falta de experiencia","Falta de formación","Dificultades con la hoja de vida","Horarios disponibles","Transporte","Internet")))</f>
        <v>Falta de formación</v>
      </c>
      <c r="U460" s="9" t="str">
        <f>IF(I460="Tengo un emprendimiento o quiero iniciar uno","",IF(MOD(INT((COUNTIF($I$2:I460,I460)-1)/3),2)=0,"Sí","No"))</f>
        <v>No</v>
      </c>
      <c r="V460" s="9" t="str">
        <f>IF(I460="Tengo un emprendimiento o quiero iniciar uno",CHOOSE(MOD(COUNTIF($I$2:I460,I460)-1,3)+1,"Tengo un emprendimiento","Estoy iniciando un emprendimiento","Me interesa emprender"),"")</f>
        <v/>
      </c>
      <c r="W460" t="str">
        <f t="shared" si="134"/>
        <v/>
      </c>
      <c r="X460" s="9" t="str">
        <f>IF(I460="Tengo un emprendimiento o quiero iniciar uno",CHOOSE(MOD(COUNTIF($I$2:I460,I460)-1,5)+1,"Falta de financiación","Falta de conocimientos administrativos","Falta de conocimientos financieros","Falta de tiempo","Falta de herramientas"),"")</f>
        <v/>
      </c>
      <c r="Y460" s="9" t="str">
        <f t="shared" si="135"/>
        <v/>
      </c>
      <c r="Z460" t="str">
        <f>IF(I460="Tengo un emprendimiento o quiero iniciar uno",CHOOSE(INT(MOD((COUNTIF($I$2:I460,I460)-1)*7,39)/13)+1,"Sí","No","No conozco programas de ese tipo"),"")</f>
        <v/>
      </c>
      <c r="AA460" t="str">
        <f t="shared" si="136"/>
        <v>Puedo hacerlo con dificultad</v>
      </c>
      <c r="AB460" t="str">
        <f t="shared" si="136"/>
        <v>Puedo hacerlo con dificultad</v>
      </c>
      <c r="AC460" t="str">
        <f t="shared" si="137"/>
        <v>Puedo hacerlo con ayuda</v>
      </c>
      <c r="AD460" s="9" t="str">
        <f t="shared" si="138"/>
        <v>Puedo hacerlo con ayuda</v>
      </c>
      <c r="AE460" t="str">
        <f t="shared" si="139"/>
        <v>No puedo hacerlo</v>
      </c>
      <c r="AF460" s="9" t="str">
        <f t="shared" si="140"/>
        <v>Preparación para entrevista</v>
      </c>
      <c r="AG460" s="9" t="str">
        <f t="shared" si="141"/>
        <v>Horarios</v>
      </c>
      <c r="AH460" t="str">
        <f t="shared" si="142"/>
        <v>Ferias de empleo</v>
      </c>
      <c r="AI460" s="9" t="str">
        <f t="shared" si="143"/>
        <v>Presencial y virtual</v>
      </c>
      <c r="AJ460" s="9" t="str">
        <f t="shared" si="144"/>
        <v>Diurno</v>
      </c>
      <c r="AK460" s="9" t="str">
        <f t="shared" si="145"/>
        <v>Correo electrónico</v>
      </c>
    </row>
    <row r="461" spans="1:37">
      <c r="A461" t="str">
        <f t="shared" si="146"/>
        <v>SG460</v>
      </c>
      <c r="B461" t="s">
        <v>57</v>
      </c>
      <c r="C461" s="9" t="s">
        <v>427</v>
      </c>
      <c r="D461" t="str">
        <f t="shared" si="129"/>
        <v>Masculino</v>
      </c>
      <c r="E461" t="str">
        <f t="shared" si="130"/>
        <v>De 26 a 28 años</v>
      </c>
      <c r="F461">
        <f t="shared" si="131"/>
        <v>27</v>
      </c>
      <c r="G461" t="str">
        <f t="shared" si="128"/>
        <v>Centro poblado</v>
      </c>
      <c r="H461" s="9" t="str">
        <f t="shared" si="132"/>
        <v>Tecnólogo</v>
      </c>
      <c r="I461" s="9" t="str">
        <f t="shared" si="133"/>
        <v>Busco mi primer empleo</v>
      </c>
      <c r="J461" s="13" t="str">
        <f>IF(I461="Trabajo actualmente como empleado",IF(MOD((COUNTIF($I$2:I461,"Trabajo actualmente como empleado")-1)*37,150)&lt;100,"Empleado con contrato","Empleado sin contrato formal"),IF(I461="Trabajo de manera independiente","Trabajo independiente",""))</f>
        <v/>
      </c>
      <c r="K461" s="9" t="str">
        <f>IF(OR(I461="Trabajo actualmente como empleado",I461="Trabajo de manera independiente"),CHOOSE(MOD(COUNTIF($I$2:I461,I461)-1,4)+1,"Menos de 3 meses","De 3 a 6 meses","De 7 a 12 meses","Más de un año"),"")</f>
        <v/>
      </c>
      <c r="L461" t="str">
        <f>IF(OR(I461="Trabajo actualmente como empleado",I461="Trabajo de manera independiente"),CHOOSE(MOD(COUNTIF($I$2:I461,I461)-1,3)+1,"Sí, completamente","Parcialmente","No"),"")</f>
        <v/>
      </c>
      <c r="M461" t="str">
        <f>IF(OR(I461="Trabajo actualmente como empleado",I461="Trabajo de manera independiente"),CHOOSE(MOD(INT((COUNTIF($I$2:I461,I461)-1)/3),4)+1,"1- Muy satisfecho/a","2- Satisfecho/a","3- Insatisfecho/a","4- Muy insatisfecho/a"),"")</f>
        <v/>
      </c>
      <c r="N461" t="str">
        <f>IF(OR(I461="Trabajo actualmente como empleado",I461="Trabajo de manera independiente"),_xlfn.LET(_xlpm.opcion,MOD(INT((COUNTIF($I$2:I461,I461)-1)/5),6)+1,CHOOSE(IF(AND(_xlpm.opcion=6,L461="Sí, completamente"),5,_xlpm.opcion),"Salario","Estabilidad laboral","Horario","Acceso a prestaciones","Oportunidades de crecimiento","Trabajar en un área relacionada con mi formación")),"")</f>
        <v/>
      </c>
      <c r="O461" s="9" t="str">
        <f>IF(OR(I461="Trabajo actualmente como empleado",I461="Trabajo de manera independiente"),_xlfn.LET(_xlpm.turno,MOD(COUNTIF($I$2:I461,I461)-1,5),_xlpm.nivel,VALUE(LEFT(M461,1)),IF(_xlpm.turno=4,"No estoy seguro/a",IF(_xlpm.turno&lt;IF(_xlpm.nivel&lt;=2,1,3),"Sí","No"))),"")</f>
        <v/>
      </c>
      <c r="P461" s="9" t="str">
        <f>_xlfn.LET(_xlpm.perfil,I461,_xlpm.turno,COUNTIF($I$2:I461,_xlpm.perfil)-1,_xlpm.busca,OR(_xlpm.perfil="Actualmente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trabajar"),IF(AND(_xlpm.trabaja,O461="No"),"Todavía no he iniciado una búsqueda activa",CHOOSE(MOD(_xlpm.turno*3,5)+1,"Menos de 1 mes","Entre 1 y 3 meses","Entre 4 y 6 meses","Más de 6 meses","Todavía no he iniciado una búsqueda activa")),"")))</f>
        <v>Entre 4 y 6 meses</v>
      </c>
      <c r="Q461" t="str">
        <f>IF(I461="Tengo un emprendimiento o quiero iniciar uno","",CHOOSE(MOD(INT((COUNTIF($I$2:I461,I461)-1)/7),3)+1,"Sí","No","Tengo una pero necesito actualizarla"))</f>
        <v>Tengo una pero necesito actualizarla</v>
      </c>
      <c r="R461" s="9" t="str">
        <f>IF(I461="Tengo un emprendimiento o quiero iniciar uno","",IF(I461="Busco mi primer empleo","No",IF(MOD(COUNTIF($I$2:I461,I461)-1,2)=0,"Sí","No")))</f>
        <v>No</v>
      </c>
      <c r="S461" t="str">
        <f>IF(I461="Tengo un emprendimiento o quiero iniciar uno","",CHOOSE(MOD(INT((COUNTIF($I$2:I461,I461)-1)/3),10)+1,"Portales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61" t="str">
        <f>IF(I461="Tengo un emprendimiento o quiero iniciar uno","",_xlfn.LET(_xlpm.opcion,MOD(INT((COUNTIF($I$2:I461,I461)-1)/4),6)+1,CHOOSE(IF(AND(_xlpm.opcion=3,Q461="Sí"),1,_xlpm.opcion),"Falta de experiencia","Falta de formación","Dificultades con la hoja de vida","Horarios disponibles","Transporte","Internet")))</f>
        <v>Dificultades con la hoja de vida</v>
      </c>
      <c r="U461" s="9" t="str">
        <f>IF(I461="Tengo un emprendimiento o quiero iniciar uno","",IF(MOD(INT((COUNTIF($I$2:I461,I461)-1)/3),2)=0,"Sí","No"))</f>
        <v>No</v>
      </c>
      <c r="V461" s="9" t="str">
        <f>IF(I461="Tengo un emprendimiento o quiero iniciar uno",CHOOSE(MOD(COUNTIF($I$2:I461,I461)-1,3)+1,"Tengo un emprendimiento","Estoy iniciando un emprendimiento","Me interesa emprender"),"")</f>
        <v/>
      </c>
      <c r="W461" t="str">
        <f t="shared" si="134"/>
        <v/>
      </c>
      <c r="X461" s="9" t="str">
        <f>IF(I461="Tengo un emprendimiento o quiero iniciar uno",CHOOSE(MOD(COUNTIF($I$2:I461,I461)-1,5)+1,"Falta de financiación","Falta de conocimientos administrativos","Falta de conocimientos financieros","Falta de tiempo","Falta de herramientas"),"")</f>
        <v/>
      </c>
      <c r="Y461" s="9" t="str">
        <f t="shared" si="135"/>
        <v/>
      </c>
      <c r="Z461" t="str">
        <f>IF(I461="Tengo un emprendimiento o quiero iniciar uno",CHOOSE(INT(MOD((COUNTIF($I$2:I461,I461)-1)*7,39)/13)+1,"Sí","No","No conozco programas de ese tipo"),"")</f>
        <v/>
      </c>
      <c r="AA461" t="str">
        <f t="shared" si="136"/>
        <v>No puedo hacerlo</v>
      </c>
      <c r="AB461" t="str">
        <f t="shared" si="136"/>
        <v>No puedo hacerlo</v>
      </c>
      <c r="AC461" t="str">
        <f t="shared" si="137"/>
        <v>Puedo hacerlo con dificultad</v>
      </c>
      <c r="AD461" s="9" t="str">
        <f t="shared" si="138"/>
        <v>Puedo hacerlo con dificultad</v>
      </c>
      <c r="AE461" t="str">
        <f t="shared" si="139"/>
        <v>Puedo hacerlo con ayuda</v>
      </c>
      <c r="AF461" s="9" t="str">
        <f t="shared" si="140"/>
        <v>Comunicación</v>
      </c>
      <c r="AG461" s="9" t="str">
        <f t="shared" si="141"/>
        <v>Costos de transporte</v>
      </c>
      <c r="AH461" t="str">
        <f t="shared" si="142"/>
        <v>No conozco ninguno</v>
      </c>
      <c r="AI461" s="9" t="str">
        <f t="shared" si="143"/>
        <v>Me es indiferente</v>
      </c>
      <c r="AJ461" s="9" t="str">
        <f t="shared" si="144"/>
        <v>Nocturno</v>
      </c>
      <c r="AK461" s="9" t="str">
        <f t="shared" si="145"/>
        <v>Redes sociales</v>
      </c>
    </row>
    <row r="462" spans="1:37">
      <c r="A462" t="str">
        <f t="shared" si="146"/>
        <v>SG461</v>
      </c>
      <c r="B462" t="s">
        <v>57</v>
      </c>
      <c r="C462" s="9" t="s">
        <v>427</v>
      </c>
      <c r="D462" t="str">
        <f t="shared" si="129"/>
        <v>Femenino</v>
      </c>
      <c r="E462" t="str">
        <f t="shared" si="130"/>
        <v>De 18 a 20 años</v>
      </c>
      <c r="F462">
        <f t="shared" si="131"/>
        <v>18</v>
      </c>
      <c r="G462" t="str">
        <f t="shared" si="128"/>
        <v>Rural</v>
      </c>
      <c r="H462" s="9" t="str">
        <f t="shared" si="132"/>
        <v>Bachiller</v>
      </c>
      <c r="I462" s="9" t="str">
        <f t="shared" si="133"/>
        <v>Trabajo actualmente como empleado</v>
      </c>
      <c r="J462" s="13" t="str">
        <f>IF(I462="Trabajo actualmente como empleado",IF(MOD((COUNTIF($I$2:I462,"Trabajo actualmente como empleado")-1)*37,150)&lt;100,"Empleado con contrato","Empleado sin contrato formal"),IF(I462="Trabajo de manera independiente","Trabajo independiente",""))</f>
        <v>Empleado con contrato</v>
      </c>
      <c r="K462" s="9" t="str">
        <f>IF(OR(I462="Trabajo actualmente como empleado",I462="Trabajo de manera independiente"),CHOOSE(MOD(COUNTIF($I$2:I462,I462)-1,4)+1,"Menos de 3 meses","De 3 a 6 meses","De 7 a 12 meses","Más de un año"),"")</f>
        <v>Más de un año</v>
      </c>
      <c r="L462" t="str">
        <f>IF(OR(I462="Trabajo actualmente como empleado",I462="Trabajo de manera independiente"),CHOOSE(MOD(COUNTIF($I$2:I462,I462)-1,3)+1,"Sí, completamente","Parcialmente","No"),"")</f>
        <v>No</v>
      </c>
      <c r="M462" t="str">
        <f>IF(OR(I462="Trabajo actualmente como empleado",I462="Trabajo de manera independiente"),CHOOSE(MOD(INT((COUNTIF($I$2:I462,I462)-1)/3),4)+1,"1- Muy satisfecho/a","2- Satisfecho/a","3- Insatisfecho/a","4- Muy insatisfecho/a"),"")</f>
        <v>4- Muy insatisfecho/a</v>
      </c>
      <c r="N462" t="str">
        <f>IF(OR(I462="Trabajo actualmente como empleado",I462="Trabajo de manera independiente"),_xlfn.LET(_xlpm.opcion,MOD(INT((COUNTIF($I$2:I462,I462)-1)/5),6)+1,CHOOSE(IF(AND(_xlpm.opcion=6,L462="Sí, completamente"),5,_xlpm.opcion),"Salario","Estabilidad laboral","Horario","Acceso a prestaciones","Oportunidades de crecimiento","Trabajar en un área relacionada con mi formación")),"")</f>
        <v>Oportunidades de crecimiento</v>
      </c>
      <c r="O462" s="9" t="str">
        <f>IF(OR(I462="Trabajo actualmente como empleado",I462="Trabajo de manera independiente"),_xlfn.LET(_xlpm.turno,MOD(COUNTIF($I$2:I462,I462)-1,5),_xlpm.nivel,VALUE(LEFT(M462,1)),IF(_xlpm.turno=4,"No estoy seguro/a",IF(_xlpm.turno&lt;IF(_xlpm.nivel&lt;=2,1,3),"Sí","No"))),"")</f>
        <v>No</v>
      </c>
      <c r="P462" s="9" t="str">
        <f>_xlfn.LET(_xlpm.perfil,I462,_xlpm.turno,COUNTIF($I$2:I462,_xlpm.perfil)-1,_xlpm.busca,OR(_xlpm.perfil="Actualmente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trabajar"),IF(AND(_xlpm.trabaja,O462="No"),"Todavía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62" t="str">
        <f>IF(I462="Tengo un emprendimiento o quiero iniciar uno","",CHOOSE(MOD(INT((COUNTIF($I$2:I462,I462)-1)/7),3)+1,"Sí","No","Tengo una pero necesito actualizarla"))</f>
        <v>Tengo una pero necesito actualizarla</v>
      </c>
      <c r="R462" s="9" t="str">
        <f>IF(I462="Tengo un emprendimiento o quiero iniciar uno","",IF(I462="Busco mi primer empleo","No",IF(MOD(COUNTIF($I$2:I462,I462)-1,2)=0,"Sí","No")))</f>
        <v>No</v>
      </c>
      <c r="S462" t="str">
        <f>IF(I462="Tengo un emprendimiento o quiero iniciar uno","",CHOOSE(MOD(INT((COUNTIF($I$2:I462,I462)-1)/3),10)+1,"Portales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No sé dónde buscar</v>
      </c>
      <c r="T462" t="str">
        <f>IF(I462="Tengo un emprendimiento o quiero iniciar uno","",_xlfn.LET(_xlpm.opcion,MOD(INT((COUNTIF($I$2:I462,I462)-1)/4),6)+1,CHOOSE(IF(AND(_xlpm.opcion=3,Q462="Sí"),1,_xlpm.opcion),"Falta de experiencia","Falta de formación","Dificultades con la hoja de vida","Horarios disponibles","Transporte","Internet")))</f>
        <v>Internet</v>
      </c>
      <c r="U462" s="9" t="str">
        <f>IF(I462="Tengo un emprendimiento o quiero iniciar uno","",IF(MOD(INT((COUNTIF($I$2:I462,I462)-1)/3),2)=0,"Sí","No"))</f>
        <v>No</v>
      </c>
      <c r="V462" s="9" t="str">
        <f>IF(I462="Tengo un emprendimiento o quiero iniciar uno",CHOOSE(MOD(COUNTIF($I$2:I462,I462)-1,3)+1,"Tengo un emprendimiento","Estoy iniciando un emprendimiento","Me interesa emprender"),"")</f>
        <v/>
      </c>
      <c r="W462" t="str">
        <f t="shared" si="134"/>
        <v/>
      </c>
      <c r="X462" s="9" t="str">
        <f>IF(I462="Tengo un emprendimiento o quiero iniciar uno",CHOOSE(MOD(COUNTIF($I$2:I462,I462)-1,5)+1,"Falta de financiación","Falta de conocimientos administrativos","Falta de conocimientos financieros","Falta de tiempo","Falta de herramientas"),"")</f>
        <v/>
      </c>
      <c r="Y462" s="9" t="str">
        <f t="shared" si="135"/>
        <v/>
      </c>
      <c r="Z462" t="str">
        <f>IF(I462="Tengo un emprendimiento o quiero iniciar uno",CHOOSE(INT(MOD((COUNTIF($I$2:I462,I462)-1)*7,39)/13)+1,"Sí","No","No conozco programas de ese tipo"),"")</f>
        <v/>
      </c>
      <c r="AA462" t="str">
        <f t="shared" si="136"/>
        <v>Puedo hacerlo con ayuda</v>
      </c>
      <c r="AB462" t="str">
        <f t="shared" si="136"/>
        <v>Puedo hacerlo con ayuda</v>
      </c>
      <c r="AC462" t="str">
        <f t="shared" si="137"/>
        <v>Puedo hacerlo sin ayuda</v>
      </c>
      <c r="AD462" s="9" t="str">
        <f t="shared" si="138"/>
        <v>Puedo hacerlo con dificultad</v>
      </c>
      <c r="AE462" t="str">
        <f t="shared" si="139"/>
        <v>Puedo hacerlo con ayuda</v>
      </c>
      <c r="AF462" s="9" t="str">
        <f t="shared" si="140"/>
        <v>Liderazgo</v>
      </c>
      <c r="AG462" s="9" t="str">
        <f t="shared" si="141"/>
        <v>Costos de transporte</v>
      </c>
      <c r="AH462" t="str">
        <f t="shared" si="142"/>
        <v>Oficina de orientación laboral</v>
      </c>
      <c r="AI462" s="9" t="str">
        <f t="shared" si="143"/>
        <v>Presencial</v>
      </c>
      <c r="AJ462" s="9" t="str">
        <f t="shared" si="144"/>
        <v>Mañana entre semana</v>
      </c>
      <c r="AK462" s="9" t="str">
        <f t="shared" si="145"/>
        <v>WhatsApp</v>
      </c>
    </row>
    <row r="463" spans="1:37">
      <c r="A463" t="str">
        <f t="shared" si="146"/>
        <v>SG462</v>
      </c>
      <c r="B463" t="s">
        <v>57</v>
      </c>
      <c r="C463" s="9" t="s">
        <v>427</v>
      </c>
      <c r="D463" t="str">
        <f t="shared" si="129"/>
        <v>Femenino</v>
      </c>
      <c r="E463" t="str">
        <f t="shared" si="130"/>
        <v>De 20 a 22 años</v>
      </c>
      <c r="F463">
        <f t="shared" si="131"/>
        <v>20</v>
      </c>
      <c r="G463" t="str">
        <f t="shared" si="128"/>
        <v>Centro poblado</v>
      </c>
      <c r="H463" s="9" t="str">
        <f t="shared" si="132"/>
        <v>Técnico</v>
      </c>
      <c r="I463" s="9" t="str">
        <f t="shared" si="133"/>
        <v>Actualmente no trabajo y estoy buscando empleo</v>
      </c>
      <c r="J463" s="13" t="str">
        <f>IF(I463="Trabajo actualmente como empleado",IF(MOD((COUNTIF($I$2:I463,"Trabajo actualmente como empleado")-1)*37,150)&lt;100,"Empleado con contrato","Empleado sin contrato formal"),IF(I463="Trabajo de manera independiente","Trabajo independiente",""))</f>
        <v/>
      </c>
      <c r="K463" s="9" t="str">
        <f>IF(OR(I463="Trabajo actualmente como empleado",I463="Trabajo de manera independiente"),CHOOSE(MOD(COUNTIF($I$2:I463,I463)-1,4)+1,"Menos de 3 meses","De 3 a 6 meses","De 7 a 12 meses","Más de un año"),"")</f>
        <v/>
      </c>
      <c r="L463" t="str">
        <f>IF(OR(I463="Trabajo actualmente como empleado",I463="Trabajo de manera independiente"),CHOOSE(MOD(COUNTIF($I$2:I463,I463)-1,3)+1,"Sí, completamente","Parcialmente","No"),"")</f>
        <v/>
      </c>
      <c r="M463" t="str">
        <f>IF(OR(I463="Trabajo actualmente como empleado",I463="Trabajo de manera independiente"),CHOOSE(MOD(INT((COUNTIF($I$2:I463,I463)-1)/3),4)+1,"1- Muy satisfecho/a","2- Satisfecho/a","3- Insatisfecho/a","4- Muy insatisfecho/a"),"")</f>
        <v/>
      </c>
      <c r="N463" t="str">
        <f>IF(OR(I463="Trabajo actualmente como empleado",I463="Trabajo de manera independiente"),_xlfn.LET(_xlpm.opcion,MOD(INT((COUNTIF($I$2:I463,I463)-1)/5),6)+1,CHOOSE(IF(AND(_xlpm.opcion=6,L463="Sí, completamente"),5,_xlpm.opcion),"Salario","Estabilidad laboral","Horario","Acceso a prestaciones","Oportunidades de crecimiento","Trabajar en un área relacionada con mi formación")),"")</f>
        <v/>
      </c>
      <c r="O463" s="9" t="str">
        <f>IF(OR(I463="Trabajo actualmente como empleado",I463="Trabajo de manera independiente"),_xlfn.LET(_xlpm.turno,MOD(COUNTIF($I$2:I463,I463)-1,5),_xlpm.nivel,VALUE(LEFT(M463,1)),IF(_xlpm.turno=4,"No estoy seguro/a",IF(_xlpm.turno&lt;IF(_xlpm.nivel&lt;=2,1,3),"Sí","No"))),"")</f>
        <v/>
      </c>
      <c r="P463" s="9" t="str">
        <f>_xlfn.LET(_xlpm.perfil,I463,_xlpm.turno,COUNTIF($I$2:I463,_xlpm.perfil)-1,_xlpm.busca,OR(_xlpm.perfil="Actualmente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trabajar"),IF(AND(_xlpm.trabaja,O463="No"),"Todavía no he iniciado una búsqueda activa",CHOOSE(MOD(_xlpm.turno*3,5)+1,"Menos de 1 mes","Entre 1 y 3 meses","Entre 4 y 6 meses","Más de 6 meses","Todavía no he iniciado una búsqueda activa")),"")))</f>
        <v>Más de 6 meses</v>
      </c>
      <c r="Q463" t="str">
        <f>IF(I463="Tengo un emprendimiento o quiero iniciar uno","",CHOOSE(MOD(INT((COUNTIF($I$2:I463,I463)-1)/7),3)+1,"Sí","No","Tengo una pero necesito actualizarla"))</f>
        <v>Sí</v>
      </c>
      <c r="R463" s="9" t="str">
        <f>IF(I463="Tengo un emprendimiento o quiero iniciar uno","",IF(I463="Busco mi primer empleo","No",IF(MOD(COUNTIF($I$2:I463,I463)-1,2)=0,"Sí","No")))</f>
        <v>No</v>
      </c>
      <c r="S463" t="str">
        <f>IF(I463="Tengo un emprendimiento o quiero iniciar uno","",CHOOSE(MOD(INT((COUNTIF($I$2:I463,I463)-1)/3),10)+1,"Portales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63" t="str">
        <f>IF(I463="Tengo un emprendimiento o quiero iniciar uno","",_xlfn.LET(_xlpm.opcion,MOD(INT((COUNTIF($I$2:I463,I463)-1)/4),6)+1,CHOOSE(IF(AND(_xlpm.opcion=3,Q463="Sí"),1,_xlpm.opcion),"Falta de experiencia","Falta de formación","Dificultades con la hoja de vida","Horarios disponibles","Transporte","Internet")))</f>
        <v>Horarios disponibles</v>
      </c>
      <c r="U463" s="9" t="str">
        <f>IF(I463="Tengo un emprendimiento o quiero iniciar uno","",IF(MOD(INT((COUNTIF($I$2:I463,I463)-1)/3),2)=0,"Sí","No"))</f>
        <v>Sí</v>
      </c>
      <c r="V463" s="9" t="str">
        <f>IF(I463="Tengo un emprendimiento o quiero iniciar uno",CHOOSE(MOD(COUNTIF($I$2:I463,I463)-1,3)+1,"Tengo un emprendimiento","Estoy iniciando un emprendimiento","Me interesa emprender"),"")</f>
        <v/>
      </c>
      <c r="W463" t="str">
        <f t="shared" si="134"/>
        <v/>
      </c>
      <c r="X463" s="9" t="str">
        <f>IF(I463="Tengo un emprendimiento o quiero iniciar uno",CHOOSE(MOD(COUNTIF($I$2:I463,I463)-1,5)+1,"Falta de financiación","Falta de conocimientos administrativos","Falta de conocimientos financieros","Falta de tiempo","Falta de herramientas"),"")</f>
        <v/>
      </c>
      <c r="Y463" s="9" t="str">
        <f t="shared" si="135"/>
        <v/>
      </c>
      <c r="Z463" t="str">
        <f>IF(I463="Tengo un emprendimiento o quiero iniciar uno",CHOOSE(INT(MOD((COUNTIF($I$2:I463,I463)-1)*7,39)/13)+1,"Sí","No","No conozco programas de ese tipo"),"")</f>
        <v/>
      </c>
      <c r="AA463" t="str">
        <f t="shared" si="136"/>
        <v>Puedo hacerlo sin ayuda</v>
      </c>
      <c r="AB463" t="str">
        <f t="shared" si="136"/>
        <v>Puedo hacerlo sin ayuda</v>
      </c>
      <c r="AC463" t="str">
        <f t="shared" si="137"/>
        <v>Puedo hacerlo con ayuda</v>
      </c>
      <c r="AD463" s="9" t="str">
        <f t="shared" si="138"/>
        <v>Puedo hacerlo sin ayuda</v>
      </c>
      <c r="AE463" t="str">
        <f t="shared" si="139"/>
        <v>Puedo hacerlo con dificultad</v>
      </c>
      <c r="AF463" s="9" t="str">
        <f t="shared" si="140"/>
        <v>Emprendimiento</v>
      </c>
      <c r="AG463" s="9" t="str">
        <f t="shared" si="141"/>
        <v>Costos de transporte</v>
      </c>
      <c r="AH463" t="str">
        <f t="shared" si="142"/>
        <v>Programas de emprendimiento</v>
      </c>
      <c r="AI463" s="9" t="str">
        <f t="shared" si="143"/>
        <v>Virtual</v>
      </c>
      <c r="AJ463" s="9" t="str">
        <f t="shared" si="144"/>
        <v>Diurno</v>
      </c>
      <c r="AK463" s="9" t="str">
        <f t="shared" si="145"/>
        <v>Correo electrónico</v>
      </c>
    </row>
    <row r="464" spans="1:37">
      <c r="A464" t="str">
        <f t="shared" si="146"/>
        <v>SG463</v>
      </c>
      <c r="B464" t="s">
        <v>57</v>
      </c>
      <c r="C464" s="9" t="s">
        <v>427</v>
      </c>
      <c r="D464" t="str">
        <f t="shared" si="129"/>
        <v>Masculino</v>
      </c>
      <c r="E464" t="str">
        <f t="shared" si="130"/>
        <v>De 22 a 24 años</v>
      </c>
      <c r="F464">
        <f t="shared" si="131"/>
        <v>22</v>
      </c>
      <c r="G464" t="str">
        <f t="shared" si="128"/>
        <v>Rural</v>
      </c>
      <c r="H464" s="9" t="str">
        <f t="shared" si="132"/>
        <v>Técnico</v>
      </c>
      <c r="I464" s="9" t="str">
        <f t="shared" si="133"/>
        <v>Estudio y quiero comenzar a trabajar</v>
      </c>
      <c r="J464" s="13" t="str">
        <f>IF(I464="Trabajo actualmente como empleado",IF(MOD((COUNTIF($I$2:I464,"Trabajo actualmente como empleado")-1)*37,150)&lt;100,"Empleado con contrato","Empleado sin contrato formal"),IF(I464="Trabajo de manera independiente","Trabajo independiente",""))</f>
        <v/>
      </c>
      <c r="K464" s="9" t="str">
        <f>IF(OR(I464="Trabajo actualmente como empleado",I464="Trabajo de manera independiente"),CHOOSE(MOD(COUNTIF($I$2:I464,I464)-1,4)+1,"Menos de 3 meses","De 3 a 6 meses","De 7 a 12 meses","Más de un año"),"")</f>
        <v/>
      </c>
      <c r="L464" t="str">
        <f>IF(OR(I464="Trabajo actualmente como empleado",I464="Trabajo de manera independiente"),CHOOSE(MOD(COUNTIF($I$2:I464,I464)-1,3)+1,"Sí, completamente","Parcialmente","No"),"")</f>
        <v/>
      </c>
      <c r="M464" t="str">
        <f>IF(OR(I464="Trabajo actualmente como empleado",I464="Trabajo de manera independiente"),CHOOSE(MOD(INT((COUNTIF($I$2:I464,I464)-1)/3),4)+1,"1- Muy satisfecho/a","2- Satisfecho/a","3- Insatisfecho/a","4- Muy insatisfecho/a"),"")</f>
        <v/>
      </c>
      <c r="N464" t="str">
        <f>IF(OR(I464="Trabajo actualmente como empleado",I464="Trabajo de manera independiente"),_xlfn.LET(_xlpm.opcion,MOD(INT((COUNTIF($I$2:I464,I464)-1)/5),6)+1,CHOOSE(IF(AND(_xlpm.opcion=6,L464="Sí, completamente"),5,_xlpm.opcion),"Salario","Estabilidad laboral","Horario","Acceso a prestaciones","Oportunidades de crecimiento","Trabajar en un área relacionada con mi formación")),"")</f>
        <v/>
      </c>
      <c r="O464" s="9" t="str">
        <f>IF(OR(I464="Trabajo actualmente como empleado",I464="Trabajo de manera independiente"),_xlfn.LET(_xlpm.turno,MOD(COUNTIF($I$2:I464,I464)-1,5),_xlpm.nivel,VALUE(LEFT(M464,1)),IF(_xlpm.turno=4,"No estoy seguro/a",IF(_xlpm.turno&lt;IF(_xlpm.nivel&lt;=2,1,3),"Sí","No"))),"")</f>
        <v/>
      </c>
      <c r="P464" s="9" t="str">
        <f>_xlfn.LET(_xlpm.perfil,I464,_xlpm.turno,COUNTIF($I$2:I464,_xlpm.perfil)-1,_xlpm.busca,OR(_xlpm.perfil="Actualmente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trabajar"),IF(AND(_xlpm.trabaja,O464="No"),"Todavía no he iniciado una búsqueda activa",CHOOSE(MOD(_xlpm.turno*3,5)+1,"Menos de 1 mes","Entre 1 y 3 meses","Entre 4 y 6 meses","Más de 6 meses","Todavía no he iniciado una búsqueda activa")),"")))</f>
        <v>Entre 1 y 3 meses</v>
      </c>
      <c r="Q464" t="str">
        <f>IF(I464="Tengo un emprendimiento o quiero iniciar uno","",CHOOSE(MOD(INT((COUNTIF($I$2:I464,I464)-1)/7),3)+1,"Sí","No","Tengo una pero necesito actualizarla"))</f>
        <v>Tengo una pero necesito actualizarla</v>
      </c>
      <c r="R464" s="9" t="str">
        <f>IF(I464="Tengo un emprendimiento o quiero iniciar uno","",IF(I464="Busco mi primer empleo","No",IF(MOD(COUNTIF($I$2:I464,I464)-1,2)=0,"Sí","No")))</f>
        <v>No</v>
      </c>
      <c r="S464" t="str">
        <f>IF(I464="Tengo un emprendimiento o quiero iniciar uno","",CHOOSE(MOD(INT((COUNTIF($I$2:I464,I464)-1)/3),10)+1,"Portales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64" t="str">
        <f>IF(I464="Tengo un emprendimiento o quiero iniciar uno","",_xlfn.LET(_xlpm.opcion,MOD(INT((COUNTIF($I$2:I464,I464)-1)/4),6)+1,CHOOSE(IF(AND(_xlpm.opcion=3,Q464="Sí"),1,_xlpm.opcion),"Falta de experiencia","Falta de formación","Dificultades con la hoja de vida","Horarios disponibles","Transporte","Internet")))</f>
        <v>Dificultades con la hoja de vida</v>
      </c>
      <c r="U464" s="9" t="str">
        <f>IF(I464="Tengo un emprendimiento o quiero iniciar uno","",IF(MOD(INT((COUNTIF($I$2:I464,I464)-1)/3),2)=0,"Sí","No"))</f>
        <v>No</v>
      </c>
      <c r="V464" s="9" t="str">
        <f>IF(I464="Tengo un emprendimiento o quiero iniciar uno",CHOOSE(MOD(COUNTIF($I$2:I464,I464)-1,3)+1,"Tengo un emprendimiento","Estoy iniciando un emprendimiento","Me interesa emprender"),"")</f>
        <v/>
      </c>
      <c r="W464" t="str">
        <f t="shared" si="134"/>
        <v/>
      </c>
      <c r="X464" s="9" t="str">
        <f>IF(I464="Tengo un emprendimiento o quiero iniciar uno",CHOOSE(MOD(COUNTIF($I$2:I464,I464)-1,5)+1,"Falta de financiación","Falta de conocimientos administrativos","Falta de conocimientos financieros","Falta de tiempo","Falta de herramientas"),"")</f>
        <v/>
      </c>
      <c r="Y464" s="9" t="str">
        <f t="shared" si="135"/>
        <v/>
      </c>
      <c r="Z464" t="str">
        <f>IF(I464="Tengo un emprendimiento o quiero iniciar uno",CHOOSE(INT(MOD((COUNTIF($I$2:I464,I464)-1)*7,39)/13)+1,"Sí","No","No conozco programas de ese tipo"),"")</f>
        <v/>
      </c>
      <c r="AA464" t="str">
        <f t="shared" si="136"/>
        <v>No puedo hacerlo</v>
      </c>
      <c r="AB464" t="str">
        <f t="shared" si="136"/>
        <v>No puedo hacerlo</v>
      </c>
      <c r="AC464" t="str">
        <f t="shared" si="137"/>
        <v>Puedo hacerlo con dificultad</v>
      </c>
      <c r="AD464" s="9" t="str">
        <f t="shared" si="138"/>
        <v>No puedo hacerlo</v>
      </c>
      <c r="AE464" t="str">
        <f t="shared" si="139"/>
        <v>Puedo hacerlo sin ayuda</v>
      </c>
      <c r="AF464" s="9" t="str">
        <f t="shared" si="140"/>
        <v>Herramientas digitales</v>
      </c>
      <c r="AG464" s="9" t="str">
        <f t="shared" si="141"/>
        <v>Horarios;Falta de información</v>
      </c>
      <c r="AH464" t="str">
        <f t="shared" si="142"/>
        <v>Oficina de orientación laboral</v>
      </c>
      <c r="AI464" s="9" t="str">
        <f t="shared" si="143"/>
        <v>Presencial y virtual</v>
      </c>
      <c r="AJ464" s="9" t="str">
        <f t="shared" si="144"/>
        <v>Nocturno</v>
      </c>
      <c r="AK464" s="9" t="str">
        <f t="shared" si="145"/>
        <v>Celular</v>
      </c>
    </row>
    <row r="465" spans="1:37">
      <c r="A465" t="str">
        <f t="shared" si="146"/>
        <v>SG464</v>
      </c>
      <c r="B465" t="s">
        <v>57</v>
      </c>
      <c r="C465" s="9" t="s">
        <v>427</v>
      </c>
      <c r="D465" t="str">
        <f t="shared" si="129"/>
        <v>Masculino</v>
      </c>
      <c r="E465" t="str">
        <f t="shared" si="130"/>
        <v>De 24 a 26 años</v>
      </c>
      <c r="F465">
        <f t="shared" si="131"/>
        <v>24</v>
      </c>
      <c r="G465" t="str">
        <f t="shared" si="128"/>
        <v>Centro poblado</v>
      </c>
      <c r="H465" s="9" t="str">
        <f t="shared" si="132"/>
        <v>Tecnólogo</v>
      </c>
      <c r="I465" s="9" t="str">
        <f t="shared" si="133"/>
        <v>Trabajo actualmente como empleado</v>
      </c>
      <c r="J465" s="13" t="str">
        <f>IF(I465="Trabajo actualmente como empleado",IF(MOD((COUNTIF($I$2:I465,"Trabajo actualmente como empleado")-1)*37,150)&lt;100,"Empleado con contrato","Empleado sin contrato formal"),IF(I465="Trabajo de manera independiente","Trabajo independiente",""))</f>
        <v>Empleado con contrato</v>
      </c>
      <c r="K465" s="9" t="str">
        <f>IF(OR(I465="Trabajo actualmente como empleado",I465="Trabajo de manera independiente"),CHOOSE(MOD(COUNTIF($I$2:I465,I465)-1,4)+1,"Menos de 3 meses","De 3 a 6 meses","De 7 a 12 meses","Más de un año"),"")</f>
        <v>Menos de 3 meses</v>
      </c>
      <c r="L465" t="str">
        <f>IF(OR(I465="Trabajo actualmente como empleado",I465="Trabajo de manera independiente"),CHOOSE(MOD(COUNTIF($I$2:I465,I465)-1,3)+1,"Sí, completamente","Parcialmente","No"),"")</f>
        <v>Sí, completamente</v>
      </c>
      <c r="M465" t="str">
        <f>IF(OR(I465="Trabajo actualmente como empleado",I465="Trabajo de manera independiente"),CHOOSE(MOD(INT((COUNTIF($I$2:I465,I465)-1)/3),4)+1,"1- Muy satisfecho/a","2- Satisfecho/a","3- Insatisfecho/a","4- Muy insatisfecho/a"),"")</f>
        <v>1- Muy satisfecho/a</v>
      </c>
      <c r="N465" t="str">
        <f>IF(OR(I465="Trabajo actualmente como empleado",I465="Trabajo de manera independiente"),_xlfn.LET(_xlpm.opcion,MOD(INT((COUNTIF($I$2:I465,I465)-1)/5),6)+1,CHOOSE(IF(AND(_xlpm.opcion=6,L465="Sí, completamente"),5,_xlpm.opcion),"Salario","Estabilidad laboral","Horario","Acceso a prestaciones","Oportunidades de crecimiento","Trabajar en un área relacionada con mi formación")),"")</f>
        <v>Oportunidades de crecimiento</v>
      </c>
      <c r="O465" s="9" t="str">
        <f>IF(OR(I465="Trabajo actualmente como empleado",I465="Trabajo de manera independiente"),_xlfn.LET(_xlpm.turno,MOD(COUNTIF($I$2:I465,I465)-1,5),_xlpm.nivel,VALUE(LEFT(M465,1)),IF(_xlpm.turno=4,"No estoy seguro/a",IF(_xlpm.turno&lt;IF(_xlpm.nivel&lt;=2,1,3),"Sí","No"))),"")</f>
        <v>No estoy seguro/a</v>
      </c>
      <c r="P465" s="9" t="str">
        <f>_xlfn.LET(_xlpm.perfil,I465,_xlpm.turno,COUNTIF($I$2:I465,_xlpm.perfil)-1,_xlpm.busca,OR(_xlpm.perfil="Actualmente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trabajar"),IF(AND(_xlpm.trabaja,O465="No"),"Todavía no he iniciado una búsqueda activa",CHOOSE(MOD(_xlpm.turno*3,5)+1,"Menos de 1 mes","Entre 1 y 3 meses","Entre 4 y 6 meses","Más de 6 meses","Todavía no he iniciado una búsqueda activa")),"")))</f>
        <v>Entre 4 y 6 meses</v>
      </c>
      <c r="Q465" t="str">
        <f>IF(I465="Tengo un emprendimiento o quiero iniciar uno","",CHOOSE(MOD(INT((COUNTIF($I$2:I465,I465)-1)/7),3)+1,"Sí","No","Tengo una pero necesito actualizarla"))</f>
        <v>Tengo una pero necesito actualizarla</v>
      </c>
      <c r="R465" s="9" t="str">
        <f>IF(I465="Tengo un emprendimiento o quiero iniciar uno","",IF(I465="Busco mi primer empleo","No",IF(MOD(COUNTIF($I$2:I465,I465)-1,2)=0,"Sí","No")))</f>
        <v>Sí</v>
      </c>
      <c r="S465" t="str">
        <f>IF(I465="Tengo un emprendimiento o quiero iniciar uno","",CHOOSE(MOD(INT((COUNTIF($I$2:I465,I465)-1)/3),10)+1,"Portales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65" t="str">
        <f>IF(I465="Tengo un emprendimiento o quiero iniciar uno","",_xlfn.LET(_xlpm.opcion,MOD(INT((COUNTIF($I$2:I465,I465)-1)/4),6)+1,CHOOSE(IF(AND(_xlpm.opcion=3,Q465="Sí"),1,_xlpm.opcion),"Falta de experiencia","Falta de formación","Dificultades con la hoja de vida","Horarios disponibles","Transporte","Internet")))</f>
        <v>Falta de experiencia</v>
      </c>
      <c r="U465" s="9" t="str">
        <f>IF(I465="Tengo un emprendimiento o quiero iniciar uno","",IF(MOD(INT((COUNTIF($I$2:I465,I465)-1)/3),2)=0,"Sí","No"))</f>
        <v>Sí</v>
      </c>
      <c r="V465" s="9" t="str">
        <f>IF(I465="Tengo un emprendimiento o quiero iniciar uno",CHOOSE(MOD(COUNTIF($I$2:I465,I465)-1,3)+1,"Tengo un emprendimiento","Estoy iniciando un emprendimiento","Me interesa emprender"),"")</f>
        <v/>
      </c>
      <c r="W465" t="str">
        <f t="shared" si="134"/>
        <v/>
      </c>
      <c r="X465" s="9" t="str">
        <f>IF(I465="Tengo un emprendimiento o quiero iniciar uno",CHOOSE(MOD(COUNTIF($I$2:I465,I465)-1,5)+1,"Falta de financiación","Falta de conocimientos administrativos","Falta de conocimientos financieros","Falta de tiempo","Falta de herramientas"),"")</f>
        <v/>
      </c>
      <c r="Y465" s="9" t="str">
        <f t="shared" si="135"/>
        <v/>
      </c>
      <c r="Z465" t="str">
        <f>IF(I465="Tengo un emprendimiento o quiero iniciar uno",CHOOSE(INT(MOD((COUNTIF($I$2:I465,I465)-1)*7,39)/13)+1,"Sí","No","No conozco programas de ese tipo"),"")</f>
        <v/>
      </c>
      <c r="AA465" t="str">
        <f t="shared" si="136"/>
        <v>Puedo hacerlo con dificultad</v>
      </c>
      <c r="AB465" t="str">
        <f t="shared" si="136"/>
        <v>Puedo hacerlo con dificultad</v>
      </c>
      <c r="AC465" t="str">
        <f t="shared" si="137"/>
        <v>Puedo hacerlo sin ayuda</v>
      </c>
      <c r="AD465" s="9" t="str">
        <f t="shared" si="138"/>
        <v>Puedo hacerlo con ayuda</v>
      </c>
      <c r="AE465" t="str">
        <f t="shared" si="139"/>
        <v>Puedo hacerlo sin ayuda</v>
      </c>
      <c r="AF465" s="9" t="str">
        <f t="shared" si="140"/>
        <v>Educación financiera</v>
      </c>
      <c r="AG465" s="9" t="str">
        <f t="shared" si="141"/>
        <v>Horarios;Falta de información</v>
      </c>
      <c r="AH465" t="str">
        <f t="shared" si="142"/>
        <v>Ferias de empleo</v>
      </c>
      <c r="AI465" s="9" t="str">
        <f t="shared" si="143"/>
        <v>Me es indiferente</v>
      </c>
      <c r="AJ465" s="9" t="str">
        <f t="shared" si="144"/>
        <v>Fines de semana</v>
      </c>
      <c r="AK465" s="9" t="str">
        <f t="shared" si="145"/>
        <v>WhatsApp</v>
      </c>
    </row>
    <row r="466" spans="1:37">
      <c r="A466" t="str">
        <f t="shared" si="146"/>
        <v>SG465</v>
      </c>
      <c r="B466" t="s">
        <v>57</v>
      </c>
      <c r="C466" s="9" t="s">
        <v>427</v>
      </c>
      <c r="D466" t="str">
        <f t="shared" si="129"/>
        <v>Femenino</v>
      </c>
      <c r="E466" t="str">
        <f t="shared" si="130"/>
        <v>De 26 a 28 años</v>
      </c>
      <c r="F466">
        <f t="shared" si="131"/>
        <v>28</v>
      </c>
      <c r="G466" t="str">
        <f t="shared" si="128"/>
        <v>Rural</v>
      </c>
      <c r="H466" s="9" t="str">
        <f t="shared" si="132"/>
        <v>Profesional</v>
      </c>
      <c r="I466" s="9" t="str">
        <f t="shared" si="133"/>
        <v>Actualmente no trabajo y estoy buscando empleo</v>
      </c>
      <c r="J466" s="13" t="str">
        <f>IF(I466="Trabajo actualmente como empleado",IF(MOD((COUNTIF($I$2:I466,"Trabajo actualmente como empleado")-1)*37,150)&lt;100,"Empleado con contrato","Empleado sin contrato formal"),IF(I466="Trabajo de manera independiente","Trabajo independiente",""))</f>
        <v/>
      </c>
      <c r="K466" s="9" t="str">
        <f>IF(OR(I466="Trabajo actualmente como empleado",I466="Trabajo de manera independiente"),CHOOSE(MOD(COUNTIF($I$2:I466,I466)-1,4)+1,"Menos de 3 meses","De 3 a 6 meses","De 7 a 12 meses","Más de un año"),"")</f>
        <v/>
      </c>
      <c r="L466" t="str">
        <f>IF(OR(I466="Trabajo actualmente como empleado",I466="Trabajo de manera independiente"),CHOOSE(MOD(COUNTIF($I$2:I466,I466)-1,3)+1,"Sí, completamente","Parcialmente","No"),"")</f>
        <v/>
      </c>
      <c r="M466" t="str">
        <f>IF(OR(I466="Trabajo actualmente como empleado",I466="Trabajo de manera independiente"),CHOOSE(MOD(INT((COUNTIF($I$2:I466,I466)-1)/3),4)+1,"1- Muy satisfecho/a","2- Satisfecho/a","3- Insatisfecho/a","4- Muy insatisfecho/a"),"")</f>
        <v/>
      </c>
      <c r="N466" t="str">
        <f>IF(OR(I466="Trabajo actualmente como empleado",I466="Trabajo de manera independiente"),_xlfn.LET(_xlpm.opcion,MOD(INT((COUNTIF($I$2:I466,I466)-1)/5),6)+1,CHOOSE(IF(AND(_xlpm.opcion=6,L466="Sí, completamente"),5,_xlpm.opcion),"Salario","Estabilidad laboral","Horario","Acceso a prestaciones","Oportunidades de crecimiento","Trabajar en un área relacionada con mi formación")),"")</f>
        <v/>
      </c>
      <c r="O466" s="9" t="str">
        <f>IF(OR(I466="Trabajo actualmente como empleado",I466="Trabajo de manera independiente"),_xlfn.LET(_xlpm.turno,MOD(COUNTIF($I$2:I466,I466)-1,5),_xlpm.nivel,VALUE(LEFT(M466,1)),IF(_xlpm.turno=4,"No estoy seguro/a",IF(_xlpm.turno&lt;IF(_xlpm.nivel&lt;=2,1,3),"Sí","No"))),"")</f>
        <v/>
      </c>
      <c r="P466" s="9" t="str">
        <f>_xlfn.LET(_xlpm.perfil,I466,_xlpm.turno,COUNTIF($I$2:I466,_xlpm.perfil)-1,_xlpm.busca,OR(_xlpm.perfil="Actualmente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trabajar"),IF(AND(_xlpm.trabaja,O466="No"),"Todavía no he iniciado una búsqueda activa",CHOOSE(MOD(_xlpm.turno*3,5)+1,"Menos de 1 mes","Entre 1 y 3 meses","Entre 4 y 6 meses","Más de 6 meses","Todavía no he iniciado una búsqueda activa")),"")))</f>
        <v>Entre 4 y 6 meses</v>
      </c>
      <c r="Q466" t="str">
        <f>IF(I466="Tengo un emprendimiento o quiero iniciar uno","",CHOOSE(MOD(INT((COUNTIF($I$2:I466,I466)-1)/7),3)+1,"Sí","No","Tengo una pero necesito actualizarla"))</f>
        <v>Sí</v>
      </c>
      <c r="R466" s="9" t="str">
        <f>IF(I466="Tengo un emprendimiento o quiero iniciar uno","",IF(I466="Busco mi primer empleo","No",IF(MOD(COUNTIF($I$2:I466,I466)-1,2)=0,"Sí","No")))</f>
        <v>Sí</v>
      </c>
      <c r="S466" t="str">
        <f>IF(I466="Tengo un emprendimiento o quiero iniciar uno","",CHOOSE(MOD(INT((COUNTIF($I$2:I466,I466)-1)/3),10)+1,"Portales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66" t="str">
        <f>IF(I466="Tengo un emprendimiento o quiero iniciar uno","",_xlfn.LET(_xlpm.opcion,MOD(INT((COUNTIF($I$2:I466,I466)-1)/4),6)+1,CHOOSE(IF(AND(_xlpm.opcion=3,Q466="Sí"),1,_xlpm.opcion),"Falta de experiencia","Falta de formación","Dificultades con la hoja de vida","Horarios disponibles","Transporte","Internet")))</f>
        <v>Horarios disponibles</v>
      </c>
      <c r="U466" s="9" t="str">
        <f>IF(I466="Tengo un emprendimiento o quiero iniciar uno","",IF(MOD(INT((COUNTIF($I$2:I466,I466)-1)/3),2)=0,"Sí","No"))</f>
        <v>Sí</v>
      </c>
      <c r="V466" s="9" t="str">
        <f>IF(I466="Tengo un emprendimiento o quiero iniciar uno",CHOOSE(MOD(COUNTIF($I$2:I466,I466)-1,3)+1,"Tengo un emprendimiento","Estoy iniciando un emprendimiento","Me interesa emprender"),"")</f>
        <v/>
      </c>
      <c r="W466" t="str">
        <f t="shared" si="134"/>
        <v/>
      </c>
      <c r="X466" s="9" t="str">
        <f>IF(I466="Tengo un emprendimiento o quiero iniciar uno",CHOOSE(MOD(COUNTIF($I$2:I466,I466)-1,5)+1,"Falta de financiación","Falta de conocimientos administrativos","Falta de conocimientos financieros","Falta de tiempo","Falta de herramientas"),"")</f>
        <v/>
      </c>
      <c r="Y466" s="9" t="str">
        <f t="shared" si="135"/>
        <v/>
      </c>
      <c r="Z466" t="str">
        <f>IF(I466="Tengo un emprendimiento o quiero iniciar uno",CHOOSE(INT(MOD((COUNTIF($I$2:I466,I466)-1)*7,39)/13)+1,"Sí","No","No conozco programas de ese tipo"),"")</f>
        <v/>
      </c>
      <c r="AA466" t="str">
        <f t="shared" si="136"/>
        <v>No puedo hacerlo</v>
      </c>
      <c r="AB466" t="str">
        <f t="shared" si="136"/>
        <v>No puedo hacerlo</v>
      </c>
      <c r="AC466" t="str">
        <f t="shared" si="137"/>
        <v>Puedo hacerlo con ayuda</v>
      </c>
      <c r="AD466" s="9" t="str">
        <f t="shared" si="138"/>
        <v>Puedo hacerlo con ayuda</v>
      </c>
      <c r="AE466" t="str">
        <f t="shared" si="139"/>
        <v>No puedo hacerlo</v>
      </c>
      <c r="AF466" s="9" t="str">
        <f t="shared" si="140"/>
        <v>Crear una hoja de vida;Preparación para entrevista</v>
      </c>
      <c r="AG466" s="9" t="str">
        <f t="shared" si="141"/>
        <v>Horarios;Falta de información</v>
      </c>
      <c r="AH466" t="str">
        <f t="shared" si="142"/>
        <v>No conozco ninguno</v>
      </c>
      <c r="AI466" s="9" t="str">
        <f t="shared" si="143"/>
        <v>Presencial</v>
      </c>
      <c r="AJ466" s="9" t="str">
        <f t="shared" si="144"/>
        <v>Diurno</v>
      </c>
      <c r="AK466" s="9" t="str">
        <f t="shared" si="145"/>
        <v>Redes sociales</v>
      </c>
    </row>
    <row r="467" spans="1:37">
      <c r="A467" t="str">
        <f t="shared" si="146"/>
        <v>SG466</v>
      </c>
      <c r="B467" t="s">
        <v>57</v>
      </c>
      <c r="C467" s="9" t="s">
        <v>427</v>
      </c>
      <c r="D467" t="str">
        <f t="shared" si="129"/>
        <v>No quiero responder</v>
      </c>
      <c r="E467" t="str">
        <f t="shared" si="130"/>
        <v>De 18 a 20 años</v>
      </c>
      <c r="F467">
        <f t="shared" si="131"/>
        <v>19</v>
      </c>
      <c r="G467" t="str">
        <f t="shared" ref="G467:G480" si="147">IF(MOD(ROW()-371,2)=0,"Centro poblado","Rural")</f>
        <v>Centro poblado</v>
      </c>
      <c r="H467" s="9" t="str">
        <f t="shared" si="132"/>
        <v>Técnico</v>
      </c>
      <c r="I467" s="9" t="str">
        <f t="shared" si="133"/>
        <v>Tengo un emprendimiento o quiero iniciar uno</v>
      </c>
      <c r="J467" s="13" t="str">
        <f>IF(I467="Trabajo actualmente como empleado",IF(MOD((COUNTIF($I$2:I467,"Trabajo actualmente como empleado")-1)*37,150)&lt;100,"Empleado con contrato","Empleado sin contrato formal"),IF(I467="Trabajo de manera independiente","Trabajo independiente",""))</f>
        <v/>
      </c>
      <c r="K467" s="9" t="str">
        <f>IF(OR(I467="Trabajo actualmente como empleado",I467="Trabajo de manera independiente"),CHOOSE(MOD(COUNTIF($I$2:I467,I467)-1,4)+1,"Menos de 3 meses","De 3 a 6 meses","De 7 a 12 meses","Más de un año"),"")</f>
        <v/>
      </c>
      <c r="L467" t="str">
        <f>IF(OR(I467="Trabajo actualmente como empleado",I467="Trabajo de manera independiente"),CHOOSE(MOD(COUNTIF($I$2:I467,I467)-1,3)+1,"Sí, completamente","Parcialmente","No"),"")</f>
        <v/>
      </c>
      <c r="M467" t="str">
        <f>IF(OR(I467="Trabajo actualmente como empleado",I467="Trabajo de manera independiente"),CHOOSE(MOD(INT((COUNTIF($I$2:I467,I467)-1)/3),4)+1,"1- Muy satisfecho/a","2- Satisfecho/a","3- Insatisfecho/a","4- Muy insatisfecho/a"),"")</f>
        <v/>
      </c>
      <c r="N467" t="str">
        <f>IF(OR(I467="Trabajo actualmente como empleado",I467="Trabajo de manera independiente"),_xlfn.LET(_xlpm.opcion,MOD(INT((COUNTIF($I$2:I467,I467)-1)/5),6)+1,CHOOSE(IF(AND(_xlpm.opcion=6,L467="Sí, completamente"),5,_xlpm.opcion),"Salario","Estabilidad laboral","Horario","Acceso a prestaciones","Oportunidades de crecimiento","Trabajar en un área relacionada con mi formación")),"")</f>
        <v/>
      </c>
      <c r="O467" s="9" t="str">
        <f>IF(OR(I467="Trabajo actualmente como empleado",I467="Trabajo de manera independiente"),_xlfn.LET(_xlpm.turno,MOD(COUNTIF($I$2:I467,I467)-1,5),_xlpm.nivel,VALUE(LEFT(M467,1)),IF(_xlpm.turno=4,"No estoy seguro/a",IF(_xlpm.turno&lt;IF(_xlpm.nivel&lt;=2,1,3),"Sí","No"))),"")</f>
        <v/>
      </c>
      <c r="P467" s="9" t="str">
        <f>_xlfn.LET(_xlpm.perfil,I467,_xlpm.turno,COUNTIF($I$2:I467,_xlpm.perfil)-1,_xlpm.busca,OR(_xlpm.perfil="Actualmente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trabajar"),IF(AND(_xlpm.trabaja,O467="No"),"Todavía no he iniciado una búsqueda activa",CHOOSE(MOD(_xlpm.turno*3,5)+1,"Menos de 1 mes","Entre 1 y 3 meses","Entre 4 y 6 meses","Más de 6 meses","Todavía no he iniciado una búsqueda activa")),"")))</f>
        <v/>
      </c>
      <c r="Q467" t="str">
        <f>IF(I467="Tengo un emprendimiento o quiero iniciar uno","",CHOOSE(MOD(INT((COUNTIF($I$2:I467,I467)-1)/7),3)+1,"Sí","No","Tengo una pero necesito actualizarla"))</f>
        <v/>
      </c>
      <c r="R467" s="9" t="str">
        <f>IF(I467="Tengo un emprendimiento o quiero iniciar uno","",IF(I467="Busco mi primer empleo","No",IF(MOD(COUNTIF($I$2:I467,I467)-1,2)=0,"Sí","No")))</f>
        <v/>
      </c>
      <c r="S467" t="str">
        <f>IF(I467="Tengo un emprendimiento o quiero iniciar uno","",CHOOSE(MOD(INT((COUNTIF($I$2:I467,I467)-1)/3),10)+1,"Portales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/>
      </c>
      <c r="T467" t="str">
        <f>IF(I467="Tengo un emprendimiento o quiero iniciar uno","",_xlfn.LET(_xlpm.opcion,MOD(INT((COUNTIF($I$2:I467,I467)-1)/4),6)+1,CHOOSE(IF(AND(_xlpm.opcion=3,Q467="Sí"),1,_xlpm.opcion),"Falta de experiencia","Falta de formación","Dificultades con la hoja de vida","Horarios disponibles","Transporte","Internet")))</f>
        <v/>
      </c>
      <c r="U467" s="9" t="str">
        <f>IF(I467="Tengo un emprendimiento o quiero iniciar uno","",IF(MOD(INT((COUNTIF($I$2:I467,I467)-1)/3),2)=0,"Sí","No"))</f>
        <v/>
      </c>
      <c r="V467" s="9" t="str">
        <f>IF(I467="Tengo un emprendimiento o quiero iniciar uno",CHOOSE(MOD(COUNTIF($I$2:I467,I467)-1,3)+1,"Tengo un emprendimiento","Estoy iniciando un emprendimiento","Me interesa emprender"),"")</f>
        <v>Me interesa emprender</v>
      </c>
      <c r="W467" t="str">
        <f t="shared" si="134"/>
        <v/>
      </c>
      <c r="X467" s="9" t="str">
        <f>IF(I467="Tengo un emprendimiento o quiero iniciar uno",CHOOSE(MOD(COUNTIF($I$2:I467,I467)-1,5)+1,"Falta de financiación","Falta de conocimientos administrativos","Falta de conocimientos financieros","Falta de tiempo","Falta de herramientas"),"")</f>
        <v>Falta de tiempo</v>
      </c>
      <c r="Y467" s="9" t="str">
        <f t="shared" si="135"/>
        <v>Falta de tiempo</v>
      </c>
      <c r="Z467" t="str">
        <f>IF(I467="Tengo un emprendimiento o quiero iniciar uno",CHOOSE(INT(MOD((COUNTIF($I$2:I467,I467)-1)*7,39)/13)+1,"Sí","No","No conozco programas de ese tipo"),"")</f>
        <v>No conozco programas de ese tipo</v>
      </c>
      <c r="AA467" t="str">
        <f t="shared" si="136"/>
        <v>Puedo hacerlo con ayuda</v>
      </c>
      <c r="AB467" t="str">
        <f t="shared" si="136"/>
        <v>Puedo hacerlo con ayuda</v>
      </c>
      <c r="AC467" t="str">
        <f t="shared" si="137"/>
        <v>Puedo hacerlo con dificultad</v>
      </c>
      <c r="AD467" s="9" t="str">
        <f t="shared" si="138"/>
        <v>Puedo hacerlo con dificultad</v>
      </c>
      <c r="AE467" t="str">
        <f t="shared" si="139"/>
        <v>No puedo hacerlo</v>
      </c>
      <c r="AF467" s="9" t="str">
        <f t="shared" si="140"/>
        <v>Comunicación;Liderazgo</v>
      </c>
      <c r="AG467" s="9" t="str">
        <f t="shared" si="141"/>
        <v>Ninguna</v>
      </c>
      <c r="AH467" t="str">
        <f t="shared" si="142"/>
        <v>Ferias de empleo</v>
      </c>
      <c r="AI467" s="9" t="str">
        <f t="shared" si="143"/>
        <v>Virtual</v>
      </c>
      <c r="AJ467" s="9" t="str">
        <f t="shared" si="144"/>
        <v>Nocturno</v>
      </c>
      <c r="AK467" s="9" t="str">
        <f t="shared" si="145"/>
        <v>Celular</v>
      </c>
    </row>
    <row r="468" spans="1:37">
      <c r="A468" t="str">
        <f t="shared" si="146"/>
        <v>SG467</v>
      </c>
      <c r="B468" t="s">
        <v>57</v>
      </c>
      <c r="C468" s="9" t="s">
        <v>427</v>
      </c>
      <c r="D468" t="str">
        <f t="shared" si="129"/>
        <v>Masculino</v>
      </c>
      <c r="E468" t="str">
        <f t="shared" si="130"/>
        <v>De 20 a 22 años</v>
      </c>
      <c r="F468">
        <f t="shared" si="131"/>
        <v>21</v>
      </c>
      <c r="G468" t="str">
        <f t="shared" si="147"/>
        <v>Rural</v>
      </c>
      <c r="H468" s="9" t="str">
        <f t="shared" si="132"/>
        <v>Tecnólogo</v>
      </c>
      <c r="I468" s="9" t="str">
        <f t="shared" si="133"/>
        <v>Trabajo actualmente como empleado</v>
      </c>
      <c r="J468" s="13" t="str">
        <f>IF(I468="Trabajo actualmente como empleado",IF(MOD((COUNTIF($I$2:I468,"Trabajo actualmente como empleado")-1)*37,150)&lt;100,"Empleado con contrato","Empleado sin contrato formal"),IF(I468="Trabajo de manera independiente","Trabajo independiente",""))</f>
        <v>Empleado sin contrato formal</v>
      </c>
      <c r="K468" s="9" t="str">
        <f>IF(OR(I468="Trabajo actualmente como empleado",I468="Trabajo de manera independiente"),CHOOSE(MOD(COUNTIF($I$2:I468,I468)-1,4)+1,"Menos de 3 meses","De 3 a 6 meses","De 7 a 12 meses","Más de un año"),"")</f>
        <v>De 3 a 6 meses</v>
      </c>
      <c r="L468" t="str">
        <f>IF(OR(I468="Trabajo actualmente como empleado",I468="Trabajo de manera independiente"),CHOOSE(MOD(COUNTIF($I$2:I468,I468)-1,3)+1,"Sí, completamente","Parcialmente","No"),"")</f>
        <v>Parcialmente</v>
      </c>
      <c r="M468" t="str">
        <f>IF(OR(I468="Trabajo actualmente como empleado",I468="Trabajo de manera independiente"),CHOOSE(MOD(INT((COUNTIF($I$2:I468,I468)-1)/3),4)+1,"1- Muy satisfecho/a","2- Satisfecho/a","3- Insatisfecho/a","4- Muy insatisfecho/a"),"")</f>
        <v>1- Muy satisfecho/a</v>
      </c>
      <c r="N468" t="str">
        <f>IF(OR(I468="Trabajo actualmente como empleado",I468="Trabajo de manera independiente"),_xlfn.LET(_xlpm.opcion,MOD(INT((COUNTIF($I$2:I468,I468)-1)/5),6)+1,CHOOSE(IF(AND(_xlpm.opcion=6,L468="Sí,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468" s="9" t="str">
        <f>IF(OR(I468="Trabajo actualmente como empleado",I468="Trabajo de manera independiente"),_xlfn.LET(_xlpm.turno,MOD(COUNTIF($I$2:I468,I468)-1,5),_xlpm.nivel,VALUE(LEFT(M468,1)),IF(_xlpm.turno=4,"No estoy seguro/a",IF(_xlpm.turno&lt;IF(_xlpm.nivel&lt;=2,1,3),"Sí","No"))),"")</f>
        <v>Sí</v>
      </c>
      <c r="P468" s="9" t="str">
        <f>_xlfn.LET(_xlpm.perfil,I468,_xlpm.turno,COUNTIF($I$2:I468,_xlpm.perfil)-1,_xlpm.busca,OR(_xlpm.perfil="Actualmente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trabajar"),IF(AND(_xlpm.trabaja,O468="No"),"Todavía no he iniciado una búsqueda activa",CHOOSE(MOD(_xlpm.turno*3,5)+1,"Menos de 1 mes","Entre 1 y 3 meses","Entre 4 y 6 meses","Más de 6 meses","Todavía no he iniciado una búsqueda activa")),"")))</f>
        <v>Menos de 1 mes</v>
      </c>
      <c r="Q468" t="str">
        <f>IF(I468="Tengo un emprendimiento o quiero iniciar uno","",CHOOSE(MOD(INT((COUNTIF($I$2:I468,I468)-1)/7),3)+1,"Sí","No","Tengo una pero necesito actualizarla"))</f>
        <v>Tengo una pero necesito actualizarla</v>
      </c>
      <c r="R468" s="9" t="str">
        <f>IF(I468="Tengo un emprendimiento o quiero iniciar uno","",IF(I468="Busco mi primer empleo","No",IF(MOD(COUNTIF($I$2:I468,I468)-1,2)=0,"Sí","No")))</f>
        <v>No</v>
      </c>
      <c r="S468" t="str">
        <f>IF(I468="Tengo un emprendimiento o quiero iniciar uno","",CHOOSE(MOD(INT((COUNTIF($I$2:I468,I468)-1)/3),10)+1,"Portales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68" t="str">
        <f>IF(I468="Tengo un emprendimiento o quiero iniciar uno","",_xlfn.LET(_xlpm.opcion,MOD(INT((COUNTIF($I$2:I468,I468)-1)/4),6)+1,CHOOSE(IF(AND(_xlpm.opcion=3,Q468="Sí"),1,_xlpm.opcion),"Falta de experiencia","Falta de formación","Dificultades con la hoja de vida","Horarios disponibles","Transporte","Internet")))</f>
        <v>Falta de experiencia</v>
      </c>
      <c r="U468" s="9" t="str">
        <f>IF(I468="Tengo un emprendimiento o quiero iniciar uno","",IF(MOD(INT((COUNTIF($I$2:I468,I468)-1)/3),2)=0,"Sí","No"))</f>
        <v>Sí</v>
      </c>
      <c r="V468" s="9" t="str">
        <f>IF(I468="Tengo un emprendimiento o quiero iniciar uno",CHOOSE(MOD(COUNTIF($I$2:I468,I468)-1,3)+1,"Tengo un emprendimiento","Estoy iniciando un emprendimiento","Me interesa emprender"),"")</f>
        <v/>
      </c>
      <c r="W468" t="str">
        <f t="shared" si="134"/>
        <v/>
      </c>
      <c r="X468" s="9" t="str">
        <f>IF(I468="Tengo un emprendimiento o quiero iniciar uno",CHOOSE(MOD(COUNTIF($I$2:I468,I468)-1,5)+1,"Falta de financiación","Falta de conocimientos administrativos","Falta de conocimientos financieros","Falta de tiempo","Falta de herramientas"),"")</f>
        <v/>
      </c>
      <c r="Y468" s="9" t="str">
        <f t="shared" si="135"/>
        <v/>
      </c>
      <c r="Z468" t="str">
        <f>IF(I468="Tengo un emprendimiento o quiero iniciar uno",CHOOSE(INT(MOD((COUNTIF($I$2:I468,I468)-1)*7,39)/13)+1,"Sí","No","No conozco programas de ese tipo"),"")</f>
        <v/>
      </c>
      <c r="AA468" t="str">
        <f t="shared" si="136"/>
        <v>Puedo hacerlo sin ayuda</v>
      </c>
      <c r="AB468" t="str">
        <f t="shared" si="136"/>
        <v>Puedo hacerlo sin ayuda</v>
      </c>
      <c r="AC468" t="str">
        <f t="shared" si="137"/>
        <v>Puedo hacerlo sin ayuda</v>
      </c>
      <c r="AD468" s="9" t="str">
        <f t="shared" si="138"/>
        <v>Puedo hacerlo sin ayuda</v>
      </c>
      <c r="AE468" t="str">
        <f t="shared" si="139"/>
        <v>Puedo hacerlo con ayuda</v>
      </c>
      <c r="AF468" s="9" t="str">
        <f t="shared" si="140"/>
        <v>Herramientas digitales;Educación financiera</v>
      </c>
      <c r="AG468" s="9" t="str">
        <f t="shared" si="141"/>
        <v>Ninguna</v>
      </c>
      <c r="AH468" t="str">
        <f t="shared" si="142"/>
        <v>Programas de emprendimiento</v>
      </c>
      <c r="AI468" s="9" t="str">
        <f t="shared" si="143"/>
        <v>Presencial y virtual</v>
      </c>
      <c r="AJ468" s="9" t="str">
        <f t="shared" si="144"/>
        <v>Fines de semana</v>
      </c>
      <c r="AK468" s="9" t="str">
        <f t="shared" si="145"/>
        <v>Correo electrónico</v>
      </c>
    </row>
    <row r="469" spans="1:37">
      <c r="A469" t="str">
        <f t="shared" si="146"/>
        <v>SG468</v>
      </c>
      <c r="B469" t="s">
        <v>57</v>
      </c>
      <c r="C469" s="9" t="s">
        <v>427</v>
      </c>
      <c r="D469" t="str">
        <f t="shared" si="129"/>
        <v>Femenino</v>
      </c>
      <c r="E469" t="str">
        <f t="shared" si="130"/>
        <v>De 22 a 24 años</v>
      </c>
      <c r="F469">
        <f t="shared" si="131"/>
        <v>23</v>
      </c>
      <c r="G469" t="str">
        <f t="shared" si="147"/>
        <v>Centro poblado</v>
      </c>
      <c r="H469" s="9" t="str">
        <f t="shared" si="132"/>
        <v>Profesional</v>
      </c>
      <c r="I469" s="9" t="str">
        <f t="shared" si="133"/>
        <v>Actualmente no trabajo y estoy buscando empleo</v>
      </c>
      <c r="J469" s="13" t="str">
        <f>IF(I469="Trabajo actualmente como empleado",IF(MOD((COUNTIF($I$2:I469,"Trabajo actualmente como empleado")-1)*37,150)&lt;100,"Empleado con contrato","Empleado sin contrato formal"),IF(I469="Trabajo de manera independiente","Trabajo independiente",""))</f>
        <v/>
      </c>
      <c r="K469" s="9" t="str">
        <f>IF(OR(I469="Trabajo actualmente como empleado",I469="Trabajo de manera independiente"),CHOOSE(MOD(COUNTIF($I$2:I469,I469)-1,4)+1,"Menos de 3 meses","De 3 a 6 meses","De 7 a 12 meses","Más de un año"),"")</f>
        <v/>
      </c>
      <c r="L469" t="str">
        <f>IF(OR(I469="Trabajo actualmente como empleado",I469="Trabajo de manera independiente"),CHOOSE(MOD(COUNTIF($I$2:I469,I469)-1,3)+1,"Sí, completamente","Parcialmente","No"),"")</f>
        <v/>
      </c>
      <c r="M469" t="str">
        <f>IF(OR(I469="Trabajo actualmente como empleado",I469="Trabajo de manera independiente"),CHOOSE(MOD(INT((COUNTIF($I$2:I469,I469)-1)/3),4)+1,"1- Muy satisfecho/a","2- Satisfecho/a","3- Insatisfecho/a","4- Muy insatisfecho/a"),"")</f>
        <v/>
      </c>
      <c r="N469" t="str">
        <f>IF(OR(I469="Trabajo actualmente como empleado",I469="Trabajo de manera independiente"),_xlfn.LET(_xlpm.opcion,MOD(INT((COUNTIF($I$2:I469,I469)-1)/5),6)+1,CHOOSE(IF(AND(_xlpm.opcion=6,L469="Sí, completamente"),5,_xlpm.opcion),"Salario","Estabilidad laboral","Horario","Acceso a prestaciones","Oportunidades de crecimiento","Trabajar en un área relacionada con mi formación")),"")</f>
        <v/>
      </c>
      <c r="O469" s="9" t="str">
        <f>IF(OR(I469="Trabajo actualmente como empleado",I469="Trabajo de manera independiente"),_xlfn.LET(_xlpm.turno,MOD(COUNTIF($I$2:I469,I469)-1,5),_xlpm.nivel,VALUE(LEFT(M469,1)),IF(_xlpm.turno=4,"No estoy seguro/a",IF(_xlpm.turno&lt;IF(_xlpm.nivel&lt;=2,1,3),"Sí","No"))),"")</f>
        <v/>
      </c>
      <c r="P469" s="9" t="str">
        <f>_xlfn.LET(_xlpm.perfil,I469,_xlpm.turno,COUNTIF($I$2:I469,_xlpm.perfil)-1,_xlpm.busca,OR(_xlpm.perfil="Actualmente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trabajar"),IF(AND(_xlpm.trabaja,O469="No"),"Todavía no he iniciado una búsqueda activa",CHOOSE(MOD(_xlpm.turno*3,5)+1,"Menos de 1 mes","Entre 1 y 3 meses","Entre 4 y 6 meses","Más de 6 meses","Todavía no he iniciado una búsqueda activa")),"")))</f>
        <v>Entre 1 y 3 meses</v>
      </c>
      <c r="Q469" t="str">
        <f>IF(I469="Tengo un emprendimiento o quiero iniciar uno","",CHOOSE(MOD(INT((COUNTIF($I$2:I469,I469)-1)/7),3)+1,"Sí","No","Tengo una pero necesito actualizarla"))</f>
        <v>Sí</v>
      </c>
      <c r="R469" s="9" t="str">
        <f>IF(I469="Tengo un emprendimiento o quiero iniciar uno","",IF(I469="Busco mi primer empleo","No",IF(MOD(COUNTIF($I$2:I469,I469)-1,2)=0,"Sí","No")))</f>
        <v>No</v>
      </c>
      <c r="S469" t="str">
        <f>IF(I469="Tengo un emprendimiento o quiero iniciar uno","",CHOOSE(MOD(INT((COUNTIF($I$2:I469,I469)-1)/3),10)+1,"Portales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69" t="str">
        <f>IF(I469="Tengo un emprendimiento o quiero iniciar uno","",_xlfn.LET(_xlpm.opcion,MOD(INT((COUNTIF($I$2:I469,I469)-1)/4),6)+1,CHOOSE(IF(AND(_xlpm.opcion=3,Q469="Sí"),1,_xlpm.opcion),"Falta de experiencia","Falta de formación","Dificultades con la hoja de vida","Horarios disponibles","Transporte","Internet")))</f>
        <v>Horarios disponibles</v>
      </c>
      <c r="U469" s="9" t="str">
        <f>IF(I469="Tengo un emprendimiento o quiero iniciar uno","",IF(MOD(INT((COUNTIF($I$2:I469,I469)-1)/3),2)=0,"Sí","No"))</f>
        <v>No</v>
      </c>
      <c r="V469" s="9" t="str">
        <f>IF(I469="Tengo un emprendimiento o quiero iniciar uno",CHOOSE(MOD(COUNTIF($I$2:I469,I469)-1,3)+1,"Tengo un emprendimiento","Estoy iniciando un emprendimiento","Me interesa emprender"),"")</f>
        <v/>
      </c>
      <c r="W469" t="str">
        <f t="shared" si="134"/>
        <v/>
      </c>
      <c r="X469" s="9" t="str">
        <f>IF(I469="Tengo un emprendimiento o quiero iniciar uno",CHOOSE(MOD(COUNTIF($I$2:I469,I469)-1,5)+1,"Falta de financiación","Falta de conocimientos administrativos","Falta de conocimientos financieros","Falta de tiempo","Falta de herramientas"),"")</f>
        <v/>
      </c>
      <c r="Y469" s="9" t="str">
        <f t="shared" si="135"/>
        <v/>
      </c>
      <c r="Z469" t="str">
        <f>IF(I469="Tengo un emprendimiento o quiero iniciar uno",CHOOSE(INT(MOD((COUNTIF($I$2:I469,I469)-1)*7,39)/13)+1,"Sí","No","No conozco programas de ese tipo"),"")</f>
        <v/>
      </c>
      <c r="AA469" t="str">
        <f t="shared" si="136"/>
        <v>No puedo hacerlo</v>
      </c>
      <c r="AB469" t="str">
        <f t="shared" si="136"/>
        <v>No puedo hacerlo</v>
      </c>
      <c r="AC469" t="str">
        <f t="shared" si="137"/>
        <v>No puedo hacerlo</v>
      </c>
      <c r="AD469" s="9" t="str">
        <f t="shared" si="138"/>
        <v>No puedo hacerlo</v>
      </c>
      <c r="AE469" t="str">
        <f t="shared" si="139"/>
        <v>Puedo hacerlo con dificultad</v>
      </c>
      <c r="AF469" s="9" t="str">
        <f t="shared" si="140"/>
        <v>Crear una hoja de vida</v>
      </c>
      <c r="AG469" s="9" t="str">
        <f t="shared" si="141"/>
        <v>Ninguna</v>
      </c>
      <c r="AH469" t="str">
        <f t="shared" si="142"/>
        <v>Oficina de orientación laboral</v>
      </c>
      <c r="AI469" s="9" t="str">
        <f t="shared" si="143"/>
        <v>Me es indiferente</v>
      </c>
      <c r="AJ469" s="9" t="str">
        <f t="shared" si="144"/>
        <v>Diurno</v>
      </c>
      <c r="AK469" s="9" t="str">
        <f t="shared" si="145"/>
        <v>Redes sociales</v>
      </c>
    </row>
    <row r="470" spans="1:37">
      <c r="A470" t="str">
        <f t="shared" si="146"/>
        <v>SG469</v>
      </c>
      <c r="B470" t="s">
        <v>57</v>
      </c>
      <c r="C470" s="9" t="s">
        <v>427</v>
      </c>
      <c r="D470" t="str">
        <f t="shared" si="129"/>
        <v>Femenino</v>
      </c>
      <c r="E470" t="str">
        <f t="shared" si="130"/>
        <v>De 24 a 26 años</v>
      </c>
      <c r="F470">
        <f t="shared" si="131"/>
        <v>25</v>
      </c>
      <c r="G470" t="str">
        <f t="shared" si="147"/>
        <v>Rural</v>
      </c>
      <c r="H470" s="9" t="str">
        <f t="shared" si="132"/>
        <v>Profesional</v>
      </c>
      <c r="I470" s="9" t="str">
        <f t="shared" si="133"/>
        <v>Trabajo actualmente como empleado</v>
      </c>
      <c r="J470" s="13" t="str">
        <f>IF(I470="Trabajo actualmente como empleado",IF(MOD((COUNTIF($I$2:I470,"Trabajo actualmente como empleado")-1)*37,150)&lt;100,"Empleado con contrato","Empleado sin contrato formal"),IF(I470="Trabajo de manera independiente","Trabajo independiente",""))</f>
        <v>Empleado con contrato</v>
      </c>
      <c r="K470" s="9" t="str">
        <f>IF(OR(I470="Trabajo actualmente como empleado",I470="Trabajo de manera independiente"),CHOOSE(MOD(COUNTIF($I$2:I470,I470)-1,4)+1,"Menos de 3 meses","De 3 a 6 meses","De 7 a 12 meses","Más de un año"),"")</f>
        <v>De 7 a 12 meses</v>
      </c>
      <c r="L470" t="str">
        <f>IF(OR(I470="Trabajo actualmente como empleado",I470="Trabajo de manera independiente"),CHOOSE(MOD(COUNTIF($I$2:I470,I470)-1,3)+1,"Sí, completamente","Parcialmente","No"),"")</f>
        <v>No</v>
      </c>
      <c r="M470" t="str">
        <f>IF(OR(I470="Trabajo actualmente como empleado",I470="Trabajo de manera independiente"),CHOOSE(MOD(INT((COUNTIF($I$2:I470,I470)-1)/3),4)+1,"1- Muy satisfecho/a","2- Satisfecho/a","3- Insatisfecho/a","4- Muy insatisfecho/a"),"")</f>
        <v>1- Muy satisfecho/a</v>
      </c>
      <c r="N470" t="str">
        <f>IF(OR(I470="Trabajo actualmente como empleado",I470="Trabajo de manera independiente"),_xlfn.LET(_xlpm.opcion,MOD(INT((COUNTIF($I$2:I470,I470)-1)/5),6)+1,CHOOSE(IF(AND(_xlpm.opcion=6,L470="Sí,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470" s="9" t="str">
        <f>IF(OR(I470="Trabajo actualmente como empleado",I470="Trabajo de manera independiente"),_xlfn.LET(_xlpm.turno,MOD(COUNTIF($I$2:I470,I470)-1,5),_xlpm.nivel,VALUE(LEFT(M470,1)),IF(_xlpm.turno=4,"No estoy seguro/a",IF(_xlpm.turno&lt;IF(_xlpm.nivel&lt;=2,1,3),"Sí","No"))),"")</f>
        <v>No</v>
      </c>
      <c r="P470" s="9" t="str">
        <f>_xlfn.LET(_xlpm.perfil,I470,_xlpm.turno,COUNTIF($I$2:I470,_xlpm.perfil)-1,_xlpm.busca,OR(_xlpm.perfil="Actualmente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trabajar"),IF(AND(_xlpm.trabaja,O470="No"),"Todavía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70" t="str">
        <f>IF(I470="Tengo un emprendimiento o quiero iniciar uno","",CHOOSE(MOD(INT((COUNTIF($I$2:I470,I470)-1)/7),3)+1,"Sí","No","Tengo una pero necesito actualizarla"))</f>
        <v>Tengo una pero necesito actualizarla</v>
      </c>
      <c r="R470" s="9" t="str">
        <f>IF(I470="Tengo un emprendimiento o quiero iniciar uno","",IF(I470="Busco mi primer empleo","No",IF(MOD(COUNTIF($I$2:I470,I470)-1,2)=0,"Sí","No")))</f>
        <v>Sí</v>
      </c>
      <c r="S470" t="str">
        <f>IF(I470="Tengo un emprendimiento o quiero iniciar uno","",CHOOSE(MOD(INT((COUNTIF($I$2:I470,I470)-1)/3),10)+1,"Portales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Portales de empleo;Redes sociales</v>
      </c>
      <c r="T470" t="str">
        <f>IF(I470="Tengo un emprendimiento o quiero iniciar uno","",_xlfn.LET(_xlpm.opcion,MOD(INT((COUNTIF($I$2:I470,I470)-1)/4),6)+1,CHOOSE(IF(AND(_xlpm.opcion=3,Q470="Sí"),1,_xlpm.opcion),"Falta de experiencia","Falta de formación","Dificultades con la hoja de vida","Horarios disponibles","Transporte","Internet")))</f>
        <v>Falta de experiencia</v>
      </c>
      <c r="U470" s="9" t="str">
        <f>IF(I470="Tengo un emprendimiento o quiero iniciar uno","",IF(MOD(INT((COUNTIF($I$2:I470,I470)-1)/3),2)=0,"Sí","No"))</f>
        <v>Sí</v>
      </c>
      <c r="V470" s="9" t="str">
        <f>IF(I470="Tengo un emprendimiento o quiero iniciar uno",CHOOSE(MOD(COUNTIF($I$2:I470,I470)-1,3)+1,"Tengo un emprendimiento","Estoy iniciando un emprendimiento","Me interesa emprender"),"")</f>
        <v/>
      </c>
      <c r="W470" t="str">
        <f t="shared" si="134"/>
        <v/>
      </c>
      <c r="X470" s="9" t="str">
        <f>IF(I470="Tengo un emprendimiento o quiero iniciar uno",CHOOSE(MOD(COUNTIF($I$2:I470,I470)-1,5)+1,"Falta de financiación","Falta de conocimientos administrativos","Falta de conocimientos financieros","Falta de tiempo","Falta de herramientas"),"")</f>
        <v/>
      </c>
      <c r="Y470" s="9" t="str">
        <f t="shared" si="135"/>
        <v/>
      </c>
      <c r="Z470" t="str">
        <f>IF(I470="Tengo un emprendimiento o quiero iniciar uno",CHOOSE(INT(MOD((COUNTIF($I$2:I470,I470)-1)*7,39)/13)+1,"Sí","No","No conozco programas de ese tipo"),"")</f>
        <v/>
      </c>
      <c r="AA470" t="str">
        <f t="shared" si="136"/>
        <v>Puedo hacerlo con dificultad</v>
      </c>
      <c r="AB470" t="str">
        <f t="shared" si="136"/>
        <v>Puedo hacerlo con dificultad</v>
      </c>
      <c r="AC470" t="str">
        <f t="shared" si="137"/>
        <v>Puedo hacerlo con dificultad</v>
      </c>
      <c r="AD470" s="9" t="str">
        <f t="shared" si="138"/>
        <v>No puedo hacerlo</v>
      </c>
      <c r="AE470" t="str">
        <f t="shared" si="139"/>
        <v>Puedo hacerlo con dificultad</v>
      </c>
      <c r="AF470" s="9" t="str">
        <f t="shared" si="140"/>
        <v>Preparación para entrevista</v>
      </c>
      <c r="AG470" s="9" t="str">
        <f t="shared" si="141"/>
        <v>Falta de experiencia</v>
      </c>
      <c r="AH470" t="str">
        <f t="shared" si="142"/>
        <v>Programas de emprendimiento</v>
      </c>
      <c r="AI470" s="9" t="str">
        <f t="shared" si="143"/>
        <v>Presencial</v>
      </c>
      <c r="AJ470" s="9" t="str">
        <f t="shared" si="144"/>
        <v>Nocturno</v>
      </c>
      <c r="AK470" s="9" t="str">
        <f t="shared" si="145"/>
        <v>WhatsApp</v>
      </c>
    </row>
    <row r="471" spans="1:37">
      <c r="A471" t="str">
        <f t="shared" si="146"/>
        <v>SG470</v>
      </c>
      <c r="B471" t="s">
        <v>57</v>
      </c>
      <c r="C471" s="9" t="s">
        <v>427</v>
      </c>
      <c r="D471" t="str">
        <f t="shared" si="129"/>
        <v>Masculino</v>
      </c>
      <c r="E471" t="str">
        <f t="shared" si="130"/>
        <v>De 26 a 28 años</v>
      </c>
      <c r="F471">
        <f t="shared" si="131"/>
        <v>26</v>
      </c>
      <c r="G471" t="str">
        <f t="shared" si="147"/>
        <v>Centro poblado</v>
      </c>
      <c r="H471" s="9" t="str">
        <f t="shared" si="132"/>
        <v>Técnico</v>
      </c>
      <c r="I471" s="9" t="str">
        <f t="shared" si="133"/>
        <v>Trabajo de manera independiente</v>
      </c>
      <c r="J471" s="13" t="str">
        <f>IF(I471="Trabajo actualmente como empleado",IF(MOD((COUNTIF($I$2:I471,"Trabajo actualmente como empleado")-1)*37,150)&lt;100,"Empleado con contrato","Empleado sin contrato formal"),IF(I471="Trabajo de manera independiente","Trabajo independiente",""))</f>
        <v>Trabajo independiente</v>
      </c>
      <c r="K471" s="9" t="str">
        <f>IF(OR(I471="Trabajo actualmente como empleado",I471="Trabajo de manera independiente"),CHOOSE(MOD(COUNTIF($I$2:I471,I471)-1,4)+1,"Menos de 3 meses","De 3 a 6 meses","De 7 a 12 meses","Más de un año"),"")</f>
        <v>De 7 a 12 meses</v>
      </c>
      <c r="L471" t="str">
        <f>IF(OR(I471="Trabajo actualmente como empleado",I471="Trabajo de manera independiente"),CHOOSE(MOD(COUNTIF($I$2:I471,I471)-1,3)+1,"Sí, completamente","Parcialmente","No"),"")</f>
        <v>Sí, completamente</v>
      </c>
      <c r="M471" t="str">
        <f>IF(OR(I471="Trabajo actualmente como empleado",I471="Trabajo de manera independiente"),CHOOSE(MOD(INT((COUNTIF($I$2:I471,I471)-1)/3),4)+1,"1- Muy satisfecho/a","2- Satisfecho/a","3- Insatisfecho/a","4- Muy insatisfecho/a"),"")</f>
        <v>3- Insatisfecho/a</v>
      </c>
      <c r="N471" t="str">
        <f>IF(OR(I471="Trabajo actualmente como empleado",I471="Trabajo de manera independiente"),_xlfn.LET(_xlpm.opcion,MOD(INT((COUNTIF($I$2:I471,I471)-1)/5),6)+1,CHOOSE(IF(AND(_xlpm.opcion=6,L471="Sí, completamente"),5,_xlpm.opcion),"Salario","Estabilidad laboral","Horario","Acceso a prestaciones","Oportunidades de crecimiento","Trabajar en un área relacionada con mi formación")),"")</f>
        <v>Acceso a prestaciones</v>
      </c>
      <c r="O471" s="9" t="str">
        <f>IF(OR(I471="Trabajo actualmente como empleado",I471="Trabajo de manera independiente"),_xlfn.LET(_xlpm.turno,MOD(COUNTIF($I$2:I471,I471)-1,5),_xlpm.nivel,VALUE(LEFT(M471,1)),IF(_xlpm.turno=4,"No estoy seguro/a",IF(_xlpm.turno&lt;IF(_xlpm.nivel&lt;=2,1,3),"Sí","No"))),"")</f>
        <v>No</v>
      </c>
      <c r="P471" s="9" t="str">
        <f>_xlfn.LET(_xlpm.perfil,I471,_xlpm.turno,COUNTIF($I$2:I471,_xlpm.perfil)-1,_xlpm.busca,OR(_xlpm.perfil="Actualmente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trabajar"),IF(AND(_xlpm.trabaja,O471="No"),"Todavía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71" t="str">
        <f>IF(I471="Tengo un emprendimiento o quiero iniciar uno","",CHOOSE(MOD(INT((COUNTIF($I$2:I471,I471)-1)/7),3)+1,"Sí","No","Tengo una pero necesito actualizarla"))</f>
        <v>Tengo una pero necesito actualizarla</v>
      </c>
      <c r="R471" s="9" t="str">
        <f>IF(I471="Tengo un emprendimiento o quiero iniciar uno","",IF(I471="Busco mi primer empleo","No",IF(MOD(COUNTIF($I$2:I471,I471)-1,2)=0,"Sí","No")))</f>
        <v>Sí</v>
      </c>
      <c r="S471" t="str">
        <f>IF(I471="Tengo un emprendimiento o quiero iniciar uno","",CHOOSE(MOD(INT((COUNTIF($I$2:I471,I471)-1)/3),10)+1,"Portales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71" t="str">
        <f>IF(I471="Tengo un emprendimiento o quiero iniciar uno","",_xlfn.LET(_xlpm.opcion,MOD(INT((COUNTIF($I$2:I471,I471)-1)/4),6)+1,CHOOSE(IF(AND(_xlpm.opcion=3,Q471="Sí"),1,_xlpm.opcion),"Falta de experiencia","Falta de formación","Dificultades con la hoja de vida","Horarios disponibles","Transporte","Internet")))</f>
        <v>Falta de formación</v>
      </c>
      <c r="U471" s="9" t="str">
        <f>IF(I471="Tengo un emprendimiento o quiero iniciar uno","",IF(MOD(INT((COUNTIF($I$2:I471,I471)-1)/3),2)=0,"Sí","No"))</f>
        <v>Sí</v>
      </c>
      <c r="V471" s="9" t="str">
        <f>IF(I471="Tengo un emprendimiento o quiero iniciar uno",CHOOSE(MOD(COUNTIF($I$2:I471,I471)-1,3)+1,"Tengo un emprendimiento","Estoy iniciando un emprendimiento","Me interesa emprender"),"")</f>
        <v/>
      </c>
      <c r="W471" t="str">
        <f t="shared" si="134"/>
        <v/>
      </c>
      <c r="X471" s="9" t="str">
        <f>IF(I471="Tengo un emprendimiento o quiero iniciar uno",CHOOSE(MOD(COUNTIF($I$2:I471,I471)-1,5)+1,"Falta de financiación","Falta de conocimientos administrativos","Falta de conocimientos financieros","Falta de tiempo","Falta de herramientas"),"")</f>
        <v/>
      </c>
      <c r="Y471" s="9" t="str">
        <f t="shared" si="135"/>
        <v/>
      </c>
      <c r="Z471" t="str">
        <f>IF(I471="Tengo un emprendimiento o quiero iniciar uno",CHOOSE(INT(MOD((COUNTIF($I$2:I471,I471)-1)*7,39)/13)+1,"Sí","No","No conozco programas de ese tipo"),"")</f>
        <v/>
      </c>
      <c r="AA471" t="str">
        <f t="shared" si="136"/>
        <v>No puedo hacerlo</v>
      </c>
      <c r="AB471" t="str">
        <f t="shared" si="136"/>
        <v>No puedo hacerlo</v>
      </c>
      <c r="AC471" t="str">
        <f t="shared" si="137"/>
        <v>Puedo hacerlo sin ayuda</v>
      </c>
      <c r="AD471" s="9" t="str">
        <f t="shared" si="138"/>
        <v>Puedo hacerlo con ayuda</v>
      </c>
      <c r="AE471" t="str">
        <f t="shared" si="139"/>
        <v>Puedo hacerlo sin ayuda</v>
      </c>
      <c r="AF471" s="9" t="str">
        <f t="shared" si="140"/>
        <v>Comunicación</v>
      </c>
      <c r="AG471" s="9" t="str">
        <f t="shared" si="141"/>
        <v>Falta de experiencia</v>
      </c>
      <c r="AH471" t="str">
        <f t="shared" si="142"/>
        <v>No conozco ninguno</v>
      </c>
      <c r="AI471" s="9" t="str">
        <f t="shared" si="143"/>
        <v>Virtual</v>
      </c>
      <c r="AJ471" s="9" t="str">
        <f t="shared" si="144"/>
        <v>Fines de semana</v>
      </c>
      <c r="AK471" s="9" t="str">
        <f t="shared" si="145"/>
        <v>Correo electrónico</v>
      </c>
    </row>
    <row r="472" spans="1:37">
      <c r="A472" t="str">
        <f t="shared" si="146"/>
        <v>SG471</v>
      </c>
      <c r="B472" t="s">
        <v>57</v>
      </c>
      <c r="C472" s="9" t="s">
        <v>427</v>
      </c>
      <c r="D472" t="str">
        <f t="shared" si="129"/>
        <v>Masculino</v>
      </c>
      <c r="E472" t="str">
        <f t="shared" si="130"/>
        <v>De 18 a 20 años</v>
      </c>
      <c r="F472">
        <f t="shared" si="131"/>
        <v>18</v>
      </c>
      <c r="G472" t="str">
        <f t="shared" si="147"/>
        <v>Rural</v>
      </c>
      <c r="H472" s="9" t="str">
        <f t="shared" si="132"/>
        <v>Bachiller</v>
      </c>
      <c r="I472" s="9" t="str">
        <f t="shared" si="133"/>
        <v>Busco mi primer empleo</v>
      </c>
      <c r="J472" s="13" t="str">
        <f>IF(I472="Trabajo actualmente como empleado",IF(MOD((COUNTIF($I$2:I472,"Trabajo actualmente como empleado")-1)*37,150)&lt;100,"Empleado con contrato","Empleado sin contrato formal"),IF(I472="Trabajo de manera independiente","Trabajo independiente",""))</f>
        <v/>
      </c>
      <c r="K472" s="9" t="str">
        <f>IF(OR(I472="Trabajo actualmente como empleado",I472="Trabajo de manera independiente"),CHOOSE(MOD(COUNTIF($I$2:I472,I472)-1,4)+1,"Menos de 3 meses","De 3 a 6 meses","De 7 a 12 meses","Más de un año"),"")</f>
        <v/>
      </c>
      <c r="L472" t="str">
        <f>IF(OR(I472="Trabajo actualmente como empleado",I472="Trabajo de manera independiente"),CHOOSE(MOD(COUNTIF($I$2:I472,I472)-1,3)+1,"Sí, completamente","Parcialmente","No"),"")</f>
        <v/>
      </c>
      <c r="M472" t="str">
        <f>IF(OR(I472="Trabajo actualmente como empleado",I472="Trabajo de manera independiente"),CHOOSE(MOD(INT((COUNTIF($I$2:I472,I472)-1)/3),4)+1,"1- Muy satisfecho/a","2- Satisfecho/a","3- Insatisfecho/a","4- Muy insatisfecho/a"),"")</f>
        <v/>
      </c>
      <c r="N472" t="str">
        <f>IF(OR(I472="Trabajo actualmente como empleado",I472="Trabajo de manera independiente"),_xlfn.LET(_xlpm.opcion,MOD(INT((COUNTIF($I$2:I472,I472)-1)/5),6)+1,CHOOSE(IF(AND(_xlpm.opcion=6,L472="Sí, completamente"),5,_xlpm.opcion),"Salario","Estabilidad laboral","Horario","Acceso a prestaciones","Oportunidades de crecimiento","Trabajar en un área relacionada con mi formación")),"")</f>
        <v/>
      </c>
      <c r="O472" s="9" t="str">
        <f>IF(OR(I472="Trabajo actualmente como empleado",I472="Trabajo de manera independiente"),_xlfn.LET(_xlpm.turno,MOD(COUNTIF($I$2:I472,I472)-1,5),_xlpm.nivel,VALUE(LEFT(M472,1)),IF(_xlpm.turno=4,"No estoy seguro/a",IF(_xlpm.turno&lt;IF(_xlpm.nivel&lt;=2,1,3),"Sí","No"))),"")</f>
        <v/>
      </c>
      <c r="P472" s="9" t="str">
        <f>_xlfn.LET(_xlpm.perfil,I472,_xlpm.turno,COUNTIF($I$2:I472,_xlpm.perfil)-1,_xlpm.busca,OR(_xlpm.perfil="Actualmente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trabajar"),IF(AND(_xlpm.trabaja,O472="No"),"Todavía no he iniciado una búsqueda activa",CHOOSE(MOD(_xlpm.turno*3,5)+1,"Menos de 1 mes","Entre 1 y 3 meses","Entre 4 y 6 meses","Más de 6 meses","Todavía no he iniciado una búsqueda activa")),"")))</f>
        <v>Entre 1 y 3 meses</v>
      </c>
      <c r="Q472" t="str">
        <f>IF(I472="Tengo un emprendimiento o quiero iniciar uno","",CHOOSE(MOD(INT((COUNTIF($I$2:I472,I472)-1)/7),3)+1,"Sí","No","Tengo una pero necesito actualizarla"))</f>
        <v>Tengo una pero necesito actualizarla</v>
      </c>
      <c r="R472" s="9" t="str">
        <f>IF(I472="Tengo un emprendimiento o quiero iniciar uno","",IF(I472="Busco mi primer empleo","No",IF(MOD(COUNTIF($I$2:I472,I472)-1,2)=0,"Sí","No")))</f>
        <v>No</v>
      </c>
      <c r="S472" t="str">
        <f>IF(I472="Tengo un emprendimiento o quiero iniciar uno","",CHOOSE(MOD(INT((COUNTIF($I$2:I472,I472)-1)/3),10)+1,"Portales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72" t="str">
        <f>IF(I472="Tengo un emprendimiento o quiero iniciar uno","",_xlfn.LET(_xlpm.opcion,MOD(INT((COUNTIF($I$2:I472,I472)-1)/4),6)+1,CHOOSE(IF(AND(_xlpm.opcion=3,Q472="Sí"),1,_xlpm.opcion),"Falta de experiencia","Falta de formación","Dificultades con la hoja de vida","Horarios disponibles","Transporte","Internet")))</f>
        <v>Dificultades con la hoja de vida</v>
      </c>
      <c r="U472" s="9" t="str">
        <f>IF(I472="Tengo un emprendimiento o quiero iniciar uno","",IF(MOD(INT((COUNTIF($I$2:I472,I472)-1)/3),2)=0,"Sí","No"))</f>
        <v>No</v>
      </c>
      <c r="V472" s="9" t="str">
        <f>IF(I472="Tengo un emprendimiento o quiero iniciar uno",CHOOSE(MOD(COUNTIF($I$2:I472,I472)-1,3)+1,"Tengo un emprendimiento","Estoy iniciando un emprendimiento","Me interesa emprender"),"")</f>
        <v/>
      </c>
      <c r="W472" t="str">
        <f t="shared" si="134"/>
        <v/>
      </c>
      <c r="X472" s="9" t="str">
        <f>IF(I472="Tengo un emprendimiento o quiero iniciar uno",CHOOSE(MOD(COUNTIF($I$2:I472,I472)-1,5)+1,"Falta de financiación","Falta de conocimientos administrativos","Falta de conocimientos financieros","Falta de tiempo","Falta de herramientas"),"")</f>
        <v/>
      </c>
      <c r="Y472" s="9" t="str">
        <f t="shared" si="135"/>
        <v/>
      </c>
      <c r="Z472" t="str">
        <f>IF(I472="Tengo un emprendimiento o quiero iniciar uno",CHOOSE(INT(MOD((COUNTIF($I$2:I472,I472)-1)*7,39)/13)+1,"Sí","No","No conozco programas de ese tipo"),"")</f>
        <v/>
      </c>
      <c r="AA472" t="str">
        <f t="shared" si="136"/>
        <v>Puedo hacerlo con ayuda</v>
      </c>
      <c r="AB472" t="str">
        <f t="shared" si="136"/>
        <v>Puedo hacerlo con ayuda</v>
      </c>
      <c r="AC472" t="str">
        <f t="shared" si="137"/>
        <v>No puedo hacerlo</v>
      </c>
      <c r="AD472" s="9" t="str">
        <f t="shared" si="138"/>
        <v>Puedo hacerlo con dificultad</v>
      </c>
      <c r="AE472" t="str">
        <f t="shared" si="139"/>
        <v>No puedo hacerlo</v>
      </c>
      <c r="AF472" s="9" t="str">
        <f t="shared" si="140"/>
        <v>Liderazgo</v>
      </c>
      <c r="AG472" s="9" t="str">
        <f t="shared" si="141"/>
        <v>Falta de experiencia</v>
      </c>
      <c r="AH472" t="str">
        <f t="shared" si="142"/>
        <v>Ferias de empleo</v>
      </c>
      <c r="AI472" s="9" t="str">
        <f t="shared" si="143"/>
        <v>Me es indiferente</v>
      </c>
      <c r="AJ472" s="9" t="str">
        <f t="shared" si="144"/>
        <v>Diurno</v>
      </c>
      <c r="AK472" s="9" t="str">
        <f t="shared" si="145"/>
        <v>Celular</v>
      </c>
    </row>
    <row r="473" spans="1:37">
      <c r="A473" t="str">
        <f t="shared" si="146"/>
        <v>SG472</v>
      </c>
      <c r="B473" t="s">
        <v>57</v>
      </c>
      <c r="C473" s="9" t="s">
        <v>427</v>
      </c>
      <c r="D473" t="str">
        <f t="shared" si="129"/>
        <v>Femenino</v>
      </c>
      <c r="E473" t="str">
        <f t="shared" si="130"/>
        <v>De 20 a 22 años</v>
      </c>
      <c r="F473">
        <f t="shared" si="131"/>
        <v>20</v>
      </c>
      <c r="G473" t="str">
        <f t="shared" si="147"/>
        <v>Centro poblado</v>
      </c>
      <c r="H473" s="9" t="str">
        <f t="shared" si="132"/>
        <v>Bachiller</v>
      </c>
      <c r="I473" s="9" t="str">
        <f t="shared" si="133"/>
        <v>Trabajo actualmente como empleado</v>
      </c>
      <c r="J473" s="13" t="str">
        <f>IF(I473="Trabajo actualmente como empleado",IF(MOD((COUNTIF($I$2:I473,"Trabajo actualmente como empleado")-1)*37,150)&lt;100,"Empleado con contrato","Empleado sin contrato formal"),IF(I473="Trabajo de manera independiente","Trabajo independiente",""))</f>
        <v>Empleado con contrato</v>
      </c>
      <c r="K473" s="9" t="str">
        <f>IF(OR(I473="Trabajo actualmente como empleado",I473="Trabajo de manera independiente"),CHOOSE(MOD(COUNTIF($I$2:I473,I473)-1,4)+1,"Menos de 3 meses","De 3 a 6 meses","De 7 a 12 meses","Más de un año"),"")</f>
        <v>Más de un año</v>
      </c>
      <c r="L473" t="str">
        <f>IF(OR(I473="Trabajo actualmente como empleado",I473="Trabajo de manera independiente"),CHOOSE(MOD(COUNTIF($I$2:I473,I473)-1,3)+1,"Sí, completamente","Parcialmente","No"),"")</f>
        <v>Sí, completamente</v>
      </c>
      <c r="M473" t="str">
        <f>IF(OR(I473="Trabajo actualmente como empleado",I473="Trabajo de manera independiente"),CHOOSE(MOD(INT((COUNTIF($I$2:I473,I473)-1)/3),4)+1,"1- Muy satisfecho/a","2- Satisfecho/a","3- Insatisfecho/a","4- Muy insatisfecho/a"),"")</f>
        <v>2- Satisfecho/a</v>
      </c>
      <c r="N473" t="str">
        <f>IF(OR(I473="Trabajo actualmente como empleado",I473="Trabajo de manera independiente"),_xlfn.LET(_xlpm.opcion,MOD(INT((COUNTIF($I$2:I473,I473)-1)/5),6)+1,CHOOSE(IF(AND(_xlpm.opcion=6,L473="Sí, completamente"),5,_xlpm.opcion),"Salario","Estabilidad laboral","Horario","Acceso a prestaciones","Oportunidades de crecimiento","Trabajar en un área relacionada con mi formación")),"")</f>
        <v>Oportunidades de crecimiento</v>
      </c>
      <c r="O473" s="9" t="str">
        <f>IF(OR(I473="Trabajo actualmente como empleado",I473="Trabajo de manera independiente"),_xlfn.LET(_xlpm.turno,MOD(COUNTIF($I$2:I473,I473)-1,5),_xlpm.nivel,VALUE(LEFT(M473,1)),IF(_xlpm.turno=4,"No estoy seguro/a",IF(_xlpm.turno&lt;IF(_xlpm.nivel&lt;=2,1,3),"Sí","No"))),"")</f>
        <v>No</v>
      </c>
      <c r="P473" s="9" t="str">
        <f>_xlfn.LET(_xlpm.perfil,I473,_xlpm.turno,COUNTIF($I$2:I473,_xlpm.perfil)-1,_xlpm.busca,OR(_xlpm.perfil="Actualmente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trabajar"),IF(AND(_xlpm.trabaja,O473="No"),"Todavía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73" t="str">
        <f>IF(I473="Tengo un emprendimiento o quiero iniciar uno","",CHOOSE(MOD(INT((COUNTIF($I$2:I473,I473)-1)/7),3)+1,"Sí","No","Tengo una pero necesito actualizarla"))</f>
        <v>Sí</v>
      </c>
      <c r="R473" s="9" t="str">
        <f>IF(I473="Tengo un emprendimiento o quiero iniciar uno","",IF(I473="Busco mi primer empleo","No",IF(MOD(COUNTIF($I$2:I473,I473)-1,2)=0,"Sí","No")))</f>
        <v>No</v>
      </c>
      <c r="S473" t="str">
        <f>IF(I473="Tengo un emprendimiento o quiero iniciar uno","",CHOOSE(MOD(INT((COUNTIF($I$2:I473,I473)-1)/3),10)+1,"Portales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73" t="str">
        <f>IF(I473="Tengo un emprendimiento o quiero iniciar uno","",_xlfn.LET(_xlpm.opcion,MOD(INT((COUNTIF($I$2:I473,I473)-1)/4),6)+1,CHOOSE(IF(AND(_xlpm.opcion=3,Q473="Sí"),1,_xlpm.opcion),"Falta de experiencia","Falta de formación","Dificultades con la hoja de vida","Horarios disponibles","Transporte","Internet")))</f>
        <v>Falta de experiencia</v>
      </c>
      <c r="U473" s="9" t="str">
        <f>IF(I473="Tengo un emprendimiento o quiero iniciar uno","",IF(MOD(INT((COUNTIF($I$2:I473,I473)-1)/3),2)=0,"Sí","No"))</f>
        <v>No</v>
      </c>
      <c r="V473" s="9" t="str">
        <f>IF(I473="Tengo un emprendimiento o quiero iniciar uno",CHOOSE(MOD(COUNTIF($I$2:I473,I473)-1,3)+1,"Tengo un emprendimiento","Estoy iniciando un emprendimiento","Me interesa emprender"),"")</f>
        <v/>
      </c>
      <c r="W473" t="str">
        <f t="shared" si="134"/>
        <v/>
      </c>
      <c r="X473" s="9" t="str">
        <f>IF(I473="Tengo un emprendimiento o quiero iniciar uno",CHOOSE(MOD(COUNTIF($I$2:I473,I473)-1,5)+1,"Falta de financiación","Falta de conocimientos administrativos","Falta de conocimientos financieros","Falta de tiempo","Falta de herramientas"),"")</f>
        <v/>
      </c>
      <c r="Y473" s="9" t="str">
        <f t="shared" si="135"/>
        <v/>
      </c>
      <c r="Z473" t="str">
        <f>IF(I473="Tengo un emprendimiento o quiero iniciar uno",CHOOSE(INT(MOD((COUNTIF($I$2:I473,I473)-1)*7,39)/13)+1,"Sí","No","No conozco programas de ese tipo"),"")</f>
        <v/>
      </c>
      <c r="AA473" t="str">
        <f t="shared" si="136"/>
        <v>Puedo hacerlo sin ayuda</v>
      </c>
      <c r="AB473" t="str">
        <f t="shared" si="136"/>
        <v>Puedo hacerlo sin ayuda</v>
      </c>
      <c r="AC473" t="str">
        <f t="shared" si="137"/>
        <v>Puedo hacerlo con dificultad</v>
      </c>
      <c r="AD473" s="9" t="str">
        <f t="shared" si="138"/>
        <v>Puedo hacerlo sin ayuda</v>
      </c>
      <c r="AE473" t="str">
        <f t="shared" si="139"/>
        <v>No puedo hacerlo</v>
      </c>
      <c r="AF473" s="9" t="str">
        <f t="shared" si="140"/>
        <v>Emprendimiento</v>
      </c>
      <c r="AG473" s="9" t="str">
        <f t="shared" si="141"/>
        <v>Distancia</v>
      </c>
      <c r="AH473" t="str">
        <f t="shared" si="142"/>
        <v>No conozco ninguno</v>
      </c>
      <c r="AI473" s="9" t="str">
        <f t="shared" si="143"/>
        <v>Presencial</v>
      </c>
      <c r="AJ473" s="9" t="str">
        <f t="shared" si="144"/>
        <v>Nocturno</v>
      </c>
      <c r="AK473" s="9" t="str">
        <f t="shared" si="145"/>
        <v>WhatsApp</v>
      </c>
    </row>
    <row r="474" spans="1:37">
      <c r="A474" t="str">
        <f t="shared" si="146"/>
        <v>SG473</v>
      </c>
      <c r="B474" t="s">
        <v>57</v>
      </c>
      <c r="C474" s="9" t="s">
        <v>427</v>
      </c>
      <c r="D474" t="str">
        <f t="shared" si="129"/>
        <v>No quiero responder</v>
      </c>
      <c r="E474" t="str">
        <f t="shared" si="130"/>
        <v>De 22 a 24 años</v>
      </c>
      <c r="F474">
        <f t="shared" si="131"/>
        <v>22</v>
      </c>
      <c r="G474" t="str">
        <f t="shared" si="147"/>
        <v>Rural</v>
      </c>
      <c r="H474" s="9" t="str">
        <f t="shared" si="132"/>
        <v>Bachiller</v>
      </c>
      <c r="I474" s="9" t="str">
        <f t="shared" si="133"/>
        <v>Trabajo de manera independiente</v>
      </c>
      <c r="J474" s="13" t="str">
        <f>IF(I474="Trabajo actualmente como empleado",IF(MOD((COUNTIF($I$2:I474,"Trabajo actualmente como empleado")-1)*37,150)&lt;100,"Empleado con contrato","Empleado sin contrato formal"),IF(I474="Trabajo de manera independiente","Trabajo independiente",""))</f>
        <v>Trabajo independiente</v>
      </c>
      <c r="K474" s="9" t="str">
        <f>IF(OR(I474="Trabajo actualmente como empleado",I474="Trabajo de manera independiente"),CHOOSE(MOD(COUNTIF($I$2:I474,I474)-1,4)+1,"Menos de 3 meses","De 3 a 6 meses","De 7 a 12 meses","Más de un año"),"")</f>
        <v>Más de un año</v>
      </c>
      <c r="L474" t="str">
        <f>IF(OR(I474="Trabajo actualmente como empleado",I474="Trabajo de manera independiente"),CHOOSE(MOD(COUNTIF($I$2:I474,I474)-1,3)+1,"Sí, completamente","Parcialmente","No"),"")</f>
        <v>Parcialmente</v>
      </c>
      <c r="M474" t="str">
        <f>IF(OR(I474="Trabajo actualmente como empleado",I474="Trabajo de manera independiente"),CHOOSE(MOD(INT((COUNTIF($I$2:I474,I474)-1)/3),4)+1,"1- Muy satisfecho/a","2- Satisfecho/a","3- Insatisfecho/a","4- Muy insatisfecho/a"),"")</f>
        <v>3- Insatisfecho/a</v>
      </c>
      <c r="N474" t="str">
        <f>IF(OR(I474="Trabajo actualmente como empleado",I474="Trabajo de manera independiente"),_xlfn.LET(_xlpm.opcion,MOD(INT((COUNTIF($I$2:I474,I474)-1)/5),6)+1,CHOOSE(IF(AND(_xlpm.opcion=6,L474="Sí, completamente"),5,_xlpm.opcion),"Salario","Estabilidad laboral","Horario","Acceso a prestaciones","Oportunidades de crecimiento","Trabajar en un área relacionada con mi formación")),"")</f>
        <v>Acceso a prestaciones</v>
      </c>
      <c r="O474" s="9" t="str">
        <f>IF(OR(I474="Trabajo actualmente como empleado",I474="Trabajo de manera independiente"),_xlfn.LET(_xlpm.turno,MOD(COUNTIF($I$2:I474,I474)-1,5),_xlpm.nivel,VALUE(LEFT(M474,1)),IF(_xlpm.turno=4,"No estoy seguro/a",IF(_xlpm.turno&lt;IF(_xlpm.nivel&lt;=2,1,3),"Sí","No"))),"")</f>
        <v>No estoy seguro/a</v>
      </c>
      <c r="P474" s="9" t="str">
        <f>_xlfn.LET(_xlpm.perfil,I474,_xlpm.turno,COUNTIF($I$2:I474,_xlpm.perfil)-1,_xlpm.busca,OR(_xlpm.perfil="Actualmente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trabajar"),IF(AND(_xlpm.trabaja,O474="No"),"Todavía no he iniciado una búsqueda activa",CHOOSE(MOD(_xlpm.turno*3,5)+1,"Menos de 1 mes","Entre 1 y 3 meses","Entre 4 y 6 meses","Más de 6 meses","Todavía no he iniciado una búsqueda activa")),"")))</f>
        <v>Entre 4 y 6 meses</v>
      </c>
      <c r="Q474" t="str">
        <f>IF(I474="Tengo un emprendimiento o quiero iniciar uno","",CHOOSE(MOD(INT((COUNTIF($I$2:I474,I474)-1)/7),3)+1,"Sí","No","Tengo una pero necesito actualizarla"))</f>
        <v>Tengo una pero necesito actualizarla</v>
      </c>
      <c r="R474" s="9" t="str">
        <f>IF(I474="Tengo un emprendimiento o quiero iniciar uno","",IF(I474="Busco mi primer empleo","No",IF(MOD(COUNTIF($I$2:I474,I474)-1,2)=0,"Sí","No")))</f>
        <v>No</v>
      </c>
      <c r="S474" t="str">
        <f>IF(I474="Tengo un emprendimiento o quiero iniciar uno","",CHOOSE(MOD(INT((COUNTIF($I$2:I474,I474)-1)/3),10)+1,"Portales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Institución educativa</v>
      </c>
      <c r="T474" t="str">
        <f>IF(I474="Tengo un emprendimiento o quiero iniciar uno","",_xlfn.LET(_xlpm.opcion,MOD(INT((COUNTIF($I$2:I474,I474)-1)/4),6)+1,CHOOSE(IF(AND(_xlpm.opcion=3,Q474="Sí"),1,_xlpm.opcion),"Falta de experiencia","Falta de formación","Dificultades con la hoja de vida","Horarios disponibles","Transporte","Internet")))</f>
        <v>Falta de formación</v>
      </c>
      <c r="U474" s="9" t="str">
        <f>IF(I474="Tengo un emprendimiento o quiero iniciar uno","",IF(MOD(INT((COUNTIF($I$2:I474,I474)-1)/3),2)=0,"Sí","No"))</f>
        <v>Sí</v>
      </c>
      <c r="V474" s="9" t="str">
        <f>IF(I474="Tengo un emprendimiento o quiero iniciar uno",CHOOSE(MOD(COUNTIF($I$2:I474,I474)-1,3)+1,"Tengo un emprendimiento","Estoy iniciando un emprendimiento","Me interesa emprender"),"")</f>
        <v/>
      </c>
      <c r="W474" t="str">
        <f t="shared" si="134"/>
        <v/>
      </c>
      <c r="X474" s="9" t="str">
        <f>IF(I474="Tengo un emprendimiento o quiero iniciar uno",CHOOSE(MOD(COUNTIF($I$2:I474,I474)-1,5)+1,"Falta de financiación","Falta de conocimientos administrativos","Falta de conocimientos financieros","Falta de tiempo","Falta de herramientas"),"")</f>
        <v/>
      </c>
      <c r="Y474" s="9" t="str">
        <f t="shared" si="135"/>
        <v/>
      </c>
      <c r="Z474" t="str">
        <f>IF(I474="Tengo un emprendimiento o quiero iniciar uno",CHOOSE(INT(MOD((COUNTIF($I$2:I474,I474)-1)*7,39)/13)+1,"Sí","No","No conozco programas de ese tipo"),"")</f>
        <v/>
      </c>
      <c r="AA474" t="str">
        <f t="shared" si="136"/>
        <v>No puedo hacerlo</v>
      </c>
      <c r="AB474" t="str">
        <f t="shared" si="136"/>
        <v>No puedo hacerlo</v>
      </c>
      <c r="AC474" t="str">
        <f t="shared" si="137"/>
        <v>Puedo hacerlo sin ayuda</v>
      </c>
      <c r="AD474" s="9" t="str">
        <f t="shared" si="138"/>
        <v>Puedo hacerlo sin ayuda</v>
      </c>
      <c r="AE474" t="str">
        <f t="shared" si="139"/>
        <v>Puedo hacerlo con ayuda</v>
      </c>
      <c r="AF474" s="9" t="str">
        <f t="shared" si="140"/>
        <v>Herramientas digitales</v>
      </c>
      <c r="AG474" s="9" t="str">
        <f t="shared" si="141"/>
        <v>Distancia</v>
      </c>
      <c r="AH474" t="str">
        <f t="shared" si="142"/>
        <v>Oficina de orientación laboral</v>
      </c>
      <c r="AI474" s="9" t="str">
        <f t="shared" si="143"/>
        <v>Virtual</v>
      </c>
      <c r="AJ474" s="9" t="str">
        <f t="shared" si="144"/>
        <v>Fines de semana</v>
      </c>
      <c r="AK474" s="9" t="str">
        <f t="shared" si="145"/>
        <v>Redes sociales</v>
      </c>
    </row>
    <row r="475" spans="1:37">
      <c r="A475" t="str">
        <f t="shared" si="146"/>
        <v>SG474</v>
      </c>
      <c r="B475" t="s">
        <v>57</v>
      </c>
      <c r="C475" s="9" t="s">
        <v>427</v>
      </c>
      <c r="D475" t="str">
        <f t="shared" si="129"/>
        <v>Masculino</v>
      </c>
      <c r="E475" t="str">
        <f t="shared" si="130"/>
        <v>De 24 a 26 años</v>
      </c>
      <c r="F475">
        <f t="shared" si="131"/>
        <v>24</v>
      </c>
      <c r="G475" t="str">
        <f t="shared" si="147"/>
        <v>Centro poblado</v>
      </c>
      <c r="H475" s="9" t="str">
        <f t="shared" si="132"/>
        <v>Técnico</v>
      </c>
      <c r="I475" s="9" t="str">
        <f t="shared" si="133"/>
        <v>Estudio y quiero comenzar a trabajar</v>
      </c>
      <c r="J475" s="13" t="str">
        <f>IF(I475="Trabajo actualmente como empleado",IF(MOD((COUNTIF($I$2:I475,"Trabajo actualmente como empleado")-1)*37,150)&lt;100,"Empleado con contrato","Empleado sin contrato formal"),IF(I475="Trabajo de manera independiente","Trabajo independiente",""))</f>
        <v/>
      </c>
      <c r="K475" s="9" t="str">
        <f>IF(OR(I475="Trabajo actualmente como empleado",I475="Trabajo de manera independiente"),CHOOSE(MOD(COUNTIF($I$2:I475,I475)-1,4)+1,"Menos de 3 meses","De 3 a 6 meses","De 7 a 12 meses","Más de un año"),"")</f>
        <v/>
      </c>
      <c r="L475" t="str">
        <f>IF(OR(I475="Trabajo actualmente como empleado",I475="Trabajo de manera independiente"),CHOOSE(MOD(COUNTIF($I$2:I475,I475)-1,3)+1,"Sí, completamente","Parcialmente","No"),"")</f>
        <v/>
      </c>
      <c r="M475" t="str">
        <f>IF(OR(I475="Trabajo actualmente como empleado",I475="Trabajo de manera independiente"),CHOOSE(MOD(INT((COUNTIF($I$2:I475,I475)-1)/3),4)+1,"1- Muy satisfecho/a","2- Satisfecho/a","3- Insatisfecho/a","4- Muy insatisfecho/a"),"")</f>
        <v/>
      </c>
      <c r="N475" t="str">
        <f>IF(OR(I475="Trabajo actualmente como empleado",I475="Trabajo de manera independiente"),_xlfn.LET(_xlpm.opcion,MOD(INT((COUNTIF($I$2:I475,I475)-1)/5),6)+1,CHOOSE(IF(AND(_xlpm.opcion=6,L475="Sí, completamente"),5,_xlpm.opcion),"Salario","Estabilidad laboral","Horario","Acceso a prestaciones","Oportunidades de crecimiento","Trabajar en un área relacionada con mi formación")),"")</f>
        <v/>
      </c>
      <c r="O475" s="9" t="str">
        <f>IF(OR(I475="Trabajo actualmente como empleado",I475="Trabajo de manera independiente"),_xlfn.LET(_xlpm.turno,MOD(COUNTIF($I$2:I475,I475)-1,5),_xlpm.nivel,VALUE(LEFT(M475,1)),IF(_xlpm.turno=4,"No estoy seguro/a",IF(_xlpm.turno&lt;IF(_xlpm.nivel&lt;=2,1,3),"Sí","No"))),"")</f>
        <v/>
      </c>
      <c r="P475" s="9" t="str">
        <f>_xlfn.LET(_xlpm.perfil,I475,_xlpm.turno,COUNTIF($I$2:I475,_xlpm.perfil)-1,_xlpm.busca,OR(_xlpm.perfil="Actualmente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trabajar"),IF(AND(_xlpm.trabaja,O475="No"),"Todavía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75" t="str">
        <f>IF(I475="Tengo un emprendimiento o quiero iniciar uno","",CHOOSE(MOD(INT((COUNTIF($I$2:I475,I475)-1)/7),3)+1,"Sí","No","Tengo una pero necesito actualizarla"))</f>
        <v>Tengo una pero necesito actualizarla</v>
      </c>
      <c r="R475" s="9" t="str">
        <f>IF(I475="Tengo un emprendimiento o quiero iniciar uno","",IF(I475="Busco mi primer empleo","No",IF(MOD(COUNTIF($I$2:I475,I475)-1,2)=0,"Sí","No")))</f>
        <v>Sí</v>
      </c>
      <c r="S475" t="str">
        <f>IF(I475="Tengo un emprendimiento o quiero iniciar uno","",CHOOSE(MOD(INT((COUNTIF($I$2:I475,I475)-1)/3),10)+1,"Portales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75" t="str">
        <f>IF(I475="Tengo un emprendimiento o quiero iniciar uno","",_xlfn.LET(_xlpm.opcion,MOD(INT((COUNTIF($I$2:I475,I475)-1)/4),6)+1,CHOOSE(IF(AND(_xlpm.opcion=3,Q475="Sí"),1,_xlpm.opcion),"Falta de experiencia","Falta de formación","Dificultades con la hoja de vida","Horarios disponibles","Transporte","Internet")))</f>
        <v>Dificultades con la hoja de vida</v>
      </c>
      <c r="U475" s="9" t="str">
        <f>IF(I475="Tengo un emprendimiento o quiero iniciar uno","",IF(MOD(INT((COUNTIF($I$2:I475,I475)-1)/3),2)=0,"Sí","No"))</f>
        <v>No</v>
      </c>
      <c r="V475" s="9" t="str">
        <f>IF(I475="Tengo un emprendimiento o quiero iniciar uno",CHOOSE(MOD(COUNTIF($I$2:I475,I475)-1,3)+1,"Tengo un emprendimiento","Estoy iniciando un emprendimiento","Me interesa emprender"),"")</f>
        <v/>
      </c>
      <c r="W475" t="str">
        <f t="shared" si="134"/>
        <v/>
      </c>
      <c r="X475" s="9" t="str">
        <f>IF(I475="Tengo un emprendimiento o quiero iniciar uno",CHOOSE(MOD(COUNTIF($I$2:I475,I475)-1,5)+1,"Falta de financiación","Falta de conocimientos administrativos","Falta de conocimientos financieros","Falta de tiempo","Falta de herramientas"),"")</f>
        <v/>
      </c>
      <c r="Y475" s="9" t="str">
        <f t="shared" si="135"/>
        <v/>
      </c>
      <c r="Z475" t="str">
        <f>IF(I475="Tengo un emprendimiento o quiero iniciar uno",CHOOSE(INT(MOD((COUNTIF($I$2:I475,I475)-1)*7,39)/13)+1,"Sí","No","No conozco programas de ese tipo"),"")</f>
        <v/>
      </c>
      <c r="AA475" t="str">
        <f t="shared" si="136"/>
        <v>Puedo hacerlo con dificultad</v>
      </c>
      <c r="AB475" t="str">
        <f t="shared" si="136"/>
        <v>Puedo hacerlo con dificultad</v>
      </c>
      <c r="AC475" t="str">
        <f t="shared" si="137"/>
        <v>No puedo hacerlo</v>
      </c>
      <c r="AD475" s="9" t="str">
        <f t="shared" si="138"/>
        <v>No puedo hacerlo</v>
      </c>
      <c r="AE475" t="str">
        <f t="shared" si="139"/>
        <v>Puedo hacerlo con ayuda</v>
      </c>
      <c r="AF475" s="9" t="str">
        <f t="shared" si="140"/>
        <v>Educación financiera</v>
      </c>
      <c r="AG475" s="9" t="str">
        <f t="shared" si="141"/>
        <v>Distancia</v>
      </c>
      <c r="AH475" t="str">
        <f t="shared" si="142"/>
        <v>Programas de emprendimiento</v>
      </c>
      <c r="AI475" s="9" t="str">
        <f t="shared" si="143"/>
        <v>Presencial y virtual</v>
      </c>
      <c r="AJ475" s="9" t="str">
        <f t="shared" si="144"/>
        <v>Diurno</v>
      </c>
      <c r="AK475" s="9" t="str">
        <f t="shared" si="145"/>
        <v>Celular</v>
      </c>
    </row>
    <row r="476" spans="1:37">
      <c r="A476" t="str">
        <f t="shared" si="146"/>
        <v>SG475</v>
      </c>
      <c r="B476" t="s">
        <v>57</v>
      </c>
      <c r="C476" s="9" t="s">
        <v>427</v>
      </c>
      <c r="D476" t="str">
        <f t="shared" si="129"/>
        <v>Femenino</v>
      </c>
      <c r="E476" t="str">
        <f t="shared" si="130"/>
        <v>De 26 a 28 años</v>
      </c>
      <c r="F476">
        <f t="shared" si="131"/>
        <v>27</v>
      </c>
      <c r="G476" t="str">
        <f t="shared" si="147"/>
        <v>Rural</v>
      </c>
      <c r="H476" s="9" t="str">
        <f t="shared" si="132"/>
        <v>Profesional</v>
      </c>
      <c r="I476" s="9" t="str">
        <f t="shared" si="133"/>
        <v>Trabajo actualmente como empleado</v>
      </c>
      <c r="J476" s="13" t="str">
        <f>IF(I476="Trabajo actualmente como empleado",IF(MOD((COUNTIF($I$2:I476,"Trabajo actualmente como empleado")-1)*37,150)&lt;100,"Empleado con contrato","Empleado sin contrato formal"),IF(I476="Trabajo de manera independiente","Trabajo independiente",""))</f>
        <v>Empleado con contrato</v>
      </c>
      <c r="K476" s="9" t="str">
        <f>IF(OR(I476="Trabajo actualmente como empleado",I476="Trabajo de manera independiente"),CHOOSE(MOD(COUNTIF($I$2:I476,I476)-1,4)+1,"Menos de 3 meses","De 3 a 6 meses","De 7 a 12 meses","Más de un año"),"")</f>
        <v>Menos de 3 meses</v>
      </c>
      <c r="L476" t="str">
        <f>IF(OR(I476="Trabajo actualmente como empleado",I476="Trabajo de manera independiente"),CHOOSE(MOD(COUNTIF($I$2:I476,I476)-1,3)+1,"Sí, completamente","Parcialmente","No"),"")</f>
        <v>Parcialmente</v>
      </c>
      <c r="M476" t="str">
        <f>IF(OR(I476="Trabajo actualmente como empleado",I476="Trabajo de manera independiente"),CHOOSE(MOD(INT((COUNTIF($I$2:I476,I476)-1)/3),4)+1,"1- Muy satisfecho/a","2- Satisfecho/a","3- Insatisfecho/a","4- Muy insatisfecho/a"),"")</f>
        <v>2- Satisfecho/a</v>
      </c>
      <c r="N476" t="str">
        <f>IF(OR(I476="Trabajo actualmente como empleado",I476="Trabajo de manera independiente"),_xlfn.LET(_xlpm.opcion,MOD(INT((COUNTIF($I$2:I476,I476)-1)/5),6)+1,CHOOSE(IF(AND(_xlpm.opcion=6,L476="Sí,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476" s="9" t="str">
        <f>IF(OR(I476="Trabajo actualmente como empleado",I476="Trabajo de manera independiente"),_xlfn.LET(_xlpm.turno,MOD(COUNTIF($I$2:I476,I476)-1,5),_xlpm.nivel,VALUE(LEFT(M476,1)),IF(_xlpm.turno=4,"No estoy seguro/a",IF(_xlpm.turno&lt;IF(_xlpm.nivel&lt;=2,1,3),"Sí","No"))),"")</f>
        <v>No</v>
      </c>
      <c r="P476" s="9" t="str">
        <f>_xlfn.LET(_xlpm.perfil,I476,_xlpm.turno,COUNTIF($I$2:I476,_xlpm.perfil)-1,_xlpm.busca,OR(_xlpm.perfil="Actualmente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trabajar"),IF(AND(_xlpm.trabaja,O476="No"),"Todavía no he iniciado una búsqueda activa",CHOOSE(MOD(_xlpm.turno*3,5)+1,"Menos de 1 mes","Entre 1 y 3 meses","Entre 4 y 6 meses","Más de 6 meses","Todavía no he iniciado una búsqueda activa")),"")))</f>
        <v>Todavía no he iniciado una búsqueda activa</v>
      </c>
      <c r="Q476" t="str">
        <f>IF(I476="Tengo un emprendimiento o quiero iniciar uno","",CHOOSE(MOD(INT((COUNTIF($I$2:I476,I476)-1)/7),3)+1,"Sí","No","Tengo una pero necesito actualizarla"))</f>
        <v>Sí</v>
      </c>
      <c r="R476" s="9" t="str">
        <f>IF(I476="Tengo un emprendimiento o quiero iniciar uno","",IF(I476="Busco mi primer empleo","No",IF(MOD(COUNTIF($I$2:I476,I476)-1,2)=0,"Sí","No")))</f>
        <v>Sí</v>
      </c>
      <c r="S476" t="str">
        <f>IF(I476="Tengo un emprendimiento o quiero iniciar uno","",CHOOSE(MOD(INT((COUNTIF($I$2:I476,I476)-1)/3),10)+1,"Portales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76" t="str">
        <f>IF(I476="Tengo un emprendimiento o quiero iniciar uno","",_xlfn.LET(_xlpm.opcion,MOD(INT((COUNTIF($I$2:I476,I476)-1)/4),6)+1,CHOOSE(IF(AND(_xlpm.opcion=3,Q476="Sí"),1,_xlpm.opcion),"Falta de experiencia","Falta de formación","Dificultades con la hoja de vida","Horarios disponibles","Transporte","Internet")))</f>
        <v>Falta de formación</v>
      </c>
      <c r="U476" s="9" t="str">
        <f>IF(I476="Tengo un emprendimiento o quiero iniciar uno","",IF(MOD(INT((COUNTIF($I$2:I476,I476)-1)/3),2)=0,"Sí","No"))</f>
        <v>No</v>
      </c>
      <c r="V476" s="9" t="str">
        <f>IF(I476="Tengo un emprendimiento o quiero iniciar uno",CHOOSE(MOD(COUNTIF($I$2:I476,I476)-1,3)+1,"Tengo un emprendimiento","Estoy iniciando un emprendimiento","Me interesa emprender"),"")</f>
        <v/>
      </c>
      <c r="W476" t="str">
        <f t="shared" si="134"/>
        <v/>
      </c>
      <c r="X476" s="9" t="str">
        <f>IF(I476="Tengo un emprendimiento o quiero iniciar uno",CHOOSE(MOD(COUNTIF($I$2:I476,I476)-1,5)+1,"Falta de financiación","Falta de conocimientos administrativos","Falta de conocimientos financieros","Falta de tiempo","Falta de herramientas"),"")</f>
        <v/>
      </c>
      <c r="Y476" s="9" t="str">
        <f t="shared" si="135"/>
        <v/>
      </c>
      <c r="Z476" t="str">
        <f>IF(I476="Tengo un emprendimiento o quiero iniciar uno",CHOOSE(INT(MOD((COUNTIF($I$2:I476,I476)-1)*7,39)/13)+1,"Sí","No","No conozco programas de ese tipo"),"")</f>
        <v/>
      </c>
      <c r="AA476" t="str">
        <f t="shared" si="136"/>
        <v>No puedo hacerlo</v>
      </c>
      <c r="AB476" t="str">
        <f t="shared" si="136"/>
        <v>No puedo hacerlo</v>
      </c>
      <c r="AC476" t="str">
        <f t="shared" si="137"/>
        <v>Puedo hacerlo con dificultad</v>
      </c>
      <c r="AD476" s="9" t="str">
        <f t="shared" si="138"/>
        <v>Puedo hacerlo con ayuda</v>
      </c>
      <c r="AE476" t="str">
        <f t="shared" si="139"/>
        <v>Puedo hacerlo con dificultad</v>
      </c>
      <c r="AF476" s="9" t="str">
        <f t="shared" si="140"/>
        <v>Crear una hoja de vida;Preparación para entrevista</v>
      </c>
      <c r="AG476" s="9" t="str">
        <f t="shared" si="141"/>
        <v>Falta de experiencia;Falta de información</v>
      </c>
      <c r="AH476" t="str">
        <f t="shared" si="142"/>
        <v>Oficina de orientación laboral</v>
      </c>
      <c r="AI476" s="9" t="str">
        <f t="shared" si="143"/>
        <v>Me es indiferente</v>
      </c>
      <c r="AJ476" s="9" t="str">
        <f t="shared" si="144"/>
        <v>Mañana entre semana</v>
      </c>
      <c r="AK476" s="9" t="str">
        <f t="shared" si="145"/>
        <v>Correo electrónico</v>
      </c>
    </row>
    <row r="477" spans="1:37">
      <c r="A477" t="str">
        <f t="shared" si="146"/>
        <v>SG476</v>
      </c>
      <c r="B477" t="s">
        <v>57</v>
      </c>
      <c r="C477" s="9" t="s">
        <v>427</v>
      </c>
      <c r="D477" t="str">
        <f t="shared" si="129"/>
        <v>Femenino</v>
      </c>
      <c r="E477" t="str">
        <f t="shared" si="130"/>
        <v>De 18 a 20 años</v>
      </c>
      <c r="F477">
        <f t="shared" si="131"/>
        <v>19</v>
      </c>
      <c r="G477" t="str">
        <f t="shared" si="147"/>
        <v>Centro poblado</v>
      </c>
      <c r="H477" s="9" t="str">
        <f t="shared" si="132"/>
        <v>Bachiller</v>
      </c>
      <c r="I477" s="9" t="str">
        <f t="shared" si="133"/>
        <v>Actualmente no trabajo y estoy buscando empleo</v>
      </c>
      <c r="J477" s="13" t="str">
        <f>IF(I477="Trabajo actualmente como empleado",IF(MOD((COUNTIF($I$2:I477,"Trabajo actualmente como empleado")-1)*37,150)&lt;100,"Empleado con contrato","Empleado sin contrato formal"),IF(I477="Trabajo de manera independiente","Trabajo independiente",""))</f>
        <v/>
      </c>
      <c r="K477" s="9" t="str">
        <f>IF(OR(I477="Trabajo actualmente como empleado",I477="Trabajo de manera independiente"),CHOOSE(MOD(COUNTIF($I$2:I477,I477)-1,4)+1,"Menos de 3 meses","De 3 a 6 meses","De 7 a 12 meses","Más de un año"),"")</f>
        <v/>
      </c>
      <c r="L477" t="str">
        <f>IF(OR(I477="Trabajo actualmente como empleado",I477="Trabajo de manera independiente"),CHOOSE(MOD(COUNTIF($I$2:I477,I477)-1,3)+1,"Sí, completamente","Parcialmente","No"),"")</f>
        <v/>
      </c>
      <c r="M477" t="str">
        <f>IF(OR(I477="Trabajo actualmente como empleado",I477="Trabajo de manera independiente"),CHOOSE(MOD(INT((COUNTIF($I$2:I477,I477)-1)/3),4)+1,"1- Muy satisfecho/a","2- Satisfecho/a","3- Insatisfecho/a","4- Muy insatisfecho/a"),"")</f>
        <v/>
      </c>
      <c r="N477" t="str">
        <f>IF(OR(I477="Trabajo actualmente como empleado",I477="Trabajo de manera independiente"),_xlfn.LET(_xlpm.opcion,MOD(INT((COUNTIF($I$2:I477,I477)-1)/5),6)+1,CHOOSE(IF(AND(_xlpm.opcion=6,L477="Sí, completamente"),5,_xlpm.opcion),"Salario","Estabilidad laboral","Horario","Acceso a prestaciones","Oportunidades de crecimiento","Trabajar en un área relacionada con mi formación")),"")</f>
        <v/>
      </c>
      <c r="O477" s="9" t="str">
        <f>IF(OR(I477="Trabajo actualmente como empleado",I477="Trabajo de manera independiente"),_xlfn.LET(_xlpm.turno,MOD(COUNTIF($I$2:I477,I477)-1,5),_xlpm.nivel,VALUE(LEFT(M477,1)),IF(_xlpm.turno=4,"No estoy seguro/a",IF(_xlpm.turno&lt;IF(_xlpm.nivel&lt;=2,1,3),"Sí","No"))),"")</f>
        <v/>
      </c>
      <c r="P477" s="9" t="str">
        <f>_xlfn.LET(_xlpm.perfil,I477,_xlpm.turno,COUNTIF($I$2:I477,_xlpm.perfil)-1,_xlpm.busca,OR(_xlpm.perfil="Actualmente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trabajar"),IF(AND(_xlpm.trabaja,O477="No"),"Todavía no he iniciado una búsqueda activa",CHOOSE(MOD(_xlpm.turno*3,5)+1,"Menos de 1 mes","Entre 1 y 3 meses","Entre 4 y 6 meses","Más de 6 meses","Todavía no he iniciado una búsqueda activa")),"")))</f>
        <v>Menos de 1 mes</v>
      </c>
      <c r="Q477" t="str">
        <f>IF(I477="Tengo un emprendimiento o quiero iniciar uno","",CHOOSE(MOD(INT((COUNTIF($I$2:I477,I477)-1)/7),3)+1,"Sí","No","Tengo una pero necesito actualizarla"))</f>
        <v>Sí</v>
      </c>
      <c r="R477" s="9" t="str">
        <f>IF(I477="Tengo un emprendimiento o quiero iniciar uno","",IF(I477="Busco mi primer empleo","No",IF(MOD(COUNTIF($I$2:I477,I477)-1,2)=0,"Sí","No")))</f>
        <v>Sí</v>
      </c>
      <c r="S477" t="str">
        <f>IF(I477="Tengo un emprendimiento o quiero iniciar uno","",CHOOSE(MOD(INT((COUNTIF($I$2:I477,I477)-1)/3),10)+1,"Portales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77" t="str">
        <f>IF(I477="Tengo un emprendimiento o quiero iniciar uno","",_xlfn.LET(_xlpm.opcion,MOD(INT((COUNTIF($I$2:I477,I477)-1)/4),6)+1,CHOOSE(IF(AND(_xlpm.opcion=3,Q477="Sí"),1,_xlpm.opcion),"Falta de experiencia","Falta de formación","Dificultades con la hoja de vida","Horarios disponibles","Transporte","Internet")))</f>
        <v>Transporte</v>
      </c>
      <c r="U477" s="9" t="str">
        <f>IF(I477="Tengo un emprendimiento o quiero iniciar uno","",IF(MOD(INT((COUNTIF($I$2:I477,I477)-1)/3),2)=0,"Sí","No"))</f>
        <v>No</v>
      </c>
      <c r="V477" s="9" t="str">
        <f>IF(I477="Tengo un emprendimiento o quiero iniciar uno",CHOOSE(MOD(COUNTIF($I$2:I477,I477)-1,3)+1,"Tengo un emprendimiento","Estoy iniciando un emprendimiento","Me interesa emprender"),"")</f>
        <v/>
      </c>
      <c r="W477" t="str">
        <f t="shared" si="134"/>
        <v/>
      </c>
      <c r="X477" s="9" t="str">
        <f>IF(I477="Tengo un emprendimiento o quiero iniciar uno",CHOOSE(MOD(COUNTIF($I$2:I477,I477)-1,5)+1,"Falta de financiación","Falta de conocimientos administrativos","Falta de conocimientos financieros","Falta de tiempo","Falta de herramientas"),"")</f>
        <v/>
      </c>
      <c r="Y477" s="9" t="str">
        <f t="shared" si="135"/>
        <v/>
      </c>
      <c r="Z477" t="str">
        <f>IF(I477="Tengo un emprendimiento o quiero iniciar uno",CHOOSE(INT(MOD((COUNTIF($I$2:I477,I477)-1)*7,39)/13)+1,"Sí","No","No conozco programas de ese tipo"),"")</f>
        <v/>
      </c>
      <c r="AA477" t="str">
        <f t="shared" si="136"/>
        <v>Puedo hacerlo con ayuda</v>
      </c>
      <c r="AB477" t="str">
        <f t="shared" si="136"/>
        <v>Puedo hacerlo con ayuda</v>
      </c>
      <c r="AC477" t="str">
        <f t="shared" si="137"/>
        <v>Puedo hacerlo sin ayuda</v>
      </c>
      <c r="AD477" s="9" t="str">
        <f t="shared" si="138"/>
        <v>Puedo hacerlo con dificultad</v>
      </c>
      <c r="AE477" t="str">
        <f t="shared" si="139"/>
        <v>Puedo hacerlo sin ayuda</v>
      </c>
      <c r="AF477" s="9" t="str">
        <f t="shared" si="140"/>
        <v>Comunicación;Liderazgo</v>
      </c>
      <c r="AG477" s="9" t="str">
        <f t="shared" si="141"/>
        <v>Falta de experiencia;Falta de información</v>
      </c>
      <c r="AH477" t="str">
        <f t="shared" si="142"/>
        <v>Ferias de empleo</v>
      </c>
      <c r="AI477" s="9" t="str">
        <f t="shared" si="143"/>
        <v>Presencial</v>
      </c>
      <c r="AJ477" s="9" t="str">
        <f t="shared" si="144"/>
        <v>Fines de semana</v>
      </c>
      <c r="AK477" s="9" t="str">
        <f t="shared" si="145"/>
        <v>Redes sociales</v>
      </c>
    </row>
    <row r="478" spans="1:37">
      <c r="A478" t="str">
        <f t="shared" si="146"/>
        <v>SG477</v>
      </c>
      <c r="B478" t="s">
        <v>57</v>
      </c>
      <c r="C478" s="9" t="s">
        <v>427</v>
      </c>
      <c r="D478" t="str">
        <f t="shared" si="129"/>
        <v>Masculino</v>
      </c>
      <c r="E478" t="str">
        <f t="shared" si="130"/>
        <v>De 20 a 22 años</v>
      </c>
      <c r="F478">
        <f t="shared" si="131"/>
        <v>21</v>
      </c>
      <c r="G478" t="str">
        <f t="shared" si="147"/>
        <v>Rural</v>
      </c>
      <c r="H478" s="9" t="str">
        <f t="shared" si="132"/>
        <v>Técnico</v>
      </c>
      <c r="I478" s="9" t="str">
        <f t="shared" si="133"/>
        <v>Estudio y quiero comenzar a trabajar</v>
      </c>
      <c r="J478" s="13" t="str">
        <f>IF(I478="Trabajo actualmente como empleado",IF(MOD((COUNTIF($I$2:I478,"Trabajo actualmente como empleado")-1)*37,150)&lt;100,"Empleado con contrato","Empleado sin contrato formal"),IF(I478="Trabajo de manera independiente","Trabajo independiente",""))</f>
        <v/>
      </c>
      <c r="K478" s="9" t="str">
        <f>IF(OR(I478="Trabajo actualmente como empleado",I478="Trabajo de manera independiente"),CHOOSE(MOD(COUNTIF($I$2:I478,I478)-1,4)+1,"Menos de 3 meses","De 3 a 6 meses","De 7 a 12 meses","Más de un año"),"")</f>
        <v/>
      </c>
      <c r="L478" t="str">
        <f>IF(OR(I478="Trabajo actualmente como empleado",I478="Trabajo de manera independiente"),CHOOSE(MOD(COUNTIF($I$2:I478,I478)-1,3)+1,"Sí, completamente","Parcialmente","No"),"")</f>
        <v/>
      </c>
      <c r="M478" t="str">
        <f>IF(OR(I478="Trabajo actualmente como empleado",I478="Trabajo de manera independiente"),CHOOSE(MOD(INT((COUNTIF($I$2:I478,I478)-1)/3),4)+1,"1- Muy satisfecho/a","2- Satisfecho/a","3- Insatisfecho/a","4- Muy insatisfecho/a"),"")</f>
        <v/>
      </c>
      <c r="N478" t="str">
        <f>IF(OR(I478="Trabajo actualmente como empleado",I478="Trabajo de manera independiente"),_xlfn.LET(_xlpm.opcion,MOD(INT((COUNTIF($I$2:I478,I478)-1)/5),6)+1,CHOOSE(IF(AND(_xlpm.opcion=6,L478="Sí, completamente"),5,_xlpm.opcion),"Salario","Estabilidad laboral","Horario","Acceso a prestaciones","Oportunidades de crecimiento","Trabajar en un área relacionada con mi formación")),"")</f>
        <v/>
      </c>
      <c r="O478" s="9" t="str">
        <f>IF(OR(I478="Trabajo actualmente como empleado",I478="Trabajo de manera independiente"),_xlfn.LET(_xlpm.turno,MOD(COUNTIF($I$2:I478,I478)-1,5),_xlpm.nivel,VALUE(LEFT(M478,1)),IF(_xlpm.turno=4,"No estoy seguro/a",IF(_xlpm.turno&lt;IF(_xlpm.nivel&lt;=2,1,3),"Sí","No"))),"")</f>
        <v/>
      </c>
      <c r="P478" s="9" t="str">
        <f>_xlfn.LET(_xlpm.perfil,I478,_xlpm.turno,COUNTIF($I$2:I478,_xlpm.perfil)-1,_xlpm.busca,OR(_xlpm.perfil="Actualmente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trabajar"),IF(AND(_xlpm.trabaja,O478="No"),"Todavía no he iniciado una búsqueda activa",CHOOSE(MOD(_xlpm.turno*3,5)+1,"Menos de 1 mes","Entre 1 y 3 meses","Entre 4 y 6 meses","Más de 6 meses","Todavía no he iniciado una búsqueda activa")),"")))</f>
        <v>Entre 4 y 6 meses</v>
      </c>
      <c r="Q478" t="str">
        <f>IF(I478="Tengo un emprendimiento o quiero iniciar uno","",CHOOSE(MOD(INT((COUNTIF($I$2:I478,I478)-1)/7),3)+1,"Sí","No","Tengo una pero necesito actualizarla"))</f>
        <v>Tengo una pero necesito actualizarla</v>
      </c>
      <c r="R478" s="9" t="str">
        <f>IF(I478="Tengo un emprendimiento o quiero iniciar uno","",IF(I478="Busco mi primer empleo","No",IF(MOD(COUNTIF($I$2:I478,I478)-1,2)=0,"Sí","No")))</f>
        <v>No</v>
      </c>
      <c r="S478" t="str">
        <f>IF(I478="Tengo un emprendimiento o quiero iniciar uno","",CHOOSE(MOD(INT((COUNTIF($I$2:I478,I478)-1)/3),10)+1,"Portales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78" t="str">
        <f>IF(I478="Tengo un emprendimiento o quiero iniciar uno","",_xlfn.LET(_xlpm.opcion,MOD(INT((COUNTIF($I$2:I478,I478)-1)/4),6)+1,CHOOSE(IF(AND(_xlpm.opcion=3,Q478="Sí"),1,_xlpm.opcion),"Falta de experiencia","Falta de formación","Dificultades con la hoja de vida","Horarios disponibles","Transporte","Internet")))</f>
        <v>Dificultades con la hoja de vida</v>
      </c>
      <c r="U478" s="9" t="str">
        <f>IF(I478="Tengo un emprendimiento o quiero iniciar uno","",IF(MOD(INT((COUNTIF($I$2:I478,I478)-1)/3),2)=0,"Sí","No"))</f>
        <v>No</v>
      </c>
      <c r="V478" s="9" t="str">
        <f>IF(I478="Tengo un emprendimiento o quiero iniciar uno",CHOOSE(MOD(COUNTIF($I$2:I478,I478)-1,3)+1,"Tengo un emprendimiento","Estoy iniciando un emprendimiento","Me interesa emprender"),"")</f>
        <v/>
      </c>
      <c r="W478" t="str">
        <f t="shared" si="134"/>
        <v/>
      </c>
      <c r="X478" s="9" t="str">
        <f>IF(I478="Tengo un emprendimiento o quiero iniciar uno",CHOOSE(MOD(COUNTIF($I$2:I478,I478)-1,5)+1,"Falta de financiación","Falta de conocimientos administrativos","Falta de conocimientos financieros","Falta de tiempo","Falta de herramientas"),"")</f>
        <v/>
      </c>
      <c r="Y478" s="9" t="str">
        <f t="shared" si="135"/>
        <v/>
      </c>
      <c r="Z478" t="str">
        <f>IF(I478="Tengo un emprendimiento o quiero iniciar uno",CHOOSE(INT(MOD((COUNTIF($I$2:I478,I478)-1)*7,39)/13)+1,"Sí","No","No conozco programas de ese tipo"),"")</f>
        <v/>
      </c>
      <c r="AA478" t="str">
        <f t="shared" si="136"/>
        <v>Puedo hacerlo sin ayuda</v>
      </c>
      <c r="AB478" t="str">
        <f t="shared" si="136"/>
        <v>Puedo hacerlo sin ayuda</v>
      </c>
      <c r="AC478" t="str">
        <f t="shared" si="137"/>
        <v>No puedo hacerlo</v>
      </c>
      <c r="AD478" s="9" t="str">
        <f t="shared" si="138"/>
        <v>Puedo hacerlo con dificultad</v>
      </c>
      <c r="AE478" t="str">
        <f t="shared" si="139"/>
        <v>Puedo hacerlo sin ayuda</v>
      </c>
      <c r="AF478" s="9" t="str">
        <f t="shared" si="140"/>
        <v>Herramientas digitales;Educación financiera</v>
      </c>
      <c r="AG478" s="9" t="str">
        <f t="shared" si="141"/>
        <v>Falta de experiencia;Falta de información</v>
      </c>
      <c r="AH478" t="str">
        <f t="shared" si="142"/>
        <v>No conozco ninguno</v>
      </c>
      <c r="AI478" s="9" t="str">
        <f t="shared" si="143"/>
        <v>Virtual</v>
      </c>
      <c r="AJ478" s="9" t="str">
        <f t="shared" si="144"/>
        <v>Diurno</v>
      </c>
      <c r="AK478" s="9" t="str">
        <f t="shared" si="145"/>
        <v>WhatsApp</v>
      </c>
    </row>
    <row r="479" spans="1:37">
      <c r="A479" t="str">
        <f t="shared" si="146"/>
        <v>SG478</v>
      </c>
      <c r="B479" t="s">
        <v>57</v>
      </c>
      <c r="C479" s="9" t="s">
        <v>427</v>
      </c>
      <c r="D479" t="str">
        <f t="shared" si="129"/>
        <v>Masculino</v>
      </c>
      <c r="E479" t="str">
        <f t="shared" si="130"/>
        <v>De 22 a 24 años</v>
      </c>
      <c r="F479">
        <f t="shared" si="131"/>
        <v>23</v>
      </c>
      <c r="G479" t="str">
        <f t="shared" si="147"/>
        <v>Centro poblado</v>
      </c>
      <c r="H479" s="9" t="str">
        <f t="shared" si="132"/>
        <v>Tecnólogo</v>
      </c>
      <c r="I479" s="9" t="str">
        <f t="shared" si="133"/>
        <v>Trabajo actualmente como empleado</v>
      </c>
      <c r="J479" s="13" t="str">
        <f>IF(I479="Trabajo actualmente como empleado",IF(MOD((COUNTIF($I$2:I479,"Trabajo actualmente como empleado")-1)*37,150)&lt;100,"Empleado con contrato","Empleado sin contrato formal"),IF(I479="Trabajo de manera independiente","Trabajo independiente",""))</f>
        <v>Empleado sin contrato formal</v>
      </c>
      <c r="K479" s="9" t="str">
        <f>IF(OR(I479="Trabajo actualmente como empleado",I479="Trabajo de manera independiente"),CHOOSE(MOD(COUNTIF($I$2:I479,I479)-1,4)+1,"Menos de 3 meses","De 3 a 6 meses","De 7 a 12 meses","Más de un año"),"")</f>
        <v>De 3 a 6 meses</v>
      </c>
      <c r="L479" t="str">
        <f>IF(OR(I479="Trabajo actualmente como empleado",I479="Trabajo de manera independiente"),CHOOSE(MOD(COUNTIF($I$2:I479,I479)-1,3)+1,"Sí, completamente","Parcialmente","No"),"")</f>
        <v>No</v>
      </c>
      <c r="M479" t="str">
        <f>IF(OR(I479="Trabajo actualmente como empleado",I479="Trabajo de manera independiente"),CHOOSE(MOD(INT((COUNTIF($I$2:I479,I479)-1)/3),4)+1,"1- Muy satisfecho/a","2- Satisfecho/a","3- Insatisfecho/a","4- Muy insatisfecho/a"),"")</f>
        <v>2- Satisfecho/a</v>
      </c>
      <c r="N479" t="str">
        <f>IF(OR(I479="Trabajo actualmente como empleado",I479="Trabajo de manera independiente"),_xlfn.LET(_xlpm.opcion,MOD(INT((COUNTIF($I$2:I479,I479)-1)/5),6)+1,CHOOSE(IF(AND(_xlpm.opcion=6,L479="Sí, completamente"),5,_xlpm.opcion),"Salario","Estabilidad laboral","Horario","Acceso a prestaciones","Oportunidades de crecimiento","Trabajar en un área relacionada con mi formación")),"")</f>
        <v>Trabajar en un área relacionada con mi formación</v>
      </c>
      <c r="O479" s="9" t="str">
        <f>IF(OR(I479="Trabajo actualmente como empleado",I479="Trabajo de manera independiente"),_xlfn.LET(_xlpm.turno,MOD(COUNTIF($I$2:I479,I479)-1,5),_xlpm.nivel,VALUE(LEFT(M479,1)),IF(_xlpm.turno=4,"No estoy seguro/a",IF(_xlpm.turno&lt;IF(_xlpm.nivel&lt;=2,1,3),"Sí","No"))),"")</f>
        <v>No estoy seguro/a</v>
      </c>
      <c r="P479" s="9" t="str">
        <f>_xlfn.LET(_xlpm.perfil,I479,_xlpm.turno,COUNTIF($I$2:I479,_xlpm.perfil)-1,_xlpm.busca,OR(_xlpm.perfil="Actualmente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trabajar"),IF(AND(_xlpm.trabaja,O479="No"),"Todavía no he iniciado una búsqueda activa",CHOOSE(MOD(_xlpm.turno*3,5)+1,"Menos de 1 mes","Entre 1 y 3 meses","Entre 4 y 6 meses","Más de 6 meses","Todavía no he iniciado una búsqueda activa")),"")))</f>
        <v>Entre 4 y 6 meses</v>
      </c>
      <c r="Q479" t="str">
        <f>IF(I479="Tengo un emprendimiento o quiero iniciar uno","",CHOOSE(MOD(INT((COUNTIF($I$2:I479,I479)-1)/7),3)+1,"Sí","No","Tengo una pero necesito actualizarla"))</f>
        <v>Sí</v>
      </c>
      <c r="R479" s="9" t="str">
        <f>IF(I479="Tengo un emprendimiento o quiero iniciar uno","",IF(I479="Busco mi primer empleo","No",IF(MOD(COUNTIF($I$2:I479,I479)-1,2)=0,"Sí","No")))</f>
        <v>No</v>
      </c>
      <c r="S479" t="str">
        <f>IF(I479="Tengo un emprendimiento o quiero iniciar uno","",CHOOSE(MOD(INT((COUNTIF($I$2:I479,I479)-1)/3),10)+1,"Portales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79" t="str">
        <f>IF(I479="Tengo un emprendimiento o quiero iniciar uno","",_xlfn.LET(_xlpm.opcion,MOD(INT((COUNTIF($I$2:I479,I479)-1)/4),6)+1,CHOOSE(IF(AND(_xlpm.opcion=3,Q479="Sí"),1,_xlpm.opcion),"Falta de experiencia","Falta de formación","Dificultades con la hoja de vida","Horarios disponibles","Transporte","Internet")))</f>
        <v>Falta de formación</v>
      </c>
      <c r="U479" s="9" t="str">
        <f>IF(I479="Tengo un emprendimiento o quiero iniciar uno","",IF(MOD(INT((COUNTIF($I$2:I479,I479)-1)/3),2)=0,"Sí","No"))</f>
        <v>No</v>
      </c>
      <c r="V479" s="9" t="str">
        <f>IF(I479="Tengo un emprendimiento o quiero iniciar uno",CHOOSE(MOD(COUNTIF($I$2:I479,I479)-1,3)+1,"Tengo un emprendimiento","Estoy iniciando un emprendimiento","Me interesa emprender"),"")</f>
        <v/>
      </c>
      <c r="W479" t="str">
        <f t="shared" si="134"/>
        <v/>
      </c>
      <c r="X479" s="9" t="str">
        <f>IF(I479="Tengo un emprendimiento o quiero iniciar uno",CHOOSE(MOD(COUNTIF($I$2:I479,I479)-1,5)+1,"Falta de financiación","Falta de conocimientos administrativos","Falta de conocimientos financieros","Falta de tiempo","Falta de herramientas"),"")</f>
        <v/>
      </c>
      <c r="Y479" s="9" t="str">
        <f t="shared" si="135"/>
        <v/>
      </c>
      <c r="Z479" t="str">
        <f>IF(I479="Tengo un emprendimiento o quiero iniciar uno",CHOOSE(INT(MOD((COUNTIF($I$2:I479,I479)-1)*7,39)/13)+1,"Sí","No","No conozco programas de ese tipo"),"")</f>
        <v/>
      </c>
      <c r="AA479" t="str">
        <f t="shared" si="136"/>
        <v>No puedo hacerlo</v>
      </c>
      <c r="AB479" t="str">
        <f t="shared" si="136"/>
        <v>No puedo hacerlo</v>
      </c>
      <c r="AC479" t="str">
        <f t="shared" si="137"/>
        <v>Puedo hacerlo con dificultad</v>
      </c>
      <c r="AD479" s="9" t="str">
        <f t="shared" si="138"/>
        <v>Puedo hacerlo sin ayuda</v>
      </c>
      <c r="AE479" t="str">
        <f t="shared" si="139"/>
        <v>No puedo hacerlo</v>
      </c>
      <c r="AF479" s="9" t="str">
        <f t="shared" si="140"/>
        <v>Crear una hoja de vida</v>
      </c>
      <c r="AG479" s="9" t="str">
        <f t="shared" si="141"/>
        <v>Costos de transporte;Distancia</v>
      </c>
      <c r="AH479" t="str">
        <f t="shared" si="142"/>
        <v>Ferias de empleo</v>
      </c>
      <c r="AI479" s="9" t="str">
        <f t="shared" si="143"/>
        <v>Presencial y virtual</v>
      </c>
      <c r="AJ479" s="9" t="str">
        <f t="shared" si="144"/>
        <v>Mañana entre semana</v>
      </c>
      <c r="AK479" s="9" t="str">
        <f t="shared" si="145"/>
        <v>Correo electrónico</v>
      </c>
    </row>
    <row r="480" spans="1:37">
      <c r="A480" t="str">
        <f>"SG"&amp;TEXT(ROW()-1,"000")</f>
        <v>SG479</v>
      </c>
      <c r="B480" t="s">
        <v>57</v>
      </c>
      <c r="C480" s="9" t="s">
        <v>427</v>
      </c>
      <c r="D480" t="str">
        <f t="shared" si="129"/>
        <v>Femenino</v>
      </c>
      <c r="E480" t="str">
        <f t="shared" si="130"/>
        <v>De 24 a 26 años</v>
      </c>
      <c r="F480">
        <f t="shared" si="131"/>
        <v>25</v>
      </c>
      <c r="G480" t="str">
        <f t="shared" si="147"/>
        <v>Rural</v>
      </c>
      <c r="H480" s="9" t="str">
        <f t="shared" si="132"/>
        <v>Profesional</v>
      </c>
      <c r="I480" s="9" t="str">
        <f t="shared" si="133"/>
        <v>Actualmente no trabajo y estoy buscando empleo</v>
      </c>
      <c r="J480" s="13" t="str">
        <f>IF(I480="Trabajo actualmente como empleado",IF(MOD((COUNTIF($I$2:I480,"Trabajo actualmente como empleado")-1)*37,150)&lt;100,"Empleado con contrato","Empleado sin contrato formal"),IF(I480="Trabajo de manera independiente","Trabajo independiente",""))</f>
        <v/>
      </c>
      <c r="K480" s="9" t="str">
        <f>IF(OR(I480="Trabajo actualmente como empleado",I480="Trabajo de manera independiente"),CHOOSE(MOD(COUNTIF($I$2:I480,I480)-1,4)+1,"Menos de 3 meses","De 3 a 6 meses","De 7 a 12 meses","Más de un año"),"")</f>
        <v/>
      </c>
      <c r="L480" t="str">
        <f>IF(OR(I480="Trabajo actualmente como empleado",I480="Trabajo de manera independiente"),CHOOSE(MOD(COUNTIF($I$2:I480,I480)-1,3)+1,"Sí, completamente","Parcialmente","No"),"")</f>
        <v/>
      </c>
      <c r="M480" t="str">
        <f>IF(OR(I480="Trabajo actualmente como empleado",I480="Trabajo de manera independiente"),CHOOSE(MOD(INT((COUNTIF($I$2:I480,I480)-1)/3),4)+1,"1- Muy satisfecho/a","2- Satisfecho/a","3- Insatisfecho/a","4- Muy insatisfecho/a"),"")</f>
        <v/>
      </c>
      <c r="N480" t="str">
        <f>IF(OR(I480="Trabajo actualmente como empleado",I480="Trabajo de manera independiente"),_xlfn.LET(_xlpm.opcion,MOD(INT((COUNTIF($I$2:I480,I480)-1)/5),6)+1,CHOOSE(IF(AND(_xlpm.opcion=6,L480="Sí, completamente"),5,_xlpm.opcion),"Salario","Estabilidad laboral","Horario","Acceso a prestaciones","Oportunidades de crecimiento","Trabajar en un área relacionada con mi formación")),"")</f>
        <v/>
      </c>
      <c r="O480" s="9" t="str">
        <f>IF(OR(I480="Trabajo actualmente como empleado",I480="Trabajo de manera independiente"),_xlfn.LET(_xlpm.turno,MOD(COUNTIF($I$2:I480,I480)-1,5),_xlpm.nivel,VALUE(LEFT(M480,1)),IF(_xlpm.turno=4,"No estoy seguro/a",IF(_xlpm.turno&lt;IF(_xlpm.nivel&lt;=2,1,3),"Sí","No"))),"")</f>
        <v/>
      </c>
      <c r="P480" s="9" t="str">
        <f>_xlfn.LET(_xlpm.perfil,I480,_xlpm.turno,COUNTIF($I$2:I480,_xlpm.perfil)-1,_xlpm.busca,OR(_xlpm.perfil="Actualmente no trabajo y estoy buscando empleo",_xlpm.perfil="Busco mi primer empleo"),_xlpm.trabaja,OR(_xlpm.perfil="Trabajo actualmente como empleado",_xlpm.perfil="Trabajo de manera independiente"),IF(_xlpm.busca,CHOOSE(MOD(_xlpm.turno*3,4)+1,"Menos de 1 mes","Entre 1 y 3 meses","Entre 4 y 6 meses","Más de 6 meses"),IF(OR(_xlpm.trabaja,_xlpm.perfil="Estudio y quiero comenzar a trabajar"),IF(AND(_xlpm.trabaja,O480="No"),"Todavía no he iniciado una búsqueda activa",CHOOSE(MOD(_xlpm.turno*3,5)+1,"Menos de 1 mes","Entre 1 y 3 meses","Entre 4 y 6 meses","Más de 6 meses","Todavía no he iniciado una búsqueda activa")),"")))</f>
        <v>Más de 6 meses</v>
      </c>
      <c r="Q480" t="str">
        <f>IF(I480="Tengo un emprendimiento o quiero iniciar uno","",CHOOSE(MOD(INT((COUNTIF($I$2:I480,I480)-1)/7),3)+1,"Sí","No","Tengo una pero necesito actualizarla"))</f>
        <v>Sí</v>
      </c>
      <c r="R480" s="9" t="str">
        <f>IF(I480="Tengo un emprendimiento o quiero iniciar uno","",IF(I480="Busco mi primer empleo","No",IF(MOD(COUNTIF($I$2:I480,I480)-1,2)=0,"Sí","No")))</f>
        <v>No</v>
      </c>
      <c r="S480" t="str">
        <f>IF(I480="Tengo un emprendimiento o quiero iniciar uno","",CHOOSE(MOD(INT((COUNTIF($I$2:I480,I480)-1)/3),10)+1,"Portales de empleo","Redes sociales","Familiares o conocidos","Empresas directamente","Ferias de empleo","Instituciones públicas","Institución educativa","No sé dónde buscar","Portales de empleo;Redes sociales","Familiares o conocidos;Empresas directamente"))</f>
        <v>Familiares o conocidos;Empresas directamente</v>
      </c>
      <c r="T480" t="str">
        <f>IF(I480="Tengo un emprendimiento o quiero iniciar uno","",_xlfn.LET(_xlpm.opcion,MOD(INT((COUNTIF($I$2:I480,I480)-1)/4),6)+1,CHOOSE(IF(AND(_xlpm.opcion=3,Q480="Sí"),1,_xlpm.opcion),"Falta de experiencia","Falta de formación","Dificultades con la hoja de vida","Horarios disponibles","Transporte","Internet")))</f>
        <v>Transporte</v>
      </c>
      <c r="U480" s="9" t="str">
        <f>IF(I480="Tengo un emprendimiento o quiero iniciar uno","",IF(MOD(INT((COUNTIF($I$2:I480,I480)-1)/3),2)=0,"Sí","No"))</f>
        <v>No</v>
      </c>
      <c r="V480" s="9" t="str">
        <f>IF(I480="Tengo un emprendimiento o quiero iniciar uno",CHOOSE(MOD(COUNTIF($I$2:I480,I480)-1,3)+1,"Tengo un emprendimiento","Estoy iniciando un emprendimiento","Me interesa emprender"),"")</f>
        <v/>
      </c>
      <c r="W480" t="str">
        <f t="shared" si="134"/>
        <v/>
      </c>
      <c r="X480" s="9" t="str">
        <f>IF(I480="Tengo un emprendimiento o quiero iniciar uno",CHOOSE(MOD(COUNTIF($I$2:I480,I480)-1,5)+1,"Falta de financiación","Falta de conocimientos administrativos","Falta de conocimientos financieros","Falta de tiempo","Falta de herramientas"),"")</f>
        <v/>
      </c>
      <c r="Y480" s="9" t="str">
        <f t="shared" si="135"/>
        <v/>
      </c>
      <c r="Z480" t="str">
        <f>IF(I480="Tengo un emprendimiento o quiero iniciar uno",CHOOSE(INT(MOD((COUNTIF($I$2:I480,I480)-1)*7,39)/13)+1,"Sí","No","No conozco programas de ese tipo"),"")</f>
        <v/>
      </c>
      <c r="AA480" t="str">
        <f t="shared" si="136"/>
        <v>Puedo hacerlo con dificultad</v>
      </c>
      <c r="AB480" t="str">
        <f t="shared" si="136"/>
        <v>Puedo hacerlo con dificultad</v>
      </c>
      <c r="AC480" t="str">
        <f t="shared" si="137"/>
        <v>Puedo hacerlo sin ayuda</v>
      </c>
      <c r="AD480" s="9" t="str">
        <f t="shared" si="138"/>
        <v>No puedo hacerlo</v>
      </c>
      <c r="AE480" t="str">
        <f t="shared" si="139"/>
        <v>No puedo hacerlo</v>
      </c>
      <c r="AF480" s="9" t="str">
        <f t="shared" si="140"/>
        <v>Preparación para entrevista</v>
      </c>
      <c r="AG480" s="9" t="str">
        <f t="shared" si="141"/>
        <v>Costos de transporte;Distancia</v>
      </c>
      <c r="AH480" t="str">
        <f t="shared" si="142"/>
        <v>Programas de emprendimiento</v>
      </c>
      <c r="AI480" s="9" t="str">
        <f t="shared" si="143"/>
        <v>Me es indiferente</v>
      </c>
      <c r="AJ480" s="9" t="str">
        <f t="shared" si="144"/>
        <v>Fines de semana</v>
      </c>
      <c r="AK480" s="9" t="str">
        <f t="shared" si="145"/>
        <v>Celular</v>
      </c>
    </row>
    <row r="481" spans="1:37">
      <c r="I481" s="9"/>
    </row>
    <row r="482" spans="1:37">
      <c r="I482" s="9"/>
    </row>
    <row r="483" spans="1:37">
      <c r="I483" s="9"/>
    </row>
    <row r="484" spans="1:37">
      <c r="A484" t="s">
        <v>36</v>
      </c>
      <c r="B484" cm="1">
        <f t="array" ref="B484">COUNTIF($H$2:$H$480,INDEX($A:$A,ROW()))</f>
        <v>142</v>
      </c>
      <c r="C484" s="9"/>
      <c r="I484" s="9"/>
    </row>
    <row r="485" spans="1:37">
      <c r="A485" t="s">
        <v>432</v>
      </c>
      <c r="B485" s="11" cm="1">
        <f t="array" ref="B485">COUNTIF($H$2:$H$480,INDEX($A:$A,ROW()))</f>
        <v>111</v>
      </c>
      <c r="I485" s="9"/>
    </row>
    <row r="486" spans="1:37">
      <c r="A486" t="s">
        <v>39</v>
      </c>
      <c r="B486" s="11">
        <v>110</v>
      </c>
      <c r="I486" s="9"/>
    </row>
    <row r="487" spans="1:37">
      <c r="A487" t="s">
        <v>41</v>
      </c>
      <c r="B487" s="11">
        <v>100</v>
      </c>
      <c r="I487" s="9"/>
    </row>
    <row r="488" spans="1:37">
      <c r="A488" t="s">
        <v>37</v>
      </c>
      <c r="B488" s="11" cm="1">
        <f t="array" ref="B488">COUNTIF($H$2:$H$480,INDEX($A:$A,ROW()))</f>
        <v>16</v>
      </c>
      <c r="I488" s="9"/>
    </row>
    <row r="491" spans="1:37">
      <c r="A491" t="s">
        <v>42</v>
      </c>
      <c r="B491" s="13" cm="1">
        <f t="array" ref="B491">COUNTIF($I$2:$I$480,INDEX($A:$A,ROW()))</f>
        <v>150</v>
      </c>
    </row>
    <row r="492" spans="1:37">
      <c r="A492" t="s">
        <v>40</v>
      </c>
      <c r="B492" s="13" cm="1">
        <f t="array" ref="B492">COUNTIF($I$2:$I$480,INDEX($A:$A,ROW()))</f>
        <v>80</v>
      </c>
    </row>
    <row r="493" spans="1:37">
      <c r="A493" t="s">
        <v>403</v>
      </c>
      <c r="B493" s="13" cm="1">
        <f t="array" ref="B493">COUNTIF($I$2:$I$480,INDEX($A:$A,ROW()))</f>
        <v>90</v>
      </c>
    </row>
    <row r="494" spans="1:37">
      <c r="A494" t="s">
        <v>406</v>
      </c>
      <c r="B494" s="13" cm="1">
        <f t="array" ref="B494">COUNTIF($I$2:$I$480,INDEX($A:$A,ROW()))</f>
        <v>60</v>
      </c>
    </row>
    <row r="495" spans="1:37">
      <c r="A495" t="s">
        <v>409</v>
      </c>
      <c r="B495" s="13" cm="1">
        <f t="array" ref="B495">COUNTIF($I$2:$I$480,INDEX($A:$A,ROW()))</f>
        <v>60</v>
      </c>
    </row>
    <row r="496" spans="1:37">
      <c r="A496" t="s">
        <v>412</v>
      </c>
      <c r="B496" s="13" cm="1">
        <f t="array" ref="B496">COUNTIF($I$2:$I$480,INDEX($A:$A,ROW()))</f>
        <v>39</v>
      </c>
      <c r="AK496" s="9"/>
    </row>
    <row r="499" spans="1:2">
      <c r="A499" t="s">
        <v>35</v>
      </c>
      <c r="B499" s="11">
        <v>100</v>
      </c>
    </row>
    <row r="500" spans="1:2">
      <c r="A500" t="s">
        <v>38</v>
      </c>
      <c r="B500" s="9">
        <v>50</v>
      </c>
    </row>
    <row r="501" spans="1:2">
      <c r="A501" t="s">
        <v>43</v>
      </c>
      <c r="B501">
        <v>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23A6-10DD-4E5A-BEA6-07E00E142ABF}">
  <dimension ref="A1:C10"/>
  <sheetViews>
    <sheetView workbookViewId="0">
      <selection activeCell="J13" sqref="J13"/>
    </sheetView>
  </sheetViews>
  <sheetFormatPr baseColWidth="10" defaultColWidth="11.42578125" defaultRowHeight="15"/>
  <cols>
    <col min="1" max="1" width="27.42578125" bestFit="1" customWidth="1"/>
  </cols>
  <sheetData>
    <row r="1" spans="1:3">
      <c r="A1" s="6" t="s">
        <v>433</v>
      </c>
      <c r="B1" s="6" t="s">
        <v>434</v>
      </c>
      <c r="C1" s="6" t="s">
        <v>435</v>
      </c>
    </row>
    <row r="2" spans="1:3">
      <c r="A2" s="6" t="s">
        <v>436</v>
      </c>
      <c r="B2" s="11">
        <f>COUNTA('BASE SIMULADA'!A2:A480)</f>
        <v>479</v>
      </c>
      <c r="C2">
        <v>479</v>
      </c>
    </row>
    <row r="3" spans="1:3">
      <c r="A3" s="6" t="s">
        <v>437</v>
      </c>
      <c r="B3" s="11">
        <f>COUNTIF('BASE SIMULADA'!B2:B480,"Urbana consolidada")</f>
        <v>256</v>
      </c>
      <c r="C3">
        <v>256</v>
      </c>
    </row>
    <row r="4" spans="1:3">
      <c r="A4" t="s">
        <v>438</v>
      </c>
      <c r="B4" s="11">
        <f>COUNTIF('BASE SIMULADA'!B2:B480,"Urbana periférica")</f>
        <v>113</v>
      </c>
      <c r="C4">
        <v>113</v>
      </c>
    </row>
    <row r="5" spans="1:3">
      <c r="A5" t="s">
        <v>439</v>
      </c>
      <c r="B5" s="11">
        <f>COUNTIF('BASE SIMULADA'!B2:B480,"Centros poblados y rural")</f>
        <v>110</v>
      </c>
      <c r="C5">
        <v>110</v>
      </c>
    </row>
    <row r="6" spans="1:3">
      <c r="A6" s="6" t="s">
        <v>440</v>
      </c>
      <c r="B6" s="11">
        <f>SUM(B3:B5)</f>
        <v>479</v>
      </c>
      <c r="C6">
        <v>479</v>
      </c>
    </row>
    <row r="8" spans="1:3">
      <c r="A8" t="s">
        <v>35</v>
      </c>
      <c r="B8" s="11">
        <f>COUNTIF('BASE SIMULADA'!J2:J480,A8)</f>
        <v>100</v>
      </c>
      <c r="C8">
        <v>100</v>
      </c>
    </row>
    <row r="9" spans="1:3">
      <c r="A9" t="s">
        <v>38</v>
      </c>
      <c r="B9" s="11">
        <f>COUNTIF('BASE SIMULADA'!J2:J480,A9)</f>
        <v>50</v>
      </c>
      <c r="C9">
        <v>50</v>
      </c>
    </row>
    <row r="10" spans="1:3">
      <c r="A10" t="s">
        <v>43</v>
      </c>
      <c r="B10" s="11">
        <f>COUNTIF('BASE SIMULADA'!J2:J480,A10)</f>
        <v>80</v>
      </c>
      <c r="C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REGLAS</vt:lpstr>
      <vt:lpstr>RECORRIDOS</vt:lpstr>
      <vt:lpstr>RESUMEN TERRITORIAL</vt:lpstr>
      <vt:lpstr>BASE SIMULADA</vt:lpstr>
      <vt:lpstr>CONTROLES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Clari</dc:creator>
  <cp:keywords/>
  <dc:description/>
  <cp:lastModifiedBy>CLARA INES CASTRO CASTIBLANCO</cp:lastModifiedBy>
  <cp:revision/>
  <dcterms:created xsi:type="dcterms:W3CDTF">2026-09-22T22:03:29Z</dcterms:created>
  <dcterms:modified xsi:type="dcterms:W3CDTF">2026-10-27T20:30:45Z</dcterms:modified>
  <cp:category/>
  <cp:contentStatus/>
</cp:coreProperties>
</file>